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ЭтаКнига" defaultThemeVersion="124226"/>
  <xr:revisionPtr revIDLastSave="0" documentId="8_{689DB426-2888-4DD3-B267-D1648BC2DCD6}" xr6:coauthVersionLast="47" xr6:coauthVersionMax="47" xr10:uidLastSave="{00000000-0000-0000-0000-000000000000}"/>
  <bookViews>
    <workbookView xWindow="-120" yWindow="-120" windowWidth="25440" windowHeight="15390" tabRatio="555" activeTab="2" xr2:uid="{00000000-000D-0000-FFFF-FFFF00000000}"/>
  </bookViews>
  <sheets>
    <sheet name="СМАПП" sheetId="3" r:id="rId1"/>
    <sheet name="СПЕЦ" sheetId="5" r:id="rId2"/>
    <sheet name="ИНВОЙС" sheetId="6" r:id="rId3"/>
    <sheet name="CMR1" sheetId="7" r:id="rId4"/>
    <sheet name="Данные" sheetId="8" r:id="rId5"/>
    <sheet name="доп данные" sheetId="9" r:id="rId6"/>
    <sheet name="Получатель и перевозчик" sheetId="11" r:id="rId7"/>
    <sheet name="Отправитель" sheetId="10" r:id="rId8"/>
  </sheets>
  <definedNames>
    <definedName name="_FilterDatabase" localSheetId="0" hidden="1">СМАПП!$A$22:$X$22</definedName>
    <definedName name="_xlnm._FilterDatabase" localSheetId="0" hidden="1">СМАПП!$A$22:$X$22</definedName>
    <definedName name="Print_Area" localSheetId="2">ИНВОЙС!$A$1:$H$44</definedName>
    <definedName name="Print_Area" localSheetId="0">СМАПП!$A$2:$Q$22</definedName>
    <definedName name="_xlnm.Print_Area" localSheetId="2">ИНВОЙС!$A$1:$H$44</definedName>
    <definedName name="_xlnm.Print_Area" localSheetId="1">СПЕЦ!$A$1:$N$26</definedName>
  </definedNames>
  <calcPr calcId="191029"/>
</workbook>
</file>

<file path=xl/calcChain.xml><?xml version="1.0" encoding="utf-8"?>
<calcChain xmlns="http://schemas.openxmlformats.org/spreadsheetml/2006/main">
  <c r="J41" i="7" l="1"/>
  <c r="H30" i="7"/>
  <c r="AB28" i="7"/>
  <c r="D36" i="6"/>
  <c r="G36" i="6"/>
  <c r="A27" i="6"/>
  <c r="B27" i="6"/>
  <c r="D27" i="6"/>
  <c r="G27" i="6"/>
  <c r="E27" i="6" s="1"/>
  <c r="A28" i="6"/>
  <c r="B28" i="6"/>
  <c r="D28" i="6"/>
  <c r="G28" i="6"/>
  <c r="E28" i="6" s="1"/>
  <c r="A29" i="6"/>
  <c r="B29" i="6"/>
  <c r="D29" i="6"/>
  <c r="G29" i="6"/>
  <c r="E29" i="6" s="1"/>
  <c r="A30" i="6"/>
  <c r="B30" i="6"/>
  <c r="D30" i="6"/>
  <c r="G30" i="6"/>
  <c r="E30" i="6" s="1"/>
  <c r="A31" i="6"/>
  <c r="B31" i="6"/>
  <c r="D31" i="6"/>
  <c r="G31" i="6"/>
  <c r="E31" i="6" s="1"/>
  <c r="A32" i="6"/>
  <c r="B32" i="6"/>
  <c r="D32" i="6"/>
  <c r="G32" i="6"/>
  <c r="E32" i="6" s="1"/>
  <c r="A33" i="6"/>
  <c r="B33" i="6"/>
  <c r="D33" i="6"/>
  <c r="G33" i="6"/>
  <c r="E33" i="6" s="1"/>
  <c r="F23" i="5"/>
  <c r="I23" i="5"/>
  <c r="J23" i="5"/>
  <c r="K23" i="5"/>
  <c r="L23" i="5"/>
  <c r="N23" i="5"/>
  <c r="A16" i="5"/>
  <c r="B16" i="5"/>
  <c r="C16" i="5"/>
  <c r="D16" i="5"/>
  <c r="E16" i="5"/>
  <c r="F16" i="5"/>
  <c r="H16" i="5"/>
  <c r="I16" i="5"/>
  <c r="J16" i="5"/>
  <c r="K16" i="5"/>
  <c r="L16" i="5"/>
  <c r="N16" i="5"/>
  <c r="M16" i="5" s="1"/>
  <c r="A17" i="5"/>
  <c r="B17" i="5"/>
  <c r="C17" i="5"/>
  <c r="D17" i="5"/>
  <c r="E17" i="5"/>
  <c r="F17" i="5"/>
  <c r="H17" i="5"/>
  <c r="I17" i="5"/>
  <c r="J17" i="5"/>
  <c r="K17" i="5"/>
  <c r="L17" i="5"/>
  <c r="N17" i="5"/>
  <c r="M17" i="5" s="1"/>
  <c r="A18" i="5"/>
  <c r="B18" i="5"/>
  <c r="C18" i="5"/>
  <c r="D18" i="5"/>
  <c r="E18" i="5"/>
  <c r="F18" i="5"/>
  <c r="H18" i="5"/>
  <c r="I18" i="5"/>
  <c r="J18" i="5"/>
  <c r="K18" i="5"/>
  <c r="L18" i="5"/>
  <c r="N18" i="5"/>
  <c r="M18" i="5" s="1"/>
  <c r="A19" i="5"/>
  <c r="B19" i="5"/>
  <c r="C19" i="5"/>
  <c r="D19" i="5"/>
  <c r="E19" i="5"/>
  <c r="F19" i="5"/>
  <c r="H19" i="5"/>
  <c r="I19" i="5"/>
  <c r="J19" i="5"/>
  <c r="K19" i="5"/>
  <c r="L19" i="5"/>
  <c r="N19" i="5"/>
  <c r="M19" i="5" s="1"/>
  <c r="A20" i="5"/>
  <c r="B20" i="5"/>
  <c r="C20" i="5"/>
  <c r="D20" i="5"/>
  <c r="E20" i="5"/>
  <c r="F20" i="5"/>
  <c r="H20" i="5"/>
  <c r="I20" i="5"/>
  <c r="J20" i="5"/>
  <c r="K20" i="5"/>
  <c r="L20" i="5"/>
  <c r="N20" i="5"/>
  <c r="M20" i="5" s="1"/>
  <c r="A21" i="5"/>
  <c r="B21" i="5"/>
  <c r="C21" i="5"/>
  <c r="D21" i="5"/>
  <c r="E21" i="5"/>
  <c r="F21" i="5"/>
  <c r="H21" i="5"/>
  <c r="I21" i="5"/>
  <c r="J21" i="5"/>
  <c r="K21" i="5"/>
  <c r="L21" i="5"/>
  <c r="N21" i="5"/>
  <c r="M21" i="5" s="1"/>
  <c r="A22" i="5"/>
  <c r="B22" i="5"/>
  <c r="C22" i="5"/>
  <c r="D22" i="5"/>
  <c r="E22" i="5"/>
  <c r="F22" i="5"/>
  <c r="H22" i="5"/>
  <c r="I22" i="5"/>
  <c r="J22" i="5"/>
  <c r="K22" i="5"/>
  <c r="L22" i="5"/>
  <c r="N22" i="5"/>
  <c r="M22" i="5" s="1"/>
  <c r="C15" i="5" l="1"/>
  <c r="D3" i="3" l="1"/>
  <c r="O41" i="7"/>
  <c r="D20" i="3"/>
  <c r="C26" i="5"/>
  <c r="N15" i="5"/>
  <c r="L15" i="5"/>
  <c r="J15" i="5"/>
  <c r="F15" i="5"/>
  <c r="I15" i="5"/>
  <c r="D26" i="6"/>
  <c r="G26" i="6"/>
  <c r="D1" i="3"/>
  <c r="H15" i="5"/>
  <c r="E15" i="5"/>
  <c r="D15" i="5"/>
  <c r="A26" i="6"/>
  <c r="W3" i="8"/>
  <c r="V3" i="8"/>
  <c r="M15" i="5"/>
  <c r="B15" i="5"/>
  <c r="B26" i="6"/>
  <c r="A15" i="5"/>
  <c r="E1" i="3"/>
  <c r="W2" i="8"/>
  <c r="V2" i="8"/>
  <c r="A2" i="6"/>
  <c r="D19" i="3"/>
  <c r="F17" i="3"/>
  <c r="E17" i="3"/>
  <c r="D17" i="3"/>
  <c r="D15" i="3"/>
  <c r="D12" i="3"/>
  <c r="E12" i="3"/>
  <c r="L8" i="5"/>
  <c r="D13" i="3"/>
  <c r="D10" i="3"/>
  <c r="L4" i="5"/>
  <c r="E15" i="3"/>
  <c r="C2" i="5"/>
  <c r="D1" i="5"/>
  <c r="V5" i="8"/>
  <c r="E3" i="3"/>
  <c r="D6" i="3"/>
  <c r="C5" i="5"/>
  <c r="E7" i="3"/>
  <c r="F7" i="3"/>
  <c r="D8" i="3"/>
  <c r="C4" i="5"/>
  <c r="B8" i="7"/>
  <c r="A14" i="6"/>
  <c r="G4" i="5"/>
  <c r="B12" i="7"/>
  <c r="E4" i="5"/>
  <c r="B11" i="7"/>
  <c r="A16" i="6"/>
  <c r="C3" i="5"/>
  <c r="B2" i="7"/>
  <c r="A8" i="6"/>
  <c r="A11" i="6"/>
  <c r="A3" i="6"/>
  <c r="C10" i="5"/>
  <c r="T8" i="7"/>
  <c r="C11" i="5"/>
  <c r="T11" i="7"/>
  <c r="D11" i="5"/>
  <c r="T12" i="7"/>
  <c r="B24" i="7"/>
  <c r="N28" i="7"/>
  <c r="G48" i="7"/>
  <c r="H18" i="6"/>
  <c r="E18" i="6"/>
  <c r="W5" i="8"/>
  <c r="L24" i="7"/>
  <c r="S28" i="7"/>
  <c r="B25" i="7"/>
  <c r="K15" i="5"/>
  <c r="N48" i="7"/>
  <c r="B38" i="7"/>
  <c r="B40" i="7"/>
  <c r="B39" i="7"/>
  <c r="B37" i="7"/>
  <c r="R50" i="7"/>
  <c r="E5" i="5"/>
  <c r="E19" i="6"/>
  <c r="F18" i="7"/>
  <c r="D14" i="7"/>
  <c r="R51" i="7"/>
  <c r="B55" i="7"/>
  <c r="F21" i="6"/>
  <c r="M11" i="5"/>
  <c r="M10" i="5"/>
  <c r="L5" i="5"/>
  <c r="E16" i="6"/>
  <c r="E14" i="6"/>
  <c r="AE1" i="7"/>
  <c r="J25" i="7"/>
  <c r="F9" i="6"/>
  <c r="F8" i="6"/>
  <c r="D22" i="7"/>
  <c r="E26" i="6"/>
  <c r="C40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7" authorId="0" shapeId="0" xr:uid="{0E169070-FD90-4E9D-BA53-8BACA7A72C2E}">
      <text>
        <r>
          <rPr>
            <b/>
            <sz val="9"/>
            <color indexed="81"/>
            <rFont val="Tahoma"/>
            <family val="2"/>
            <charset val="204"/>
          </rPr>
          <t>Для Росаква смотрим контракт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5" authorId="0" shapeId="0" xr:uid="{9A92AE39-0B8B-4381-B126-4857AEBECB65}">
      <text>
        <r>
          <rPr>
            <b/>
            <sz val="9"/>
            <color indexed="81"/>
            <rFont val="Tahoma"/>
            <family val="2"/>
            <charset val="204"/>
          </rPr>
          <t>ЕЗДЯТ БЕЗ КОНТРАКТА</t>
        </r>
      </text>
    </comment>
    <comment ref="E14" authorId="0" shapeId="0" xr:uid="{1530F297-88BD-436E-A1B0-CD3B6D7EA045}">
      <text>
        <r>
          <rPr>
            <b/>
            <sz val="9"/>
            <color indexed="81"/>
            <rFont val="Tahoma"/>
            <family val="2"/>
            <charset val="204"/>
          </rPr>
          <t>ЕЗДЯТ БЕЗ КОНТРАКТА</t>
        </r>
      </text>
    </comment>
    <comment ref="E16" authorId="0" shapeId="0" xr:uid="{B0576C3C-AD71-4356-BB41-52C52D2B3E8A}">
      <text>
        <r>
          <rPr>
            <b/>
            <sz val="9"/>
            <color indexed="81"/>
            <rFont val="Tahoma"/>
            <family val="2"/>
            <charset val="204"/>
          </rPr>
          <t>меняется</t>
        </r>
      </text>
    </comment>
  </commentList>
</comments>
</file>

<file path=xl/sharedStrings.xml><?xml version="1.0" encoding="utf-8"?>
<sst xmlns="http://schemas.openxmlformats.org/spreadsheetml/2006/main" count="593" uniqueCount="446">
  <si>
    <t>код ТНВЭД</t>
  </si>
  <si>
    <t>наименование   груза</t>
  </si>
  <si>
    <t>изготовитель</t>
  </si>
  <si>
    <t>род упаковки</t>
  </si>
  <si>
    <t>кол - во мест</t>
  </si>
  <si>
    <t>еденица измерения</t>
  </si>
  <si>
    <t>кол-во товара</t>
  </si>
  <si>
    <t>вес брутто</t>
  </si>
  <si>
    <t>вес нетто</t>
  </si>
  <si>
    <t>торговая марка</t>
  </si>
  <si>
    <t>CMR №</t>
  </si>
  <si>
    <t>А/М</t>
  </si>
  <si>
    <t>П/П</t>
  </si>
  <si>
    <t>VIN</t>
  </si>
  <si>
    <t>Водитель</t>
  </si>
  <si>
    <t>Паспорт</t>
  </si>
  <si>
    <t>Перевозчик</t>
  </si>
  <si>
    <t>Адрес</t>
  </si>
  <si>
    <t>Адрес отправителя</t>
  </si>
  <si>
    <t>Россия</t>
  </si>
  <si>
    <t>Дата ожид прибытия</t>
  </si>
  <si>
    <t>Дата составления накладной</t>
  </si>
  <si>
    <t>отгрузочная  спецификация  №</t>
  </si>
  <si>
    <t>ПРОДАВЕЦ</t>
  </si>
  <si>
    <t>ОТПРАВИТЕЛЬ</t>
  </si>
  <si>
    <t>ТРАНСПОРТ</t>
  </si>
  <si>
    <t>ПОЛУЧАТЕЛЬ</t>
  </si>
  <si>
    <t>КОНТРАКТ</t>
  </si>
  <si>
    <t>МЕСТО</t>
  </si>
  <si>
    <t>свидетельство о допущении</t>
  </si>
  <si>
    <t>РАЗГРУЗКИ</t>
  </si>
  <si>
    <t>ПЕРЕВОЗЧИК</t>
  </si>
  <si>
    <t>водитель</t>
  </si>
  <si>
    <t>паспорт</t>
  </si>
  <si>
    <t>№</t>
  </si>
  <si>
    <t>код</t>
  </si>
  <si>
    <t>маркировка</t>
  </si>
  <si>
    <t xml:space="preserve">род </t>
  </si>
  <si>
    <t>кол - во</t>
  </si>
  <si>
    <t>еденица</t>
  </si>
  <si>
    <t>кол-во</t>
  </si>
  <si>
    <t>вес</t>
  </si>
  <si>
    <t>цена</t>
  </si>
  <si>
    <t>стоимость</t>
  </si>
  <si>
    <t>п/п</t>
  </si>
  <si>
    <t>ТНВЭД</t>
  </si>
  <si>
    <t>грузового места</t>
  </si>
  <si>
    <t>упаковки</t>
  </si>
  <si>
    <t>мест</t>
  </si>
  <si>
    <t>измерения</t>
  </si>
  <si>
    <t>брутто</t>
  </si>
  <si>
    <t>нетто</t>
  </si>
  <si>
    <t>ИТОГО</t>
  </si>
  <si>
    <t>ТОВАРЫ ПРОИЗВОДСТВА КНР</t>
  </si>
  <si>
    <t>СОСТАВЛЕНА</t>
  </si>
  <si>
    <t>COMMERCIAL  INVOICE</t>
  </si>
  <si>
    <t>Invoice NO.and date</t>
  </si>
  <si>
    <t>TO :</t>
  </si>
  <si>
    <t>Place of Destination</t>
  </si>
  <si>
    <t>port of loading</t>
  </si>
  <si>
    <t>final destination</t>
  </si>
  <si>
    <t>Contract NO. and date</t>
  </si>
  <si>
    <t>marks</t>
  </si>
  <si>
    <t>description</t>
  </si>
  <si>
    <t>TOTAL :</t>
  </si>
  <si>
    <t xml:space="preserve">Итого : </t>
  </si>
  <si>
    <t>Отправитель (наименование, адрес, страна)</t>
  </si>
  <si>
    <t>При перевозке опасного груза указывать кроме возможного разрешения класс, цифру, а также, в случае необходимости букву опасного груза.</t>
  </si>
  <si>
    <t xml:space="preserve">Международная товарно-транспортная накладная                  </t>
  </si>
  <si>
    <t xml:space="preserve"> Данная перевозка, несмотря ни накакие прочие договоры, осуществляется в соответсвии с условиями Конвенции о договоре международной дорожной перевозке грузов (КДПГ)</t>
  </si>
  <si>
    <t>Получатель (наименование, адрес, страна)</t>
  </si>
  <si>
    <t>16</t>
  </si>
  <si>
    <t>Перевозчик (наименование, адрес, страна)</t>
  </si>
  <si>
    <t>РОССИЯ</t>
  </si>
  <si>
    <t>Позиции, выделенные рамкой заполняются перевозчиком</t>
  </si>
  <si>
    <t>Место разгрузки груза</t>
  </si>
  <si>
    <t>17</t>
  </si>
  <si>
    <t>Последующий перевозчик (наименование, адрес, страна)</t>
  </si>
  <si>
    <t>Место</t>
  </si>
  <si>
    <t>Страна</t>
  </si>
  <si>
    <t>Лицензия №</t>
  </si>
  <si>
    <t>Место и дата погрузки груза</t>
  </si>
  <si>
    <t>КНР</t>
  </si>
  <si>
    <t>18</t>
  </si>
  <si>
    <t>Оговорки и замечания перевозчика</t>
  </si>
  <si>
    <t>Дата</t>
  </si>
  <si>
    <t>5</t>
  </si>
  <si>
    <t>Прилагаемые документы</t>
  </si>
  <si>
    <t>6</t>
  </si>
  <si>
    <t>Знаки и номера</t>
  </si>
  <si>
    <t>7</t>
  </si>
  <si>
    <t>Количество мест</t>
  </si>
  <si>
    <t>8</t>
  </si>
  <si>
    <t>Род упаковки</t>
  </si>
  <si>
    <t>9</t>
  </si>
  <si>
    <t>Наименование груза</t>
  </si>
  <si>
    <t>10</t>
  </si>
  <si>
    <t>Статист. №</t>
  </si>
  <si>
    <t>11</t>
  </si>
  <si>
    <t>Вес брутто, кг</t>
  </si>
  <si>
    <t>12</t>
  </si>
  <si>
    <t>Объем, м3</t>
  </si>
  <si>
    <t>Товары по спецификации №</t>
  </si>
  <si>
    <t>от</t>
  </si>
  <si>
    <t>Класс</t>
  </si>
  <si>
    <t>Цифра</t>
  </si>
  <si>
    <t>Буква</t>
  </si>
  <si>
    <t>ДОПОГ</t>
  </si>
  <si>
    <t>13</t>
  </si>
  <si>
    <t>Указания отправителя (таможенная и прочая обработка)</t>
  </si>
  <si>
    <t>19</t>
  </si>
  <si>
    <t>Подлежит к оплате</t>
  </si>
  <si>
    <t>Отправитель</t>
  </si>
  <si>
    <t>Валюта</t>
  </si>
  <si>
    <t>Получатель</t>
  </si>
  <si>
    <t>Заполняется отправителем                           1-15 включая</t>
  </si>
  <si>
    <t>Ставка</t>
  </si>
  <si>
    <t>Скидки</t>
  </si>
  <si>
    <t>Разность</t>
  </si>
  <si>
    <t>Надбавки</t>
  </si>
  <si>
    <t>Обявленная стоимость груза</t>
  </si>
  <si>
    <t>Допол.  сборы</t>
  </si>
  <si>
    <t>(при превышении предела ответственности предусмотренного гл. IV, ст. 23 п. 3 указывается только после согласованиядополнительной платы к фрахту)</t>
  </si>
  <si>
    <t>Прочие</t>
  </si>
  <si>
    <t>Итого к оплате</t>
  </si>
  <si>
    <t>14</t>
  </si>
  <si>
    <t>Возврат</t>
  </si>
  <si>
    <t>15</t>
  </si>
  <si>
    <t>Условия оплаты</t>
  </si>
  <si>
    <t>20</t>
  </si>
  <si>
    <t>Особые согласованные условия</t>
  </si>
  <si>
    <t>Франко</t>
  </si>
  <si>
    <t>Нефранко</t>
  </si>
  <si>
    <t>21</t>
  </si>
  <si>
    <t xml:space="preserve">Составлена в </t>
  </si>
  <si>
    <t>24</t>
  </si>
  <si>
    <t>Груз получен                         Дата</t>
  </si>
  <si>
    <t>22</t>
  </si>
  <si>
    <r>
      <t>Прибытие под погрузку</t>
    </r>
    <r>
      <rPr>
        <b/>
        <u/>
        <sz val="6.5"/>
        <rFont val="Arial"/>
        <family val="2"/>
        <charset val="204"/>
      </rPr>
      <t xml:space="preserve"> 17 </t>
    </r>
    <r>
      <rPr>
        <b/>
        <sz val="6.5"/>
        <rFont val="Arial"/>
        <family val="2"/>
        <charset val="204"/>
      </rPr>
      <t>час</t>
    </r>
    <r>
      <rPr>
        <b/>
        <u/>
        <sz val="6.5"/>
        <rFont val="Arial"/>
        <family val="2"/>
        <charset val="204"/>
      </rPr>
      <t xml:space="preserve"> 30 </t>
    </r>
    <r>
      <rPr>
        <b/>
        <sz val="6.5"/>
        <rFont val="Arial"/>
        <family val="2"/>
        <charset val="204"/>
      </rPr>
      <t>мин</t>
    </r>
  </si>
  <si>
    <t>23</t>
  </si>
  <si>
    <t>Путевой лист № ___ от "____" _______ 20</t>
  </si>
  <si>
    <t xml:space="preserve">Фамилии </t>
  </si>
  <si>
    <t>am "____" ___________ 20___</t>
  </si>
  <si>
    <r>
      <t xml:space="preserve">  Убытие                       </t>
    </r>
    <r>
      <rPr>
        <b/>
        <u/>
        <sz val="6.5"/>
        <rFont val="Arial"/>
        <family val="2"/>
        <charset val="204"/>
      </rPr>
      <t xml:space="preserve"> 18 </t>
    </r>
    <r>
      <rPr>
        <b/>
        <sz val="6.5"/>
        <rFont val="Arial"/>
        <family val="2"/>
      </rPr>
      <t xml:space="preserve">час </t>
    </r>
    <r>
      <rPr>
        <b/>
        <u/>
        <sz val="6.5"/>
        <rFont val="Arial"/>
        <family val="2"/>
        <charset val="204"/>
      </rPr>
      <t xml:space="preserve">30 </t>
    </r>
    <r>
      <rPr>
        <b/>
        <sz val="6.5"/>
        <rFont val="Arial"/>
        <family val="2"/>
      </rPr>
      <t>мин</t>
    </r>
  </si>
  <si>
    <t>водителей ___________________________</t>
  </si>
  <si>
    <t>Прибытие под разгрузку _____ час ____ мин</t>
  </si>
  <si>
    <t>Убытие                          ______ час ____ мин</t>
  </si>
  <si>
    <t>Подпись и штапм перевозчика</t>
  </si>
  <si>
    <t>Подпись и штапм получателя</t>
  </si>
  <si>
    <t>25</t>
  </si>
  <si>
    <t>Регистрац. номер                        Тягач                  Полуприцеп</t>
  </si>
  <si>
    <t>26</t>
  </si>
  <si>
    <t>Марка                                 Тягач                  Полуприцеп</t>
  </si>
  <si>
    <t>27</t>
  </si>
  <si>
    <t>Тариф 1 за км.</t>
  </si>
  <si>
    <t>Тарифное расстояние</t>
  </si>
  <si>
    <t xml:space="preserve"> % за испол тягача/п/пл.</t>
  </si>
  <si>
    <t>Поясной коэфф.</t>
  </si>
  <si>
    <t>Прочие доплаты</t>
  </si>
  <si>
    <t>Сумма</t>
  </si>
  <si>
    <t>28</t>
  </si>
  <si>
    <t>Тарифное расстояние, км</t>
  </si>
  <si>
    <t>Схема</t>
  </si>
  <si>
    <t>Тарифный вес, т</t>
  </si>
  <si>
    <t>Тариф за      1 т</t>
  </si>
  <si>
    <t>Прочее доплаты</t>
  </si>
  <si>
    <t>К оплате</t>
  </si>
  <si>
    <t>Отчисления</t>
  </si>
  <si>
    <t>Тариф II</t>
  </si>
  <si>
    <t>Оплачено заказчиком</t>
  </si>
  <si>
    <t>29</t>
  </si>
  <si>
    <t>Код плательщика</t>
  </si>
  <si>
    <t>Тариф III</t>
  </si>
  <si>
    <t xml:space="preserve">от </t>
  </si>
  <si>
    <t>Условия поставки</t>
  </si>
  <si>
    <t>Китай</t>
  </si>
  <si>
    <t>PCS</t>
  </si>
  <si>
    <t>quantity</t>
  </si>
  <si>
    <t>БЕЗ ЗАМЕЧАНИЙ</t>
  </si>
  <si>
    <t>СВХ ООО "НАБАЗ" , ПРИМОРСКИЙ КРАЙ, Г. УССУРИЙСК,УЛ. ЛИМИЧЕВСКАЯ,21-А</t>
  </si>
  <si>
    <t>ТОВАРОВ,ЗАПРЕЩЕННЫХ К ВВОЗУ В РФ,НЕТ</t>
  </si>
  <si>
    <t>мест частично</t>
  </si>
  <si>
    <t>&lt;--Дата выдачи</t>
  </si>
  <si>
    <t>CNY</t>
  </si>
  <si>
    <t>¥</t>
  </si>
  <si>
    <t>CNY(кит.юаней)</t>
  </si>
  <si>
    <t>/ EXW-BEIJING /</t>
  </si>
  <si>
    <t>BEIJING DISHANG CLOTHING &amp; ACCESSORIES CO., LTD.</t>
  </si>
  <si>
    <t>ООО "ДИ ШАН"</t>
  </si>
  <si>
    <t>ИНН 9723178881</t>
  </si>
  <si>
    <t>ОГРН 1227700800942</t>
  </si>
  <si>
    <t>MSK-DS</t>
  </si>
  <si>
    <t>Х317КР116</t>
  </si>
  <si>
    <t>АМ682725</t>
  </si>
  <si>
    <t>ХТС549005G2470345</t>
  </si>
  <si>
    <t>66-8931703</t>
  </si>
  <si>
    <t>ИП ПОТКУР МАРИЯ АЛЕКСЕЕВНА</t>
  </si>
  <si>
    <t>ИНН 253150031593</t>
  </si>
  <si>
    <t>ОГРНИП 322253600026391</t>
  </si>
  <si>
    <t>т/п  Уссурийский</t>
  </si>
  <si>
    <t>вносим сами</t>
  </si>
  <si>
    <t>Пост прибытия</t>
  </si>
  <si>
    <t>/ DAP-СУЙФЭНЬХЭ /</t>
  </si>
  <si>
    <t>Наименование компании</t>
  </si>
  <si>
    <t>Адрес компании</t>
  </si>
  <si>
    <t>Room 231 Floor 2, Building 19, Ritan North Road, Chaoyang District, City Beijing, China</t>
  </si>
  <si>
    <t>Тягач</t>
  </si>
  <si>
    <t>Прицеп</t>
  </si>
  <si>
    <t>Вин/рама</t>
  </si>
  <si>
    <t>Е677ТЕ125</t>
  </si>
  <si>
    <t>АЕ136525</t>
  </si>
  <si>
    <t>XLRTS47MS0G013282</t>
  </si>
  <si>
    <t>Меженьков Владимир Николаевич</t>
  </si>
  <si>
    <t>Водитель ФИО</t>
  </si>
  <si>
    <t>Паспорт номер</t>
  </si>
  <si>
    <t>Паспорт дата</t>
  </si>
  <si>
    <t>Беззубов Сергей Васильевич</t>
  </si>
  <si>
    <t>ООО "ИНТЕРИМ"</t>
  </si>
  <si>
    <t>ИНН 2543183417</t>
  </si>
  <si>
    <t>ОГРН 1242500007958</t>
  </si>
  <si>
    <t>690014, Приморский край, г. Владивосток, Народный пр-кт, д.28, офис 318, РФ</t>
  </si>
  <si>
    <t>109341, г. Москва, вн.тер.г. муниципальный округ Марьино, ул. Люблинская, д.151, РФ</t>
  </si>
  <si>
    <t>Наименование</t>
  </si>
  <si>
    <t>ИНН</t>
  </si>
  <si>
    <t>ОГРН</t>
  </si>
  <si>
    <t>Приморский край, г. Владивосток, ул. Адмирала Юмашева, д.16 Г, кв.70</t>
  </si>
  <si>
    <t>CHANGZHOU PEI BILLION ENGINEERING MACHINERY CO., LTD.</t>
  </si>
  <si>
    <t>SHENZHEN RUIQI IMPORT &amp; EXPORT CO., LTD.</t>
  </si>
  <si>
    <t>Shenzhen, Huangbei Street,Luohu District, C-1203 Southern Building Luofang Road, China</t>
  </si>
  <si>
    <t>Province Changzhou city Jiangsu, Zhonglou District,, No.77 Huaide South Road, Xilin Street, China</t>
  </si>
  <si>
    <t>Приморский край, г. Владивосток,  ул. Запорожская д.77, оф.720</t>
  </si>
  <si>
    <t>ООО «РЕАЛ ЭСТЕЙТ КОМПАНИ»</t>
  </si>
  <si>
    <t>ИНН 2538144525</t>
  </si>
  <si>
    <t>ОГРН  1112538000706</t>
  </si>
  <si>
    <t>Контракт №</t>
  </si>
  <si>
    <t>INT1704</t>
  </si>
  <si>
    <t>NANTONG OU-LAND INDUSTRY CO.,LTD.</t>
  </si>
  <si>
    <t>Room 510 No.181 Middle Haiyang Road Rugao City, Jiangsu Prov. China 226500</t>
  </si>
  <si>
    <t>ООО "МЕЛТ"</t>
  </si>
  <si>
    <t>445008, РФ, Самарская область, г. Тольятти, ул. Матросова д.28, кв. 36</t>
  </si>
  <si>
    <t>ИНН 6324109545</t>
  </si>
  <si>
    <t>ОГРН 1206300018770</t>
  </si>
  <si>
    <t>Продавец</t>
  </si>
  <si>
    <t>76-9422616</t>
  </si>
  <si>
    <t>Адрес получателя</t>
  </si>
  <si>
    <t xml:space="preserve">Получатель: </t>
  </si>
  <si>
    <t>Номер контракта</t>
  </si>
  <si>
    <t>Инвойс №</t>
  </si>
  <si>
    <t>&lt;----------</t>
  </si>
  <si>
    <t>Свидетельство о допуске</t>
  </si>
  <si>
    <t>10716050-24/2019</t>
  </si>
  <si>
    <t>ML</t>
  </si>
  <si>
    <t>INT</t>
  </si>
  <si>
    <t>DS</t>
  </si>
  <si>
    <t>буквенное наименование для смр</t>
  </si>
  <si>
    <t>Формируется автоматически</t>
  </si>
  <si>
    <t>Seller:</t>
  </si>
  <si>
    <t>Shipper / exporter :</t>
  </si>
  <si>
    <t>номер в инвойсе</t>
  </si>
  <si>
    <t>цена в гтд , юани</t>
  </si>
  <si>
    <t>адрес изготовителя</t>
  </si>
  <si>
    <t>обьем</t>
  </si>
  <si>
    <t>материал</t>
  </si>
  <si>
    <r>
      <t>маркировка грузового места/</t>
    </r>
    <r>
      <rPr>
        <b/>
        <i/>
        <sz val="20"/>
        <color indexed="8"/>
        <rFont val="Times New Roman"/>
        <family val="1"/>
        <charset val="204"/>
      </rPr>
      <t>序号</t>
    </r>
  </si>
  <si>
    <t>модель</t>
  </si>
  <si>
    <t>12/2023</t>
  </si>
  <si>
    <t>ООО "РЕГИОНАЛЬНАЯ ТОРГОВАЯ КОМПАНИЯ "РОСАКВА"</t>
  </si>
  <si>
    <t>ИНН 7810846669</t>
  </si>
  <si>
    <t>ОГРН 1117847475987</t>
  </si>
  <si>
    <t>RA</t>
  </si>
  <si>
    <t>/FCA-BEIJING/</t>
  </si>
  <si>
    <t>Шевченко Сергей Дмитриевич</t>
  </si>
  <si>
    <t>77-2950046</t>
  </si>
  <si>
    <t>АЕ007725</t>
  </si>
  <si>
    <t>В936ВВ125</t>
  </si>
  <si>
    <t>XLRTE47MS0E939171</t>
  </si>
  <si>
    <t>10716050-33/2019</t>
  </si>
  <si>
    <t>197374, г.Санкт-Петербург, вн.тер.г. муниципальный округ № 65, ул. Мебельная, д. 5, литера а, помещ. 1-н</t>
  </si>
  <si>
    <t>No.1259 Liangtang East Road, Changsha Economic&amp;Technological Development Zone Changsha, P. R. China.</t>
  </si>
  <si>
    <t>Код вида документа. F4 - классификатор</t>
  </si>
  <si>
    <t>Признак представления документа. F4 - классификатор</t>
  </si>
  <si>
    <t>Номер документа. F4 - классификатор (для разрешительных документов, контрактов, сертификатов происхождения</t>
  </si>
  <si>
    <t>Дата документа. F4 - календарь, F9 - сегодня</t>
  </si>
  <si>
    <t>Наименование документа</t>
  </si>
  <si>
    <t>Регистрационный номер ДТ/ТД или иного таможенного документа, с которым документ представлялся ранее. F4 - классификатор</t>
  </si>
  <si>
    <t>Дата начала действия документа. F4 - календарь, F9 - сегодня</t>
  </si>
  <si>
    <t>Дата окончания действия документа. F4 - календарь, F9 - сегодня</t>
  </si>
  <si>
    <t>Печать на дополнении (устанавливается автоматически с учетом настроек переноса на дополнение). F9 - указать вручную</t>
  </si>
  <si>
    <t>0</t>
  </si>
  <si>
    <t/>
  </si>
  <si>
    <t>НЕОТМЕЧЕНО</t>
  </si>
  <si>
    <t>02015</t>
  </si>
  <si>
    <t>2090205RA</t>
  </si>
  <si>
    <t>02.05.2024</t>
  </si>
  <si>
    <t>ТРАНСПОРТНАЯ НАКЛАДНАЯ</t>
  </si>
  <si>
    <t>SO/CKIC/2024022701</t>
  </si>
  <si>
    <t>27.02.2024</t>
  </si>
  <si>
    <t>2</t>
  </si>
  <si>
    <t>ОТМЕЧЕНО</t>
  </si>
  <si>
    <t>04021</t>
  </si>
  <si>
    <t>СЧЕТ-ФАКТУРА (ИНВОЙС) К ДОГОВОРУ</t>
  </si>
  <si>
    <t>04033</t>
  </si>
  <si>
    <t>2019052101</t>
  </si>
  <si>
    <t>21.05.2019</t>
  </si>
  <si>
    <t>ДОГОВОР ПО ПЕРЕВОЗКЕ, ПОГРУЗКЕ, РАЗГРУЗКЕ ИЛИ ПЕРЕГРУЗКЕ ТОВАРОВ</t>
  </si>
  <si>
    <t>10228010/270621/0286331</t>
  </si>
  <si>
    <t>05999</t>
  </si>
  <si>
    <t>ОТГРУЗОЧНАЯ СПЕЦИФИКАЦИЯ</t>
  </si>
  <si>
    <t>Интерим-РЭКО</t>
  </si>
  <si>
    <t>ООО «ХЭВИ ИНДАСТРИ СОЛЮШНЗ»</t>
  </si>
  <si>
    <t>153505, Ивановская обл., м.р-н Ивановский, с.п. Озёрновское, ул.Колхозная, дом 24, РФ</t>
  </si>
  <si>
    <t>ИНН 3700000812</t>
  </si>
  <si>
    <t>ОГРН 1223700010203</t>
  </si>
  <si>
    <t>HIS-100125</t>
  </si>
  <si>
    <t>ХI</t>
  </si>
  <si>
    <t>214027, Qinglongshan, Wuxi,jiangsu, Building 2,No.129, China</t>
  </si>
  <si>
    <t>/ FCA-СУЙФЭНЬХЭ /</t>
  </si>
  <si>
    <t>товара</t>
  </si>
  <si>
    <t>Суйфэньхэ</t>
  </si>
  <si>
    <t>ООО "ДЕКРИ ИНЖИНИРИНГ - МОСКВА"</t>
  </si>
  <si>
    <t>ИНН 9728100078</t>
  </si>
  <si>
    <t>ОГРН 1237700453473</t>
  </si>
  <si>
    <t>119421, Г.МОСКВА, ВН.ТЕР.Г. МУНИЦИПАЛЬНЫЙ ОКРУГ ОБРУЧЕВСКИЙ, ПР-КТ ЛЕНИНСКИЙ, Д. 111, К. 1, ПОМЕЩ. 24Н</t>
  </si>
  <si>
    <t>DK/DKM-4</t>
  </si>
  <si>
    <t>DIM</t>
  </si>
  <si>
    <t>100025, D1501, NO.62 DONG SI HUAN ZHONG LU, CHAOYANG DISTRICT, BEIJING, P.R. CHINA</t>
  </si>
  <si>
    <t>BEIJING DEKREE TRADE DEVELOPMENT CO.,LTD.</t>
  </si>
  <si>
    <t>WUXI ACHEM VALVE AUTOMATION CO.,LTD.</t>
  </si>
  <si>
    <t>CHANGSHA KAIYUAN INSTRUMENTS CO., LTD.</t>
  </si>
  <si>
    <t>М209АУ125</t>
  </si>
  <si>
    <t>АВ994425</t>
  </si>
  <si>
    <t>10716050-25/2019</t>
  </si>
  <si>
    <t>XLRTE47MS0E962123</t>
  </si>
  <si>
    <t>Zhonglou Economic Development Zone, Zhonglou District, Changzhou, Jiangsu No. 39 Guihua Road,</t>
  </si>
  <si>
    <t>ООО «СИБСПЕЦСЕРВИС»</t>
  </si>
  <si>
    <t>660055, г. Красноярск, пр. Металлургов 1М строение 2</t>
  </si>
  <si>
    <t>ИНН 2465279246</t>
  </si>
  <si>
    <t>ОГРН 1122468053366</t>
  </si>
  <si>
    <t>20250807ZJ</t>
  </si>
  <si>
    <t>SS</t>
  </si>
  <si>
    <t>CHANGZHOU PEI BILLION ENGINEERING MACHINERY CO., LTD</t>
  </si>
  <si>
    <t>Т080КХ125</t>
  </si>
  <si>
    <t>ОО091125</t>
  </si>
  <si>
    <t>XLRTE47MS0G020783</t>
  </si>
  <si>
    <t>10716050-227/2024</t>
  </si>
  <si>
    <t>FAST STAR INTERNATIONAL FORWARDING CO., LTD.</t>
  </si>
  <si>
    <t>Chaoyang district, Baiziwanxili road, bld. 104, unit2, room 212, Beijing, China</t>
  </si>
  <si>
    <t>ООО "АВ КОММЕРС"</t>
  </si>
  <si>
    <t>630112, Новосибирская область, г.о. Город Новосибирск, г Новосибирск, ул Красина, здание 54, офис 202</t>
  </si>
  <si>
    <t>ИНН  5405010768</t>
  </si>
  <si>
    <t>АВК</t>
  </si>
  <si>
    <t>ОГРН 1245400040423</t>
  </si>
  <si>
    <t>ООО «Транслоджистик»</t>
  </si>
  <si>
    <t>ОГРН 1177746920427</t>
  </si>
  <si>
    <t>ИНН 9701086404</t>
  </si>
  <si>
    <t>Московская область, г. Москва, ул. Дубининская, дом 67, корпус 2, кабинет 2-13</t>
  </si>
  <si>
    <t>TL-DF/1019</t>
  </si>
  <si>
    <t>TL</t>
  </si>
  <si>
    <t>MANZHOULI JINFUGUI TRADE CO., LTD</t>
  </si>
  <si>
    <t>Manzhouli city, Room 8, Block a, Bld 1, Xinhuayuan Community, China</t>
  </si>
  <si>
    <t>/CPT- ПОГРАНИЧНЫЙ/</t>
  </si>
  <si>
    <t>10716/291110/10032/11 действует с 08.10.2025 г.</t>
  </si>
  <si>
    <t>ООО "Борей"</t>
  </si>
  <si>
    <t>ИНН 2703078170</t>
  </si>
  <si>
    <t>ОГРН 1142703001000</t>
  </si>
  <si>
    <t>681005, Хабаровский край г. Комсомольск-на-Амуре, ул. Фурманова, 18 лит В, оф 201</t>
  </si>
  <si>
    <t>BR</t>
  </si>
  <si>
    <t xml:space="preserve">ZHENJIANG JESDA IMPORT AND EXPORT CO., LTD </t>
  </si>
  <si>
    <t>2/104 Baota Lane, Zhenjiang City, Jiangsu Pr., China</t>
  </si>
  <si>
    <t>amount (¥)</t>
  </si>
  <si>
    <t>SHENZHEN RUIQI IMPORT&amp;EXPORT CO., LTD</t>
  </si>
  <si>
    <t>C-1203 Southern Building Luofang Road Huangbei Street Luohu District Shenzhen, China</t>
  </si>
  <si>
    <t>ООО "ФАСТ ИМПОРТ"</t>
  </si>
  <si>
    <t>117216,г. Москва, УЛ.Феодосийская, д.1, корп. 11, эт.2, офисГ3, РФ</t>
  </si>
  <si>
    <t>ИНН 7723393317</t>
  </si>
  <si>
    <t>ОГРН 1157746488338</t>
  </si>
  <si>
    <t>YY2018-30</t>
  </si>
  <si>
    <t>FI</t>
  </si>
  <si>
    <t>упаковка по спецификации</t>
  </si>
  <si>
    <t>ООО "Открытая площадка"</t>
  </si>
  <si>
    <t>ИНН 2543164615</t>
  </si>
  <si>
    <t>ОГРН 1222500007531</t>
  </si>
  <si>
    <t>690049, г.о. Владивостокский, г. Владивосток,ул. Бородинская  д. 20, офис 203</t>
  </si>
  <si>
    <t>DG201024</t>
  </si>
  <si>
    <t>OP</t>
  </si>
  <si>
    <t>DORNECO GROUP Co.LTD.</t>
  </si>
  <si>
    <t>Off. 1329, Gwanghwamoon Officia B/D, Sinmoonro 1-ga 163, Jongro-gu Seoul, Korea</t>
  </si>
  <si>
    <t>USD</t>
  </si>
  <si>
    <t>unit price (¥)</t>
  </si>
  <si>
    <t>$</t>
  </si>
  <si>
    <t>amount ($)</t>
  </si>
  <si>
    <t>unit price ($)</t>
  </si>
  <si>
    <t>USD(дол.США)</t>
  </si>
  <si>
    <t>ООО "ЛИТАС"</t>
  </si>
  <si>
    <t>420095, респ. Татарстан, г. Казань,  ул. Серова, д. 9А, пом. 17</t>
  </si>
  <si>
    <t>ИНН 1658179729</t>
  </si>
  <si>
    <t>ОГРН 1151690044043</t>
  </si>
  <si>
    <t>LTS20250805</t>
  </si>
  <si>
    <t>LT</t>
  </si>
  <si>
    <t>Room 1112, No. 407 Luhua Road, Jiangyin City, China</t>
  </si>
  <si>
    <t>WUXI LITASI IMPORT AND EXPORT CO.,LTD</t>
  </si>
  <si>
    <t>/ EXW-СУЙФЭНЬХЭ /</t>
  </si>
  <si>
    <t>TJ TEDA INTERNATIONAL FREIGHT FORWARDING CO., LIMITED</t>
  </si>
  <si>
    <t>FLAT/RM 2309 23/F HO KING COMM CTR2-16 FAYUEN MONGKOK KL H K CHINA</t>
  </si>
  <si>
    <t>ООО "АТЛАС-М"</t>
  </si>
  <si>
    <t>115533, г.Москва, ул. Высокая, Д. 4, КВ. 59</t>
  </si>
  <si>
    <t>ОГРН 1147746626400</t>
  </si>
  <si>
    <t>ИНН 7730707645</t>
  </si>
  <si>
    <t>АМ</t>
  </si>
  <si>
    <t>AM-TJ/2023</t>
  </si>
  <si>
    <t>/CPT- MOSCOW/</t>
  </si>
  <si>
    <t>ООО "ВИТА"</t>
  </si>
  <si>
    <t>188354, Ленинградсккая  обл., Гатчинский м.р-н, Веревско с.п. д.Малое Верево, ул. Кутышева, д. 1,кв. 2</t>
  </si>
  <si>
    <t>ИНН 4705095915</t>
  </si>
  <si>
    <t>ОГРН 1224700012910</t>
  </si>
  <si>
    <t>VT</t>
  </si>
  <si>
    <t>SHANGHAI AIMCHAMP ABRASIVES CO., LTD</t>
  </si>
  <si>
    <t>201106, Building A 2101-1, No. 668, Xinzhuan Rd, Songjiang District, Shanghai China</t>
  </si>
  <si>
    <t>HUNAN YUHAN GRINDING MATERIAL TECHNOLOGY CO., LTD</t>
  </si>
  <si>
    <t>Lot F-01-4 Shaoyang economic development zone, Shaoyang, Hunan, China</t>
  </si>
  <si>
    <t>YH25051</t>
  </si>
  <si>
    <t>TECHNICAL INTERNATIONAL SERVICE LP</t>
  </si>
  <si>
    <t>G116AA, SCOTLAND, GLASGOW, MANSFIELD PARK, 211 DUMBARTON ROAD, DEP 3907, FLOOR 1, GB</t>
  </si>
  <si>
    <t>фанер.ящик</t>
  </si>
  <si>
    <t>шт</t>
  </si>
  <si>
    <t>YANTAI SUNDY SCIENCE ENVIROMENTAL TECHNOLOGY LTD.</t>
  </si>
  <si>
    <t xml:space="preserve">BUILDING 8，NO.39, SCIENCE AND TECHNOLOGY AVENUE, YANTAI HIGH-TECH ZONE, CHINA </t>
  </si>
  <si>
    <t>RA-25/2110-CH</t>
  </si>
  <si>
    <t>НЕ ОБОЗНАЧЕНА</t>
  </si>
  <si>
    <t>CI-20102025-001</t>
  </si>
  <si>
    <t>ИСПЫТАТЕЛЬНАЯ КОКСОВАЯ ПЕЧЬ</t>
  </si>
  <si>
    <t>Zhongwei National Engineering Research Center For Coking Technology Co.,Ltd.</t>
  </si>
  <si>
    <t>В292-1-3</t>
  </si>
  <si>
    <t>компл.</t>
  </si>
  <si>
    <t>Реторта коксования угля</t>
  </si>
  <si>
    <t>YANTAI SUNDY SCIENCE ENVIROMENTAL TECHNOLOGY LТD</t>
  </si>
  <si>
    <t>В292-4</t>
  </si>
  <si>
    <t>Теплоизоляционный кожух
реторты коксования угля</t>
  </si>
  <si>
    <t>Теплоизоляционная накладка</t>
  </si>
  <si>
    <t>Термопара HCHS2KG-5-3</t>
  </si>
  <si>
    <t>Прокладка реторты коксования</t>
  </si>
  <si>
    <t>Уплотнительная прокладка</t>
  </si>
  <si>
    <t>Уплотнительная прокладка из ПТФЭ</t>
  </si>
  <si>
    <t>отсутствует</t>
  </si>
  <si>
    <t>часть места</t>
  </si>
  <si>
    <r>
      <t>Means  of   transport  :</t>
    </r>
    <r>
      <rPr>
        <sz val="16"/>
        <color theme="1"/>
        <rFont val="Calibri"/>
        <family val="2"/>
        <charset val="204"/>
        <scheme val="minor"/>
      </rPr>
      <t xml:space="preserve">   by  truck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</si>
</sst>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₽&quot;_-;\-* #,##0.00\ &quot;₽&quot;_-;_-* &quot;-&quot;??\ &quot;₽&quot;_-;_-@_-"/>
    <numFmt numFmtId="164" formatCode="_-* #,##0.00_р_._-;\-* #,##0.00_р_._-;_-* &quot;-&quot;??_р_._-;_-@_-"/>
    <numFmt numFmtId="165" formatCode="0.0000"/>
    <numFmt numFmtId="166" formatCode="000000"/>
    <numFmt numFmtId="167" formatCode="[$-419]General"/>
    <numFmt numFmtId="168" formatCode="_-* #,##0_р_._-;\-* #,##0_р_._-;_-* &quot;-&quot;??_р_._-;_-@_-"/>
    <numFmt numFmtId="169" formatCode="dd/mm/yyyy;@"/>
    <numFmt numFmtId="170" formatCode="[$$-409]#,##0.00"/>
  </numFmts>
  <fonts count="164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2"/>
      <name val="宋体"/>
      <charset val="134"/>
    </font>
    <font>
      <sz val="11"/>
      <color rgb="FF000000"/>
      <name val="Calibri"/>
      <family val="2"/>
    </font>
    <font>
      <sz val="10"/>
      <color indexed="9"/>
      <name val="Arial Cyr"/>
      <charset val="204"/>
    </font>
    <font>
      <sz val="10"/>
      <name val="Arial Cyr"/>
      <family val="2"/>
      <charset val="204"/>
    </font>
    <font>
      <sz val="8"/>
      <name val="Arial Cyr"/>
      <charset val="204"/>
    </font>
    <font>
      <b/>
      <sz val="10"/>
      <name val="Arial"/>
      <family val="2"/>
    </font>
    <font>
      <b/>
      <sz val="6.5"/>
      <name val="Arial"/>
      <family val="2"/>
    </font>
    <font>
      <b/>
      <sz val="8"/>
      <name val="Arial"/>
      <family val="2"/>
      <charset val="204"/>
    </font>
    <font>
      <b/>
      <sz val="8"/>
      <name val="Arial"/>
      <family val="2"/>
    </font>
    <font>
      <sz val="6.5"/>
      <name val="Arial"/>
      <family val="2"/>
    </font>
    <font>
      <b/>
      <sz val="6"/>
      <name val="Arial"/>
      <family val="2"/>
    </font>
    <font>
      <b/>
      <sz val="6.5"/>
      <name val="Arial"/>
      <family val="2"/>
      <charset val="204"/>
    </font>
    <font>
      <b/>
      <u/>
      <sz val="6.5"/>
      <name val="Arial"/>
      <family val="2"/>
      <charset val="204"/>
    </font>
    <font>
      <sz val="6.5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4"/>
      <color indexed="9"/>
      <name val="Calibri"/>
      <family val="2"/>
      <charset val="204"/>
      <scheme val="minor"/>
    </font>
    <font>
      <b/>
      <sz val="14"/>
      <color indexed="9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u/>
      <sz val="14"/>
      <name val="Calibri"/>
      <family val="2"/>
      <charset val="204"/>
      <scheme val="minor"/>
    </font>
    <font>
      <b/>
      <sz val="8"/>
      <name val="Arial Cyr"/>
      <charset val="204"/>
    </font>
    <font>
      <sz val="14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20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7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b/>
      <sz val="18"/>
      <color indexed="56"/>
      <name val="宋体"/>
      <charset val="134"/>
    </font>
    <font>
      <b/>
      <sz val="11"/>
      <color indexed="8"/>
      <name val="宋体"/>
      <charset val="134"/>
    </font>
    <font>
      <sz val="11"/>
      <color indexed="10"/>
      <name val="宋体"/>
      <charset val="13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8"/>
      <color indexed="56"/>
      <name val="Cambria"/>
      <family val="1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sz val="11"/>
      <color indexed="16"/>
      <name val="Calibri"/>
      <family val="2"/>
      <charset val="204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sz val="11"/>
      <name val="돋움"/>
      <family val="3"/>
      <charset val="129"/>
    </font>
    <font>
      <sz val="8"/>
      <name val="Arial"/>
      <family val="2"/>
    </font>
    <font>
      <sz val="11"/>
      <color theme="1"/>
      <name val="Calibri"/>
      <family val="3"/>
      <charset val="134"/>
      <scheme val="minor"/>
    </font>
    <font>
      <sz val="12"/>
      <name val="宋体"/>
      <charset val="204"/>
    </font>
    <font>
      <sz val="11"/>
      <color rgb="FF000000"/>
      <name val="Calibri"/>
      <family val="2"/>
      <charset val="204"/>
    </font>
    <font>
      <sz val="16"/>
      <name val="Calibri"/>
      <family val="2"/>
      <charset val="204"/>
      <scheme val="minor"/>
    </font>
    <font>
      <sz val="16"/>
      <name val="Arial Cyr"/>
      <charset val="204"/>
    </font>
    <font>
      <sz val="16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5"/>
      <name val="Arial"/>
      <family val="2"/>
      <charset val="204"/>
    </font>
    <font>
      <b/>
      <sz val="15"/>
      <name val="Arial"/>
      <family val="2"/>
      <charset val="204"/>
    </font>
    <font>
      <b/>
      <sz val="10"/>
      <name val="Calibri"/>
      <family val="2"/>
      <charset val="204"/>
      <scheme val="minor"/>
    </font>
    <font>
      <sz val="18"/>
      <name val="Arial Cyr"/>
      <charset val="204"/>
    </font>
    <font>
      <sz val="18"/>
      <color theme="1"/>
      <name val="Calibri"/>
      <family val="2"/>
      <charset val="204"/>
      <scheme val="minor"/>
    </font>
    <font>
      <sz val="18"/>
      <name val="Arial Cyr"/>
      <family val="2"/>
      <charset val="204"/>
    </font>
    <font>
      <sz val="18"/>
      <color indexed="9"/>
      <name val="Calibri"/>
      <family val="2"/>
      <charset val="204"/>
      <scheme val="minor"/>
    </font>
    <font>
      <sz val="16"/>
      <name val="Arial Cyr"/>
      <family val="2"/>
      <charset val="204"/>
    </font>
    <font>
      <b/>
      <sz val="26"/>
      <name val="Calibri"/>
      <family val="2"/>
      <charset val="204"/>
      <scheme val="minor"/>
    </font>
    <font>
      <sz val="26"/>
      <color theme="1"/>
      <name val="Calibri"/>
      <family val="2"/>
      <charset val="204"/>
      <scheme val="minor"/>
    </font>
    <font>
      <sz val="20"/>
      <name val="Calibri"/>
      <family val="2"/>
      <charset val="204"/>
    </font>
    <font>
      <sz val="24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b/>
      <sz val="22"/>
      <name val="Arial Cyr"/>
      <charset val="204"/>
    </font>
    <font>
      <b/>
      <sz val="24"/>
      <name val="Arial Cyr"/>
      <charset val="204"/>
    </font>
    <font>
      <sz val="22"/>
      <name val="Arial Cyr"/>
      <charset val="204"/>
    </font>
    <font>
      <sz val="22"/>
      <color theme="1"/>
      <name val="Calibri"/>
      <family val="2"/>
      <charset val="204"/>
      <scheme val="minor"/>
    </font>
    <font>
      <sz val="22"/>
      <name val="Calibri"/>
      <family val="2"/>
      <charset val="204"/>
      <scheme val="minor"/>
    </font>
    <font>
      <b/>
      <sz val="24"/>
      <name val="Calibri"/>
      <family val="2"/>
      <charset val="204"/>
      <scheme val="minor"/>
    </font>
    <font>
      <sz val="24"/>
      <color indexed="9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b/>
      <u/>
      <sz val="24"/>
      <name val="Calibri"/>
      <family val="2"/>
      <charset val="204"/>
      <scheme val="minor"/>
    </font>
    <font>
      <sz val="24"/>
      <name val="Calibri"/>
      <family val="2"/>
      <charset val="204"/>
    </font>
    <font>
      <sz val="24"/>
      <color theme="1"/>
      <name val="Calibri"/>
      <family val="2"/>
      <charset val="204"/>
    </font>
    <font>
      <b/>
      <sz val="26"/>
      <name val="Arial Cyr"/>
      <family val="2"/>
      <charset val="204"/>
    </font>
    <font>
      <sz val="26"/>
      <name val="Calibri"/>
      <family val="2"/>
      <charset val="204"/>
      <scheme val="minor"/>
    </font>
    <font>
      <b/>
      <sz val="22"/>
      <color indexed="10"/>
      <name val="Calibri"/>
      <family val="2"/>
      <charset val="204"/>
      <scheme val="minor"/>
    </font>
    <font>
      <sz val="11"/>
      <name val="Calibri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5"/>
      <name val="Times New Roman"/>
      <family val="1"/>
      <charset val="204"/>
    </font>
    <font>
      <sz val="16"/>
      <color rgb="FFFF0000"/>
      <name val="Times New Roman"/>
      <family val="1"/>
      <charset val="204"/>
    </font>
    <font>
      <sz val="18"/>
      <color rgb="FFFF0000"/>
      <name val="Times New Roman"/>
      <family val="1"/>
      <charset val="204"/>
    </font>
    <font>
      <sz val="18"/>
      <name val="Times New Roman"/>
      <family val="1"/>
      <charset val="204"/>
    </font>
    <font>
      <b/>
      <sz val="18"/>
      <name val="Times New Roman"/>
      <family val="1"/>
      <charset val="204"/>
    </font>
    <font>
      <sz val="12"/>
      <name val="宋体"/>
      <family val="3"/>
      <charset val="134"/>
    </font>
    <font>
      <sz val="10"/>
      <color indexed="8"/>
      <name val="Arial"/>
      <family val="2"/>
    </font>
    <font>
      <sz val="9"/>
      <name val="宋体"/>
      <family val="3"/>
      <charset val="134"/>
    </font>
    <font>
      <u/>
      <sz val="11"/>
      <color theme="10"/>
      <name val="Calibri"/>
      <family val="2"/>
      <scheme val="minor"/>
    </font>
    <font>
      <b/>
      <i/>
      <sz val="20"/>
      <color theme="1"/>
      <name val="Calibri"/>
      <family val="2"/>
      <charset val="204"/>
    </font>
    <font>
      <b/>
      <i/>
      <sz val="20"/>
      <color indexed="8"/>
      <name val="Calibri"/>
      <family val="2"/>
      <charset val="204"/>
    </font>
    <font>
      <b/>
      <i/>
      <sz val="20"/>
      <name val="Calibri"/>
      <family val="2"/>
      <charset val="204"/>
    </font>
    <font>
      <b/>
      <i/>
      <sz val="20"/>
      <color indexed="8"/>
      <name val="Times New Roman"/>
      <family val="1"/>
      <charset val="204"/>
    </font>
    <font>
      <sz val="20"/>
      <name val="Arial"/>
      <family val="2"/>
      <charset val="204"/>
    </font>
    <font>
      <b/>
      <sz val="11"/>
      <name val="Arial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8"/>
      <color rgb="FFFF000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indexed="8"/>
      <name val="Tahoma"/>
      <family val="2"/>
      <charset val="134"/>
    </font>
    <font>
      <sz val="11"/>
      <color indexed="8"/>
      <name val="宋体"/>
      <family val="3"/>
      <charset val="134"/>
    </font>
    <font>
      <i/>
      <sz val="12"/>
      <color theme="1"/>
      <name val="Times New Roman"/>
      <family val="1"/>
      <charset val="204"/>
    </font>
    <font>
      <i/>
      <sz val="10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10"/>
      <color rgb="FF000000"/>
      <name val="Arial"/>
      <family val="2"/>
      <charset val="204"/>
    </font>
    <font>
      <sz val="11"/>
      <name val="Arial"/>
      <family val="2"/>
      <charset val="204"/>
    </font>
    <font>
      <sz val="10"/>
      <color rgb="FFFF0000"/>
      <name val="Times New Roman"/>
      <family val="1"/>
      <charset val="204"/>
    </font>
    <font>
      <b/>
      <sz val="12"/>
      <name val="Arial Cyr"/>
      <charset val="204"/>
    </font>
    <font>
      <sz val="12"/>
      <name val="Arial Cyr"/>
      <charset val="204"/>
    </font>
    <font>
      <sz val="10"/>
      <color rgb="FF000000"/>
      <name val="Tahoma"/>
      <family val="2"/>
      <charset val="204"/>
    </font>
    <font>
      <b/>
      <sz val="16"/>
      <name val="Calibri"/>
      <family val="2"/>
      <charset val="204"/>
      <scheme val="minor"/>
    </font>
    <font>
      <b/>
      <sz val="16"/>
      <name val="Arial Cyr"/>
      <charset val="204"/>
    </font>
    <font>
      <sz val="16"/>
      <color theme="1"/>
      <name val="Calibri"/>
      <family val="2"/>
      <charset val="204"/>
    </font>
  </fonts>
  <fills count="5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F81BD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lightUp">
        <fgColor indexed="48"/>
        <bgColor indexed="41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DFFCD"/>
        <bgColor indexed="64"/>
      </patternFill>
    </fill>
    <fill>
      <patternFill patternType="solid">
        <fgColor rgb="FF00B050"/>
        <bgColor indexed="26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26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</fills>
  <borders count="1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581">
    <xf numFmtId="0" fontId="0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4" fillId="0" borderId="0"/>
    <xf numFmtId="0" fontId="3" fillId="0" borderId="0"/>
    <xf numFmtId="0" fontId="5" fillId="0" borderId="0"/>
    <xf numFmtId="0" fontId="3" fillId="0" borderId="0"/>
    <xf numFmtId="44" fontId="3" fillId="0" borderId="0" applyFont="0" applyFill="0" applyBorder="0" applyAlignment="0" applyProtection="0"/>
    <xf numFmtId="0" fontId="1" fillId="0" borderId="0"/>
    <xf numFmtId="44" fontId="3" fillId="0" borderId="0" applyFont="0" applyFill="0" applyBorder="0" applyAlignment="0" applyProtection="0"/>
    <xf numFmtId="0" fontId="30" fillId="0" borderId="0"/>
    <xf numFmtId="44" fontId="3" fillId="0" borderId="0" applyFont="0" applyFill="0" applyBorder="0" applyAlignment="0" applyProtection="0"/>
    <xf numFmtId="0" fontId="4" fillId="0" borderId="0">
      <alignment vertical="center"/>
    </xf>
    <xf numFmtId="0" fontId="3" fillId="0" borderId="0"/>
    <xf numFmtId="49" fontId="32" fillId="0" borderId="89">
      <alignment horizontal="center" vertical="center"/>
    </xf>
    <xf numFmtId="0" fontId="33" fillId="0" borderId="90">
      <alignment horizontal="center" vertical="center" wrapText="1"/>
    </xf>
    <xf numFmtId="4" fontId="32" fillId="0" borderId="91">
      <alignment horizontal="center" vertical="center"/>
    </xf>
    <xf numFmtId="0" fontId="31" fillId="3" borderId="0" applyNumberFormat="0" applyBorder="0" applyAlignment="0" applyProtection="0"/>
    <xf numFmtId="0" fontId="31" fillId="4" borderId="0" applyNumberFormat="0" applyBorder="0" applyAlignment="0" applyProtection="0"/>
    <xf numFmtId="0" fontId="31" fillId="5" borderId="0" applyNumberFormat="0" applyBorder="0" applyAlignment="0" applyProtection="0"/>
    <xf numFmtId="0" fontId="31" fillId="6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9" borderId="0" applyNumberFormat="0" applyBorder="0" applyAlignment="0" applyProtection="0"/>
    <xf numFmtId="0" fontId="31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6" borderId="0" applyNumberFormat="0" applyBorder="0" applyAlignment="0" applyProtection="0"/>
    <xf numFmtId="0" fontId="31" fillId="9" borderId="0" applyNumberFormat="0" applyBorder="0" applyAlignment="0" applyProtection="0"/>
    <xf numFmtId="0" fontId="31" fillId="12" borderId="0" applyNumberFormat="0" applyBorder="0" applyAlignment="0" applyProtection="0"/>
    <xf numFmtId="0" fontId="34" fillId="13" borderId="0" applyNumberFormat="0" applyBorder="0" applyAlignment="0" applyProtection="0"/>
    <xf numFmtId="0" fontId="34" fillId="10" borderId="0" applyNumberFormat="0" applyBorder="0" applyAlignment="0" applyProtection="0"/>
    <xf numFmtId="0" fontId="34" fillId="11" borderId="0" applyNumberFormat="0" applyBorder="0" applyAlignment="0" applyProtection="0"/>
    <xf numFmtId="0" fontId="34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20" borderId="0" applyNumberFormat="0" applyBorder="0" applyAlignment="0" applyProtection="0"/>
    <xf numFmtId="0" fontId="35" fillId="8" borderId="92" applyNumberFormat="0" applyAlignment="0" applyProtection="0"/>
    <xf numFmtId="0" fontId="36" fillId="21" borderId="93" applyNumberFormat="0" applyAlignment="0" applyProtection="0"/>
    <xf numFmtId="0" fontId="37" fillId="21" borderId="92" applyNumberFormat="0" applyAlignment="0" applyProtection="0"/>
    <xf numFmtId="0" fontId="38" fillId="0" borderId="94" applyNumberFormat="0" applyFill="0" applyAlignment="0" applyProtection="0"/>
    <xf numFmtId="0" fontId="39" fillId="0" borderId="95" applyNumberFormat="0" applyFill="0" applyAlignment="0" applyProtection="0"/>
    <xf numFmtId="0" fontId="40" fillId="0" borderId="96" applyNumberFormat="0" applyFill="0" applyAlignment="0" applyProtection="0"/>
    <xf numFmtId="0" fontId="40" fillId="0" borderId="0" applyNumberFormat="0" applyFill="0" applyBorder="0" applyAlignment="0" applyProtection="0"/>
    <xf numFmtId="0" fontId="41" fillId="0" borderId="97" applyNumberFormat="0" applyFill="0" applyAlignment="0" applyProtection="0"/>
    <xf numFmtId="0" fontId="42" fillId="22" borderId="98" applyNumberFormat="0" applyAlignment="0" applyProtection="0"/>
    <xf numFmtId="0" fontId="43" fillId="0" borderId="0" applyNumberFormat="0" applyFill="0" applyBorder="0" applyAlignment="0" applyProtection="0"/>
    <xf numFmtId="0" fontId="44" fillId="23" borderId="0" applyNumberFormat="0" applyBorder="0" applyAlignment="0" applyProtection="0"/>
    <xf numFmtId="0" fontId="1" fillId="0" borderId="0"/>
    <xf numFmtId="0" fontId="45" fillId="4" borderId="0" applyNumberFormat="0" applyBorder="0" applyAlignment="0" applyProtection="0"/>
    <xf numFmtId="0" fontId="46" fillId="0" borderId="0" applyNumberFormat="0" applyFill="0" applyBorder="0" applyAlignment="0" applyProtection="0"/>
    <xf numFmtId="0" fontId="1" fillId="24" borderId="99" applyNumberFormat="0" applyFont="0" applyAlignment="0" applyProtection="0"/>
    <xf numFmtId="0" fontId="47" fillId="0" borderId="100" applyNumberFormat="0" applyFill="0" applyAlignment="0" applyProtection="0"/>
    <xf numFmtId="0" fontId="48" fillId="0" borderId="0" applyNumberFormat="0" applyFill="0" applyBorder="0" applyAlignment="0" applyProtection="0"/>
    <xf numFmtId="0" fontId="49" fillId="5" borderId="0" applyNumberFormat="0" applyBorder="0" applyAlignment="0" applyProtection="0"/>
    <xf numFmtId="0" fontId="4" fillId="0" borderId="0">
      <alignment vertical="center"/>
    </xf>
    <xf numFmtId="0" fontId="51" fillId="3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4" fillId="21" borderId="92" applyNumberFormat="0" applyAlignment="0" applyProtection="0">
      <alignment vertical="center"/>
    </xf>
    <xf numFmtId="0" fontId="55" fillId="22" borderId="98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8" fillId="0" borderId="94" applyNumberFormat="0" applyFill="0" applyAlignment="0" applyProtection="0">
      <alignment vertical="center"/>
    </xf>
    <xf numFmtId="0" fontId="59" fillId="0" borderId="95" applyNumberFormat="0" applyFill="0" applyAlignment="0" applyProtection="0">
      <alignment vertical="center"/>
    </xf>
    <xf numFmtId="0" fontId="60" fillId="0" borderId="96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62" fillId="0" borderId="100" applyNumberFormat="0" applyFill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5" borderId="0" applyNumberFormat="0" applyBorder="0" applyAlignment="0" applyProtection="0"/>
    <xf numFmtId="0" fontId="68" fillId="6" borderId="0" applyNumberFormat="0" applyBorder="0" applyAlignment="0" applyProtection="0"/>
    <xf numFmtId="0" fontId="35" fillId="8" borderId="92" applyNumberFormat="0" applyAlignment="0" applyProtection="0"/>
    <xf numFmtId="0" fontId="36" fillId="21" borderId="93" applyNumberFormat="0" applyAlignment="0" applyProtection="0"/>
    <xf numFmtId="0" fontId="37" fillId="21" borderId="92" applyNumberFormat="0" applyAlignment="0" applyProtection="0"/>
    <xf numFmtId="0" fontId="41" fillId="0" borderId="97" applyNumberFormat="0" applyFill="0" applyAlignment="0" applyProtection="0"/>
    <xf numFmtId="0" fontId="1" fillId="24" borderId="99" applyNumberFormat="0" applyFont="0" applyAlignment="0" applyProtection="0"/>
    <xf numFmtId="0" fontId="54" fillId="21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68" fillId="4" borderId="0" applyNumberFormat="0" applyBorder="0" applyAlignment="0" applyProtection="0"/>
    <xf numFmtId="0" fontId="68" fillId="7" borderId="0" applyNumberFormat="0" applyBorder="0" applyAlignment="0" applyProtection="0"/>
    <xf numFmtId="0" fontId="68" fillId="8" borderId="0" applyNumberFormat="0" applyBorder="0" applyAlignment="0" applyProtection="0"/>
    <xf numFmtId="0" fontId="68" fillId="9" borderId="0" applyNumberFormat="0" applyBorder="0" applyAlignment="0" applyProtection="0"/>
    <xf numFmtId="0" fontId="68" fillId="10" borderId="0" applyNumberFormat="0" applyBorder="0" applyAlignment="0" applyProtection="0"/>
    <xf numFmtId="0" fontId="68" fillId="11" borderId="0" applyNumberFormat="0" applyBorder="0" applyAlignment="0" applyProtection="0"/>
    <xf numFmtId="0" fontId="68" fillId="6" borderId="0" applyNumberFormat="0" applyBorder="0" applyAlignment="0" applyProtection="0"/>
    <xf numFmtId="0" fontId="68" fillId="9" borderId="0" applyNumberFormat="0" applyBorder="0" applyAlignment="0" applyProtection="0"/>
    <xf numFmtId="0" fontId="68" fillId="12" borderId="0" applyNumberFormat="0" applyBorder="0" applyAlignment="0" applyProtection="0"/>
    <xf numFmtId="0" fontId="68" fillId="3" borderId="0" applyNumberFormat="0" applyBorder="0" applyAlignment="0" applyProtection="0"/>
    <xf numFmtId="0" fontId="1" fillId="24" borderId="99" applyNumberFormat="0" applyFont="0" applyAlignment="0" applyProtection="0"/>
    <xf numFmtId="0" fontId="54" fillId="21" borderId="92" applyNumberFormat="0" applyAlignment="0" applyProtection="0">
      <alignment vertical="center"/>
    </xf>
    <xf numFmtId="0" fontId="69" fillId="13" borderId="0" applyNumberFormat="0" applyBorder="0" applyAlignment="0" applyProtection="0"/>
    <xf numFmtId="0" fontId="69" fillId="10" borderId="0" applyNumberFormat="0" applyBorder="0" applyAlignment="0" applyProtection="0"/>
    <xf numFmtId="0" fontId="69" fillId="11" borderId="0" applyNumberFormat="0" applyBorder="0" applyAlignment="0" applyProtection="0"/>
    <xf numFmtId="0" fontId="69" fillId="14" borderId="0" applyNumberFormat="0" applyBorder="0" applyAlignment="0" applyProtection="0"/>
    <xf numFmtId="0" fontId="69" fillId="15" borderId="0" applyNumberFormat="0" applyBorder="0" applyAlignment="0" applyProtection="0"/>
    <xf numFmtId="0" fontId="69" fillId="16" borderId="0" applyNumberFormat="0" applyBorder="0" applyAlignment="0" applyProtection="0"/>
    <xf numFmtId="0" fontId="35" fillId="8" borderId="92" applyNumberFormat="0" applyAlignment="0" applyProtection="0"/>
    <xf numFmtId="0" fontId="36" fillId="21" borderId="93" applyNumberFormat="0" applyAlignment="0" applyProtection="0"/>
    <xf numFmtId="0" fontId="37" fillId="21" borderId="92" applyNumberFormat="0" applyAlignment="0" applyProtection="0"/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69" fillId="17" borderId="0" applyNumberFormat="0" applyBorder="0" applyAlignment="0" applyProtection="0"/>
    <xf numFmtId="0" fontId="69" fillId="18" borderId="0" applyNumberFormat="0" applyBorder="0" applyAlignment="0" applyProtection="0"/>
    <xf numFmtId="0" fontId="69" fillId="19" borderId="0" applyNumberFormat="0" applyBorder="0" applyAlignment="0" applyProtection="0"/>
    <xf numFmtId="0" fontId="69" fillId="14" borderId="0" applyNumberFormat="0" applyBorder="0" applyAlignment="0" applyProtection="0"/>
    <xf numFmtId="0" fontId="69" fillId="15" borderId="0" applyNumberFormat="0" applyBorder="0" applyAlignment="0" applyProtection="0"/>
    <xf numFmtId="0" fontId="69" fillId="20" borderId="0" applyNumberFormat="0" applyBorder="0" applyAlignment="0" applyProtection="0"/>
    <xf numFmtId="0" fontId="70" fillId="8" borderId="92" applyNumberFormat="0" applyAlignment="0" applyProtection="0"/>
    <xf numFmtId="0" fontId="71" fillId="21" borderId="93" applyNumberFormat="0" applyAlignment="0" applyProtection="0"/>
    <xf numFmtId="0" fontId="72" fillId="21" borderId="92" applyNumberFormat="0" applyAlignment="0" applyProtection="0"/>
    <xf numFmtId="0" fontId="73" fillId="0" borderId="94" applyNumberFormat="0" applyFill="0" applyAlignment="0" applyProtection="0"/>
    <xf numFmtId="0" fontId="74" fillId="0" borderId="95" applyNumberFormat="0" applyFill="0" applyAlignment="0" applyProtection="0"/>
    <xf numFmtId="0" fontId="75" fillId="0" borderId="96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97" applyNumberFormat="0" applyFill="0" applyAlignment="0" applyProtection="0"/>
    <xf numFmtId="0" fontId="77" fillId="22" borderId="98" applyNumberFormat="0" applyAlignment="0" applyProtection="0"/>
    <xf numFmtId="0" fontId="78" fillId="0" borderId="0" applyNumberFormat="0" applyFill="0" applyBorder="0" applyAlignment="0" applyProtection="0"/>
    <xf numFmtId="0" fontId="79" fillId="23" borderId="0" applyNumberFormat="0" applyBorder="0" applyAlignment="0" applyProtection="0"/>
    <xf numFmtId="0" fontId="7" fillId="0" borderId="0"/>
    <xf numFmtId="0" fontId="7" fillId="0" borderId="0"/>
    <xf numFmtId="0" fontId="80" fillId="4" borderId="0" applyNumberFormat="0" applyBorder="0" applyAlignment="0" applyProtection="0"/>
    <xf numFmtId="0" fontId="81" fillId="0" borderId="0" applyNumberFormat="0" applyFill="0" applyBorder="0" applyAlignment="0" applyProtection="0"/>
    <xf numFmtId="0" fontId="7" fillId="24" borderId="99" applyNumberFormat="0" applyFont="0" applyAlignment="0" applyProtection="0"/>
    <xf numFmtId="0" fontId="82" fillId="0" borderId="100" applyNumberFormat="0" applyFill="0" applyAlignment="0" applyProtection="0"/>
    <xf numFmtId="0" fontId="50" fillId="0" borderId="0"/>
    <xf numFmtId="0" fontId="83" fillId="0" borderId="0" applyNumberFormat="0" applyFill="0" applyBorder="0" applyAlignment="0" applyProtection="0"/>
    <xf numFmtId="0" fontId="84" fillId="5" borderId="0" applyNumberFormat="0" applyBorder="0" applyAlignment="0" applyProtection="0"/>
    <xf numFmtId="9" fontId="51" fillId="0" borderId="0" applyFont="0" applyFill="0" applyBorder="0" applyAlignment="0" applyProtection="0"/>
    <xf numFmtId="0" fontId="41" fillId="0" borderId="97" applyNumberFormat="0" applyFill="0" applyAlignment="0" applyProtection="0"/>
    <xf numFmtId="0" fontId="61" fillId="8" borderId="92" applyNumberFormat="0" applyAlignment="0" applyProtection="0">
      <alignment vertical="center"/>
    </xf>
    <xf numFmtId="0" fontId="54" fillId="21" borderId="92" applyNumberFormat="0" applyAlignment="0" applyProtection="0">
      <alignment vertical="center"/>
    </xf>
    <xf numFmtId="0" fontId="54" fillId="21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35" fillId="8" borderId="92" applyNumberFormat="0" applyAlignment="0" applyProtection="0"/>
    <xf numFmtId="0" fontId="35" fillId="8" borderId="92" applyNumberFormat="0" applyAlignment="0" applyProtection="0"/>
    <xf numFmtId="0" fontId="36" fillId="21" borderId="93" applyNumberFormat="0" applyAlignment="0" applyProtection="0"/>
    <xf numFmtId="0" fontId="36" fillId="21" borderId="93" applyNumberFormat="0" applyAlignment="0" applyProtection="0"/>
    <xf numFmtId="0" fontId="37" fillId="21" borderId="92" applyNumberFormat="0" applyAlignment="0" applyProtection="0"/>
    <xf numFmtId="0" fontId="37" fillId="21" borderId="92" applyNumberFormat="0" applyAlignment="0" applyProtection="0"/>
    <xf numFmtId="0" fontId="41" fillId="0" borderId="97" applyNumberFormat="0" applyFill="0" applyAlignment="0" applyProtection="0"/>
    <xf numFmtId="0" fontId="41" fillId="0" borderId="97" applyNumberFormat="0" applyFill="0" applyAlignment="0" applyProtection="0"/>
    <xf numFmtId="0" fontId="1" fillId="24" borderId="99" applyNumberFormat="0" applyFont="0" applyAlignment="0" applyProtection="0"/>
    <xf numFmtId="0" fontId="1" fillId="24" borderId="99" applyNumberFormat="0" applyFont="0" applyAlignment="0" applyProtection="0"/>
    <xf numFmtId="0" fontId="31" fillId="0" borderId="0"/>
    <xf numFmtId="0" fontId="34" fillId="25" borderId="0" applyNumberFormat="0" applyBorder="0" applyAlignment="0" applyProtection="0"/>
    <xf numFmtId="0" fontId="85" fillId="26" borderId="0" applyNumberFormat="0" applyBorder="0" applyAlignment="0" applyProtection="0"/>
    <xf numFmtId="0" fontId="71" fillId="21" borderId="93" applyNumberFormat="0" applyAlignment="0" applyProtection="0"/>
    <xf numFmtId="0" fontId="41" fillId="0" borderId="97" applyNumberFormat="0" applyFill="0" applyAlignment="0" applyProtection="0"/>
    <xf numFmtId="0" fontId="37" fillId="21" borderId="92" applyNumberFormat="0" applyAlignment="0" applyProtection="0"/>
    <xf numFmtId="0" fontId="66" fillId="0" borderId="97" applyNumberFormat="0" applyFill="0" applyAlignment="0" applyProtection="0">
      <alignment vertical="center"/>
    </xf>
    <xf numFmtId="0" fontId="1" fillId="24" borderId="99" applyNumberFormat="0" applyFont="0" applyAlignment="0" applyProtection="0"/>
    <xf numFmtId="0" fontId="35" fillId="8" borderId="92" applyNumberFormat="0" applyAlignment="0" applyProtection="0"/>
    <xf numFmtId="0" fontId="35" fillId="8" borderId="92" applyNumberFormat="0" applyAlignment="0" applyProtection="0"/>
    <xf numFmtId="0" fontId="36" fillId="21" borderId="93" applyNumberFormat="0" applyAlignment="0" applyProtection="0"/>
    <xf numFmtId="0" fontId="37" fillId="21" borderId="92" applyNumberFormat="0" applyAlignment="0" applyProtection="0"/>
    <xf numFmtId="0" fontId="41" fillId="0" borderId="97" applyNumberFormat="0" applyFill="0" applyAlignment="0" applyProtection="0"/>
    <xf numFmtId="0" fontId="1" fillId="24" borderId="99" applyNumberFormat="0" applyFont="0" applyAlignment="0" applyProtection="0"/>
    <xf numFmtId="0" fontId="54" fillId="21" borderId="92" applyNumberFormat="0" applyAlignment="0" applyProtection="0">
      <alignment vertical="center"/>
    </xf>
    <xf numFmtId="0" fontId="35" fillId="8" borderId="92" applyNumberFormat="0" applyAlignment="0" applyProtection="0"/>
    <xf numFmtId="0" fontId="41" fillId="0" borderId="97" applyNumberFormat="0" applyFill="0" applyAlignment="0" applyProtection="0"/>
    <xf numFmtId="0" fontId="7" fillId="24" borderId="99" applyNumberFormat="0" applyFont="0" applyAlignment="0" applyProtection="0"/>
    <xf numFmtId="0" fontId="64" fillId="21" borderId="93" applyNumberFormat="0" applyAlignment="0" applyProtection="0">
      <alignment vertical="center"/>
    </xf>
    <xf numFmtId="0" fontId="35" fillId="8" borderId="92" applyNumberFormat="0" applyAlignment="0" applyProtection="0"/>
    <xf numFmtId="0" fontId="54" fillId="21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54" fillId="21" borderId="92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35" fillId="8" borderId="92" applyNumberFormat="0" applyAlignment="0" applyProtection="0"/>
    <xf numFmtId="0" fontId="37" fillId="21" borderId="92" applyNumberFormat="0" applyAlignment="0" applyProtection="0"/>
    <xf numFmtId="0" fontId="41" fillId="0" borderId="97" applyNumberFormat="0" applyFill="0" applyAlignment="0" applyProtection="0"/>
    <xf numFmtId="0" fontId="64" fillId="21" borderId="93" applyNumberFormat="0" applyAlignment="0" applyProtection="0">
      <alignment vertical="center"/>
    </xf>
    <xf numFmtId="0" fontId="37" fillId="21" borderId="92" applyNumberFormat="0" applyAlignment="0" applyProtection="0"/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54" fillId="21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35" fillId="8" borderId="92" applyNumberFormat="0" applyAlignment="0" applyProtection="0"/>
    <xf numFmtId="0" fontId="36" fillId="21" borderId="93" applyNumberFormat="0" applyAlignment="0" applyProtection="0"/>
    <xf numFmtId="0" fontId="37" fillId="21" borderId="92" applyNumberFormat="0" applyAlignment="0" applyProtection="0"/>
    <xf numFmtId="0" fontId="41" fillId="0" borderId="97" applyNumberFormat="0" applyFill="0" applyAlignment="0" applyProtection="0"/>
    <xf numFmtId="0" fontId="1" fillId="24" borderId="99" applyNumberFormat="0" applyFont="0" applyAlignment="0" applyProtection="0"/>
    <xf numFmtId="0" fontId="54" fillId="21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1" fillId="24" borderId="99" applyNumberFormat="0" applyFont="0" applyAlignment="0" applyProtection="0"/>
    <xf numFmtId="0" fontId="66" fillId="0" borderId="97" applyNumberFormat="0" applyFill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36" fillId="21" borderId="93" applyNumberFormat="0" applyAlignment="0" applyProtection="0"/>
    <xf numFmtId="0" fontId="1" fillId="24" borderId="99" applyNumberFormat="0" applyFont="0" applyAlignment="0" applyProtection="0"/>
    <xf numFmtId="0" fontId="54" fillId="21" borderId="92" applyNumberFormat="0" applyAlignment="0" applyProtection="0">
      <alignment vertical="center"/>
    </xf>
    <xf numFmtId="0" fontId="54" fillId="21" borderId="92" applyNumberFormat="0" applyAlignment="0" applyProtection="0">
      <alignment vertical="center"/>
    </xf>
    <xf numFmtId="0" fontId="36" fillId="21" borderId="93" applyNumberFormat="0" applyAlignment="0" applyProtection="0"/>
    <xf numFmtId="0" fontId="35" fillId="8" borderId="92" applyNumberFormat="0" applyAlignment="0" applyProtection="0"/>
    <xf numFmtId="0" fontId="36" fillId="21" borderId="93" applyNumberFormat="0" applyAlignment="0" applyProtection="0"/>
    <xf numFmtId="0" fontId="37" fillId="21" borderId="92" applyNumberFormat="0" applyAlignment="0" applyProtection="0"/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70" fillId="8" borderId="92" applyNumberFormat="0" applyAlignment="0" applyProtection="0"/>
    <xf numFmtId="0" fontId="71" fillId="21" borderId="93" applyNumberFormat="0" applyAlignment="0" applyProtection="0"/>
    <xf numFmtId="0" fontId="72" fillId="21" borderId="92" applyNumberFormat="0" applyAlignment="0" applyProtection="0"/>
    <xf numFmtId="0" fontId="37" fillId="21" borderId="92" applyNumberFormat="0" applyAlignment="0" applyProtection="0"/>
    <xf numFmtId="0" fontId="76" fillId="0" borderId="97" applyNumberFormat="0" applyFill="0" applyAlignment="0" applyProtection="0"/>
    <xf numFmtId="0" fontId="70" fillId="8" borderId="92" applyNumberFormat="0" applyAlignment="0" applyProtection="0"/>
    <xf numFmtId="0" fontId="76" fillId="0" borderId="97" applyNumberFormat="0" applyFill="0" applyAlignment="0" applyProtection="0"/>
    <xf numFmtId="0" fontId="7" fillId="24" borderId="99" applyNumberFormat="0" applyFont="0" applyAlignment="0" applyProtection="0"/>
    <xf numFmtId="0" fontId="41" fillId="0" borderId="97" applyNumberFormat="0" applyFill="0" applyAlignment="0" applyProtection="0"/>
    <xf numFmtId="0" fontId="61" fillId="8" borderId="92" applyNumberFormat="0" applyAlignment="0" applyProtection="0">
      <alignment vertical="center"/>
    </xf>
    <xf numFmtId="0" fontId="36" fillId="21" borderId="93" applyNumberFormat="0" applyAlignment="0" applyProtection="0"/>
    <xf numFmtId="0" fontId="1" fillId="24" borderId="99" applyNumberFormat="0" applyFont="0" applyAlignment="0" applyProtection="0"/>
    <xf numFmtId="0" fontId="41" fillId="0" borderId="97" applyNumberFormat="0" applyFill="0" applyAlignment="0" applyProtection="0"/>
    <xf numFmtId="0" fontId="61" fillId="8" borderId="92" applyNumberFormat="0" applyAlignment="0" applyProtection="0">
      <alignment vertical="center"/>
    </xf>
    <xf numFmtId="0" fontId="54" fillId="21" borderId="92" applyNumberFormat="0" applyAlignment="0" applyProtection="0">
      <alignment vertical="center"/>
    </xf>
    <xf numFmtId="0" fontId="54" fillId="21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35" fillId="8" borderId="92" applyNumberFormat="0" applyAlignment="0" applyProtection="0"/>
    <xf numFmtId="0" fontId="35" fillId="8" borderId="92" applyNumberFormat="0" applyAlignment="0" applyProtection="0"/>
    <xf numFmtId="0" fontId="36" fillId="21" borderId="93" applyNumberFormat="0" applyAlignment="0" applyProtection="0"/>
    <xf numFmtId="0" fontId="36" fillId="21" borderId="93" applyNumberFormat="0" applyAlignment="0" applyProtection="0"/>
    <xf numFmtId="0" fontId="37" fillId="21" borderId="92" applyNumberFormat="0" applyAlignment="0" applyProtection="0"/>
    <xf numFmtId="0" fontId="37" fillId="21" borderId="92" applyNumberFormat="0" applyAlignment="0" applyProtection="0"/>
    <xf numFmtId="0" fontId="41" fillId="0" borderId="97" applyNumberFormat="0" applyFill="0" applyAlignment="0" applyProtection="0"/>
    <xf numFmtId="0" fontId="41" fillId="0" borderId="97" applyNumberFormat="0" applyFill="0" applyAlignment="0" applyProtection="0"/>
    <xf numFmtId="0" fontId="1" fillId="24" borderId="99" applyNumberFormat="0" applyFont="0" applyAlignment="0" applyProtection="0"/>
    <xf numFmtId="0" fontId="1" fillId="24" borderId="99" applyNumberFormat="0" applyFont="0" applyAlignment="0" applyProtection="0"/>
    <xf numFmtId="0" fontId="61" fillId="8" borderId="92" applyNumberFormat="0" applyAlignment="0" applyProtection="0">
      <alignment vertical="center"/>
    </xf>
    <xf numFmtId="0" fontId="72" fillId="21" borderId="92" applyNumberFormat="0" applyAlignment="0" applyProtection="0"/>
    <xf numFmtId="0" fontId="37" fillId="21" borderId="92" applyNumberFormat="0" applyAlignment="0" applyProtection="0"/>
    <xf numFmtId="0" fontId="54" fillId="21" borderId="92" applyNumberFormat="0" applyAlignment="0" applyProtection="0">
      <alignment vertical="center"/>
    </xf>
    <xf numFmtId="0" fontId="41" fillId="0" borderId="97" applyNumberFormat="0" applyFill="0" applyAlignment="0" applyProtection="0"/>
    <xf numFmtId="0" fontId="36" fillId="21" borderId="93" applyNumberFormat="0" applyAlignment="0" applyProtection="0"/>
    <xf numFmtId="0" fontId="1" fillId="24" borderId="99" applyNumberFormat="0" applyFont="0" applyAlignment="0" applyProtection="0"/>
    <xf numFmtId="0" fontId="61" fillId="8" borderId="92" applyNumberFormat="0" applyAlignment="0" applyProtection="0">
      <alignment vertical="center"/>
    </xf>
    <xf numFmtId="0" fontId="1" fillId="24" borderId="99" applyNumberFormat="0" applyFont="0" applyAlignment="0" applyProtection="0"/>
    <xf numFmtId="0" fontId="36" fillId="21" borderId="93" applyNumberFormat="0" applyAlignment="0" applyProtection="0"/>
    <xf numFmtId="0" fontId="51" fillId="24" borderId="99" applyNumberFormat="0" applyFont="0" applyAlignment="0" applyProtection="0">
      <alignment vertical="center"/>
    </xf>
    <xf numFmtId="0" fontId="35" fillId="8" borderId="92" applyNumberFormat="0" applyAlignment="0" applyProtection="0"/>
    <xf numFmtId="0" fontId="35" fillId="8" borderId="92" applyNumberFormat="0" applyAlignment="0" applyProtection="0"/>
    <xf numFmtId="0" fontId="36" fillId="21" borderId="93" applyNumberFormat="0" applyAlignment="0" applyProtection="0"/>
    <xf numFmtId="0" fontId="37" fillId="21" borderId="92" applyNumberFormat="0" applyAlignment="0" applyProtection="0"/>
    <xf numFmtId="0" fontId="41" fillId="0" borderId="97" applyNumberFormat="0" applyFill="0" applyAlignment="0" applyProtection="0"/>
    <xf numFmtId="0" fontId="1" fillId="24" borderId="99" applyNumberFormat="0" applyFont="0" applyAlignment="0" applyProtection="0"/>
    <xf numFmtId="0" fontId="54" fillId="21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35" fillId="8" borderId="92" applyNumberFormat="0" applyAlignment="0" applyProtection="0"/>
    <xf numFmtId="0" fontId="36" fillId="21" borderId="93" applyNumberFormat="0" applyAlignment="0" applyProtection="0"/>
    <xf numFmtId="0" fontId="37" fillId="21" borderId="92" applyNumberFormat="0" applyAlignment="0" applyProtection="0"/>
    <xf numFmtId="0" fontId="41" fillId="0" borderId="97" applyNumberFormat="0" applyFill="0" applyAlignment="0" applyProtection="0"/>
    <xf numFmtId="0" fontId="1" fillId="24" borderId="99" applyNumberFormat="0" applyFont="0" applyAlignment="0" applyProtection="0"/>
    <xf numFmtId="0" fontId="54" fillId="21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1" fillId="24" borderId="99" applyNumberFormat="0" applyFont="0" applyAlignment="0" applyProtection="0"/>
    <xf numFmtId="0" fontId="54" fillId="21" borderId="92" applyNumberFormat="0" applyAlignment="0" applyProtection="0">
      <alignment vertical="center"/>
    </xf>
    <xf numFmtId="0" fontId="35" fillId="8" borderId="92" applyNumberFormat="0" applyAlignment="0" applyProtection="0"/>
    <xf numFmtId="0" fontId="36" fillId="21" borderId="93" applyNumberFormat="0" applyAlignment="0" applyProtection="0"/>
    <xf numFmtId="0" fontId="37" fillId="21" borderId="92" applyNumberFormat="0" applyAlignment="0" applyProtection="0"/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70" fillId="8" borderId="92" applyNumberFormat="0" applyAlignment="0" applyProtection="0"/>
    <xf numFmtId="0" fontId="71" fillId="21" borderId="93" applyNumberFormat="0" applyAlignment="0" applyProtection="0"/>
    <xf numFmtId="0" fontId="72" fillId="21" borderId="92" applyNumberFormat="0" applyAlignment="0" applyProtection="0"/>
    <xf numFmtId="0" fontId="76" fillId="0" borderId="97" applyNumberFormat="0" applyFill="0" applyAlignment="0" applyProtection="0"/>
    <xf numFmtId="0" fontId="7" fillId="24" borderId="99" applyNumberFormat="0" applyFont="0" applyAlignment="0" applyProtection="0"/>
    <xf numFmtId="0" fontId="41" fillId="0" borderId="97" applyNumberFormat="0" applyFill="0" applyAlignment="0" applyProtection="0"/>
    <xf numFmtId="0" fontId="61" fillId="8" borderId="92" applyNumberFormat="0" applyAlignment="0" applyProtection="0">
      <alignment vertical="center"/>
    </xf>
    <xf numFmtId="0" fontId="54" fillId="21" borderId="92" applyNumberFormat="0" applyAlignment="0" applyProtection="0">
      <alignment vertical="center"/>
    </xf>
    <xf numFmtId="0" fontId="54" fillId="21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35" fillId="8" borderId="92" applyNumberFormat="0" applyAlignment="0" applyProtection="0"/>
    <xf numFmtId="0" fontId="35" fillId="8" borderId="92" applyNumberFormat="0" applyAlignment="0" applyProtection="0"/>
    <xf numFmtId="0" fontId="36" fillId="21" borderId="93" applyNumberFormat="0" applyAlignment="0" applyProtection="0"/>
    <xf numFmtId="0" fontId="36" fillId="21" borderId="93" applyNumberFormat="0" applyAlignment="0" applyProtection="0"/>
    <xf numFmtId="0" fontId="37" fillId="21" borderId="92" applyNumberFormat="0" applyAlignment="0" applyProtection="0"/>
    <xf numFmtId="0" fontId="37" fillId="21" borderId="92" applyNumberFormat="0" applyAlignment="0" applyProtection="0"/>
    <xf numFmtId="0" fontId="41" fillId="0" borderId="97" applyNumberFormat="0" applyFill="0" applyAlignment="0" applyProtection="0"/>
    <xf numFmtId="0" fontId="41" fillId="0" borderId="97" applyNumberFormat="0" applyFill="0" applyAlignment="0" applyProtection="0"/>
    <xf numFmtId="0" fontId="1" fillId="24" borderId="99" applyNumberFormat="0" applyFont="0" applyAlignment="0" applyProtection="0"/>
    <xf numFmtId="0" fontId="1" fillId="24" borderId="99" applyNumberFormat="0" applyFont="0" applyAlignment="0" applyProtection="0"/>
    <xf numFmtId="0" fontId="41" fillId="0" borderId="97" applyNumberFormat="0" applyFill="0" applyAlignment="0" applyProtection="0"/>
    <xf numFmtId="0" fontId="37" fillId="21" borderId="92" applyNumberFormat="0" applyAlignment="0" applyProtection="0"/>
    <xf numFmtId="0" fontId="66" fillId="0" borderId="97" applyNumberFormat="0" applyFill="0" applyAlignment="0" applyProtection="0">
      <alignment vertical="center"/>
    </xf>
    <xf numFmtId="0" fontId="1" fillId="24" borderId="99" applyNumberFormat="0" applyFont="0" applyAlignment="0" applyProtection="0"/>
    <xf numFmtId="0" fontId="35" fillId="8" borderId="92" applyNumberFormat="0" applyAlignment="0" applyProtection="0"/>
    <xf numFmtId="0" fontId="35" fillId="8" borderId="92" applyNumberFormat="0" applyAlignment="0" applyProtection="0"/>
    <xf numFmtId="0" fontId="36" fillId="21" borderId="93" applyNumberFormat="0" applyAlignment="0" applyProtection="0"/>
    <xf numFmtId="0" fontId="37" fillId="21" borderId="92" applyNumberFormat="0" applyAlignment="0" applyProtection="0"/>
    <xf numFmtId="0" fontId="41" fillId="0" borderId="97" applyNumberFormat="0" applyFill="0" applyAlignment="0" applyProtection="0"/>
    <xf numFmtId="0" fontId="1" fillId="24" borderId="99" applyNumberFormat="0" applyFont="0" applyAlignment="0" applyProtection="0"/>
    <xf numFmtId="0" fontId="54" fillId="21" borderId="92" applyNumberFormat="0" applyAlignment="0" applyProtection="0">
      <alignment vertical="center"/>
    </xf>
    <xf numFmtId="0" fontId="35" fillId="8" borderId="92" applyNumberFormat="0" applyAlignment="0" applyProtection="0"/>
    <xf numFmtId="0" fontId="41" fillId="0" borderId="97" applyNumberFormat="0" applyFill="0" applyAlignment="0" applyProtection="0"/>
    <xf numFmtId="0" fontId="7" fillId="24" borderId="99" applyNumberFormat="0" applyFont="0" applyAlignment="0" applyProtection="0"/>
    <xf numFmtId="0" fontId="35" fillId="8" borderId="92" applyNumberFormat="0" applyAlignment="0" applyProtection="0"/>
    <xf numFmtId="0" fontId="54" fillId="21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54" fillId="21" borderId="92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35" fillId="8" borderId="92" applyNumberFormat="0" applyAlignment="0" applyProtection="0"/>
    <xf numFmtId="0" fontId="37" fillId="21" borderId="92" applyNumberFormat="0" applyAlignment="0" applyProtection="0"/>
    <xf numFmtId="0" fontId="41" fillId="0" borderId="97" applyNumberFormat="0" applyFill="0" applyAlignment="0" applyProtection="0"/>
    <xf numFmtId="0" fontId="37" fillId="21" borderId="92" applyNumberFormat="0" applyAlignment="0" applyProtection="0"/>
    <xf numFmtId="0" fontId="51" fillId="24" borderId="99" applyNumberFormat="0" applyFon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54" fillId="21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35" fillId="8" borderId="92" applyNumberFormat="0" applyAlignment="0" applyProtection="0"/>
    <xf numFmtId="0" fontId="36" fillId="21" borderId="93" applyNumberFormat="0" applyAlignment="0" applyProtection="0"/>
    <xf numFmtId="0" fontId="37" fillId="21" borderId="92" applyNumberFormat="0" applyAlignment="0" applyProtection="0"/>
    <xf numFmtId="0" fontId="41" fillId="0" borderId="97" applyNumberFormat="0" applyFill="0" applyAlignment="0" applyProtection="0"/>
    <xf numFmtId="0" fontId="1" fillId="24" borderId="99" applyNumberFormat="0" applyFont="0" applyAlignment="0" applyProtection="0"/>
    <xf numFmtId="0" fontId="54" fillId="21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1" fillId="24" borderId="99" applyNumberFormat="0" applyFont="0" applyAlignment="0" applyProtection="0"/>
    <xf numFmtId="0" fontId="66" fillId="0" borderId="97" applyNumberFormat="0" applyFill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54" fillId="21" borderId="92" applyNumberFormat="0" applyAlignment="0" applyProtection="0">
      <alignment vertical="center"/>
    </xf>
    <xf numFmtId="0" fontId="54" fillId="21" borderId="92" applyNumberFormat="0" applyAlignment="0" applyProtection="0">
      <alignment vertical="center"/>
    </xf>
    <xf numFmtId="0" fontId="35" fillId="8" borderId="92" applyNumberFormat="0" applyAlignment="0" applyProtection="0"/>
    <xf numFmtId="0" fontId="36" fillId="21" borderId="93" applyNumberFormat="0" applyAlignment="0" applyProtection="0"/>
    <xf numFmtId="0" fontId="37" fillId="21" borderId="92" applyNumberFormat="0" applyAlignment="0" applyProtection="0"/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70" fillId="8" borderId="92" applyNumberFormat="0" applyAlignment="0" applyProtection="0"/>
    <xf numFmtId="0" fontId="71" fillId="21" borderId="93" applyNumberFormat="0" applyAlignment="0" applyProtection="0"/>
    <xf numFmtId="0" fontId="72" fillId="21" borderId="92" applyNumberFormat="0" applyAlignment="0" applyProtection="0"/>
    <xf numFmtId="0" fontId="37" fillId="21" borderId="92" applyNumberFormat="0" applyAlignment="0" applyProtection="0"/>
    <xf numFmtId="0" fontId="76" fillId="0" borderId="97" applyNumberFormat="0" applyFill="0" applyAlignment="0" applyProtection="0"/>
    <xf numFmtId="0" fontId="70" fillId="8" borderId="92" applyNumberFormat="0" applyAlignment="0" applyProtection="0"/>
    <xf numFmtId="0" fontId="76" fillId="0" borderId="97" applyNumberFormat="0" applyFill="0" applyAlignment="0" applyProtection="0"/>
    <xf numFmtId="0" fontId="7" fillId="24" borderId="99" applyNumberFormat="0" applyFont="0" applyAlignment="0" applyProtection="0"/>
    <xf numFmtId="0" fontId="41" fillId="0" borderId="97" applyNumberFormat="0" applyFill="0" applyAlignment="0" applyProtection="0"/>
    <xf numFmtId="0" fontId="61" fillId="8" borderId="92" applyNumberFormat="0" applyAlignment="0" applyProtection="0">
      <alignment vertical="center"/>
    </xf>
    <xf numFmtId="0" fontId="1" fillId="24" borderId="99" applyNumberFormat="0" applyFont="0" applyAlignment="0" applyProtection="0"/>
    <xf numFmtId="0" fontId="41" fillId="0" borderId="97" applyNumberFormat="0" applyFill="0" applyAlignment="0" applyProtection="0"/>
    <xf numFmtId="0" fontId="61" fillId="8" borderId="92" applyNumberFormat="0" applyAlignment="0" applyProtection="0">
      <alignment vertical="center"/>
    </xf>
    <xf numFmtId="0" fontId="54" fillId="21" borderId="92" applyNumberFormat="0" applyAlignment="0" applyProtection="0">
      <alignment vertical="center"/>
    </xf>
    <xf numFmtId="0" fontId="54" fillId="21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35" fillId="8" borderId="92" applyNumberFormat="0" applyAlignment="0" applyProtection="0"/>
    <xf numFmtId="0" fontId="35" fillId="8" borderId="92" applyNumberFormat="0" applyAlignment="0" applyProtection="0"/>
    <xf numFmtId="0" fontId="36" fillId="21" borderId="93" applyNumberFormat="0" applyAlignment="0" applyProtection="0"/>
    <xf numFmtId="0" fontId="36" fillId="21" borderId="93" applyNumberFormat="0" applyAlignment="0" applyProtection="0"/>
    <xf numFmtId="0" fontId="37" fillId="21" borderId="92" applyNumberFormat="0" applyAlignment="0" applyProtection="0"/>
    <xf numFmtId="0" fontId="37" fillId="21" borderId="92" applyNumberFormat="0" applyAlignment="0" applyProtection="0"/>
    <xf numFmtId="0" fontId="41" fillId="0" borderId="97" applyNumberFormat="0" applyFill="0" applyAlignment="0" applyProtection="0"/>
    <xf numFmtId="0" fontId="41" fillId="0" borderId="97" applyNumberFormat="0" applyFill="0" applyAlignment="0" applyProtection="0"/>
    <xf numFmtId="0" fontId="1" fillId="24" borderId="99" applyNumberFormat="0" applyFont="0" applyAlignment="0" applyProtection="0"/>
    <xf numFmtId="0" fontId="1" fillId="24" borderId="99" applyNumberFormat="0" applyFont="0" applyAlignment="0" applyProtection="0"/>
    <xf numFmtId="0" fontId="61" fillId="8" borderId="92" applyNumberFormat="0" applyAlignment="0" applyProtection="0">
      <alignment vertical="center"/>
    </xf>
    <xf numFmtId="0" fontId="72" fillId="21" borderId="92" applyNumberFormat="0" applyAlignment="0" applyProtection="0"/>
    <xf numFmtId="0" fontId="37" fillId="21" borderId="92" applyNumberFormat="0" applyAlignment="0" applyProtection="0"/>
    <xf numFmtId="0" fontId="54" fillId="21" borderId="92" applyNumberFormat="0" applyAlignment="0" applyProtection="0">
      <alignment vertical="center"/>
    </xf>
    <xf numFmtId="0" fontId="41" fillId="0" borderId="97" applyNumberFormat="0" applyFill="0" applyAlignment="0" applyProtection="0"/>
    <xf numFmtId="0" fontId="1" fillId="24" borderId="99" applyNumberFormat="0" applyFont="0" applyAlignment="0" applyProtection="0"/>
    <xf numFmtId="0" fontId="61" fillId="8" borderId="92" applyNumberFormat="0" applyAlignment="0" applyProtection="0">
      <alignment vertical="center"/>
    </xf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35" fillId="8" borderId="92" applyNumberFormat="0" applyAlignment="0" applyProtection="0"/>
    <xf numFmtId="0" fontId="89" fillId="0" borderId="0"/>
    <xf numFmtId="4" fontId="86" fillId="27" borderId="101" applyNumberFormat="0" applyProtection="0">
      <alignment vertical="center"/>
    </xf>
    <xf numFmtId="0" fontId="2" fillId="28" borderId="101" applyNumberFormat="0" applyProtection="0">
      <alignment horizontal="left" vertical="top" indent="1"/>
    </xf>
    <xf numFmtId="4" fontId="87" fillId="29" borderId="102" applyNumberFormat="0" applyProtection="0">
      <alignment horizontal="left" vertical="center" indent="1"/>
    </xf>
    <xf numFmtId="0" fontId="88" fillId="0" borderId="0"/>
    <xf numFmtId="0" fontId="2" fillId="0" borderId="0"/>
    <xf numFmtId="0" fontId="3" fillId="0" borderId="0"/>
    <xf numFmtId="0" fontId="35" fillId="8" borderId="92" applyNumberFormat="0" applyAlignment="0" applyProtection="0"/>
    <xf numFmtId="0" fontId="36" fillId="21" borderId="93" applyNumberFormat="0" applyAlignment="0" applyProtection="0"/>
    <xf numFmtId="0" fontId="37" fillId="21" borderId="92" applyNumberFormat="0" applyAlignment="0" applyProtection="0"/>
    <xf numFmtId="0" fontId="41" fillId="0" borderId="97" applyNumberFormat="0" applyFill="0" applyAlignment="0" applyProtection="0"/>
    <xf numFmtId="0" fontId="1" fillId="24" borderId="99" applyNumberFormat="0" applyFont="0" applyAlignment="0" applyProtection="0"/>
    <xf numFmtId="0" fontId="3" fillId="0" borderId="0"/>
    <xf numFmtId="0" fontId="54" fillId="21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35" fillId="8" borderId="92" applyNumberFormat="0" applyAlignment="0" applyProtection="0"/>
    <xf numFmtId="0" fontId="36" fillId="21" borderId="93" applyNumberFormat="0" applyAlignment="0" applyProtection="0"/>
    <xf numFmtId="0" fontId="37" fillId="21" borderId="92" applyNumberFormat="0" applyAlignment="0" applyProtection="0"/>
    <xf numFmtId="0" fontId="41" fillId="0" borderId="97" applyNumberFormat="0" applyFill="0" applyAlignment="0" applyProtection="0"/>
    <xf numFmtId="0" fontId="1" fillId="24" borderId="99" applyNumberFormat="0" applyFont="0" applyAlignment="0" applyProtection="0"/>
    <xf numFmtId="0" fontId="54" fillId="21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1" fillId="24" borderId="99" applyNumberFormat="0" applyFont="0" applyAlignment="0" applyProtection="0"/>
    <xf numFmtId="0" fontId="54" fillId="21" borderId="92" applyNumberFormat="0" applyAlignment="0" applyProtection="0">
      <alignment vertical="center"/>
    </xf>
    <xf numFmtId="0" fontId="35" fillId="8" borderId="92" applyNumberFormat="0" applyAlignment="0" applyProtection="0"/>
    <xf numFmtId="0" fontId="36" fillId="21" borderId="93" applyNumberFormat="0" applyAlignment="0" applyProtection="0"/>
    <xf numFmtId="0" fontId="37" fillId="21" borderId="92" applyNumberFormat="0" applyAlignment="0" applyProtection="0"/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70" fillId="8" borderId="92" applyNumberFormat="0" applyAlignment="0" applyProtection="0"/>
    <xf numFmtId="0" fontId="71" fillId="21" borderId="93" applyNumberFormat="0" applyAlignment="0" applyProtection="0"/>
    <xf numFmtId="0" fontId="72" fillId="21" borderId="92" applyNumberFormat="0" applyAlignment="0" applyProtection="0"/>
    <xf numFmtId="0" fontId="76" fillId="0" borderId="97" applyNumberFormat="0" applyFill="0" applyAlignment="0" applyProtection="0"/>
    <xf numFmtId="0" fontId="3" fillId="0" borderId="0"/>
    <xf numFmtId="0" fontId="7" fillId="24" borderId="99" applyNumberFormat="0" applyFont="0" applyAlignment="0" applyProtection="0"/>
    <xf numFmtId="0" fontId="1" fillId="0" borderId="0"/>
    <xf numFmtId="0" fontId="3" fillId="0" borderId="0"/>
    <xf numFmtId="0" fontId="41" fillId="0" borderId="97" applyNumberFormat="0" applyFill="0" applyAlignment="0" applyProtection="0"/>
    <xf numFmtId="0" fontId="61" fillId="8" borderId="92" applyNumberFormat="0" applyAlignment="0" applyProtection="0">
      <alignment vertical="center"/>
    </xf>
    <xf numFmtId="0" fontId="54" fillId="21" borderId="92" applyNumberFormat="0" applyAlignment="0" applyProtection="0">
      <alignment vertical="center"/>
    </xf>
    <xf numFmtId="0" fontId="54" fillId="21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35" fillId="8" borderId="92" applyNumberFormat="0" applyAlignment="0" applyProtection="0"/>
    <xf numFmtId="0" fontId="35" fillId="8" borderId="92" applyNumberFormat="0" applyAlignment="0" applyProtection="0"/>
    <xf numFmtId="0" fontId="36" fillId="21" borderId="93" applyNumberFormat="0" applyAlignment="0" applyProtection="0"/>
    <xf numFmtId="0" fontId="36" fillId="21" borderId="93" applyNumberFormat="0" applyAlignment="0" applyProtection="0"/>
    <xf numFmtId="0" fontId="37" fillId="21" borderId="92" applyNumberFormat="0" applyAlignment="0" applyProtection="0"/>
    <xf numFmtId="0" fontId="37" fillId="21" borderId="92" applyNumberFormat="0" applyAlignment="0" applyProtection="0"/>
    <xf numFmtId="0" fontId="41" fillId="0" borderId="97" applyNumberFormat="0" applyFill="0" applyAlignment="0" applyProtection="0"/>
    <xf numFmtId="0" fontId="41" fillId="0" borderId="97" applyNumberFormat="0" applyFill="0" applyAlignment="0" applyProtection="0"/>
    <xf numFmtId="0" fontId="1" fillId="24" borderId="99" applyNumberFormat="0" applyFont="0" applyAlignment="0" applyProtection="0"/>
    <xf numFmtId="0" fontId="1" fillId="24" borderId="99" applyNumberFormat="0" applyFont="0" applyAlignment="0" applyProtection="0"/>
    <xf numFmtId="0" fontId="71" fillId="21" borderId="93" applyNumberFormat="0" applyAlignment="0" applyProtection="0"/>
    <xf numFmtId="0" fontId="41" fillId="0" borderId="97" applyNumberFormat="0" applyFill="0" applyAlignment="0" applyProtection="0"/>
    <xf numFmtId="0" fontId="37" fillId="21" borderId="92" applyNumberFormat="0" applyAlignment="0" applyProtection="0"/>
    <xf numFmtId="0" fontId="66" fillId="0" borderId="97" applyNumberFormat="0" applyFill="0" applyAlignment="0" applyProtection="0">
      <alignment vertical="center"/>
    </xf>
    <xf numFmtId="0" fontId="1" fillId="24" borderId="99" applyNumberFormat="0" applyFont="0" applyAlignment="0" applyProtection="0"/>
    <xf numFmtId="0" fontId="35" fillId="8" borderId="92" applyNumberFormat="0" applyAlignment="0" applyProtection="0"/>
    <xf numFmtId="0" fontId="35" fillId="8" borderId="92" applyNumberFormat="0" applyAlignment="0" applyProtection="0"/>
    <xf numFmtId="0" fontId="36" fillId="21" borderId="93" applyNumberFormat="0" applyAlignment="0" applyProtection="0"/>
    <xf numFmtId="0" fontId="37" fillId="21" borderId="92" applyNumberFormat="0" applyAlignment="0" applyProtection="0"/>
    <xf numFmtId="0" fontId="41" fillId="0" borderId="97" applyNumberFormat="0" applyFill="0" applyAlignment="0" applyProtection="0"/>
    <xf numFmtId="0" fontId="1" fillId="24" borderId="99" applyNumberFormat="0" applyFont="0" applyAlignment="0" applyProtection="0"/>
    <xf numFmtId="0" fontId="54" fillId="21" borderId="92" applyNumberFormat="0" applyAlignment="0" applyProtection="0">
      <alignment vertical="center"/>
    </xf>
    <xf numFmtId="0" fontId="35" fillId="8" borderId="92" applyNumberFormat="0" applyAlignment="0" applyProtection="0"/>
    <xf numFmtId="0" fontId="41" fillId="0" borderId="97" applyNumberFormat="0" applyFill="0" applyAlignment="0" applyProtection="0"/>
    <xf numFmtId="0" fontId="7" fillId="24" borderId="99" applyNumberFormat="0" applyFont="0" applyAlignment="0" applyProtection="0"/>
    <xf numFmtId="0" fontId="64" fillId="21" borderId="93" applyNumberFormat="0" applyAlignment="0" applyProtection="0">
      <alignment vertical="center"/>
    </xf>
    <xf numFmtId="0" fontId="35" fillId="8" borderId="92" applyNumberFormat="0" applyAlignment="0" applyProtection="0"/>
    <xf numFmtId="0" fontId="54" fillId="21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54" fillId="21" borderId="92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35" fillId="8" borderId="92" applyNumberFormat="0" applyAlignment="0" applyProtection="0"/>
    <xf numFmtId="0" fontId="37" fillId="21" borderId="92" applyNumberFormat="0" applyAlignment="0" applyProtection="0"/>
    <xf numFmtId="0" fontId="41" fillId="0" borderId="97" applyNumberFormat="0" applyFill="0" applyAlignment="0" applyProtection="0"/>
    <xf numFmtId="0" fontId="64" fillId="21" borderId="93" applyNumberFormat="0" applyAlignment="0" applyProtection="0">
      <alignment vertical="center"/>
    </xf>
    <xf numFmtId="0" fontId="37" fillId="21" borderId="92" applyNumberFormat="0" applyAlignment="0" applyProtection="0"/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54" fillId="21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35" fillId="8" borderId="92" applyNumberFormat="0" applyAlignment="0" applyProtection="0"/>
    <xf numFmtId="0" fontId="36" fillId="21" borderId="93" applyNumberFormat="0" applyAlignment="0" applyProtection="0"/>
    <xf numFmtId="0" fontId="37" fillId="21" borderId="92" applyNumberFormat="0" applyAlignment="0" applyProtection="0"/>
    <xf numFmtId="0" fontId="41" fillId="0" borderId="97" applyNumberFormat="0" applyFill="0" applyAlignment="0" applyProtection="0"/>
    <xf numFmtId="0" fontId="1" fillId="24" borderId="99" applyNumberFormat="0" applyFont="0" applyAlignment="0" applyProtection="0"/>
    <xf numFmtId="0" fontId="54" fillId="21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1" fillId="24" borderId="99" applyNumberFormat="0" applyFont="0" applyAlignment="0" applyProtection="0"/>
    <xf numFmtId="0" fontId="66" fillId="0" borderId="97" applyNumberFormat="0" applyFill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36" fillId="21" borderId="93" applyNumberFormat="0" applyAlignment="0" applyProtection="0"/>
    <xf numFmtId="0" fontId="1" fillId="24" borderId="99" applyNumberFormat="0" applyFont="0" applyAlignment="0" applyProtection="0"/>
    <xf numFmtId="0" fontId="54" fillId="21" borderId="92" applyNumberFormat="0" applyAlignment="0" applyProtection="0">
      <alignment vertical="center"/>
    </xf>
    <xf numFmtId="0" fontId="54" fillId="21" borderId="92" applyNumberFormat="0" applyAlignment="0" applyProtection="0">
      <alignment vertical="center"/>
    </xf>
    <xf numFmtId="0" fontId="36" fillId="21" borderId="93" applyNumberFormat="0" applyAlignment="0" applyProtection="0"/>
    <xf numFmtId="0" fontId="35" fillId="8" borderId="92" applyNumberFormat="0" applyAlignment="0" applyProtection="0"/>
    <xf numFmtId="0" fontId="36" fillId="21" borderId="93" applyNumberFormat="0" applyAlignment="0" applyProtection="0"/>
    <xf numFmtId="0" fontId="37" fillId="21" borderId="92" applyNumberFormat="0" applyAlignment="0" applyProtection="0"/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70" fillId="8" borderId="92" applyNumberFormat="0" applyAlignment="0" applyProtection="0"/>
    <xf numFmtId="0" fontId="71" fillId="21" borderId="93" applyNumberFormat="0" applyAlignment="0" applyProtection="0"/>
    <xf numFmtId="0" fontId="72" fillId="21" borderId="92" applyNumberFormat="0" applyAlignment="0" applyProtection="0"/>
    <xf numFmtId="0" fontId="37" fillId="21" borderId="92" applyNumberFormat="0" applyAlignment="0" applyProtection="0"/>
    <xf numFmtId="0" fontId="76" fillId="0" borderId="97" applyNumberFormat="0" applyFill="0" applyAlignment="0" applyProtection="0"/>
    <xf numFmtId="0" fontId="70" fillId="8" borderId="92" applyNumberFormat="0" applyAlignment="0" applyProtection="0"/>
    <xf numFmtId="0" fontId="76" fillId="0" borderId="97" applyNumberFormat="0" applyFill="0" applyAlignment="0" applyProtection="0"/>
    <xf numFmtId="0" fontId="7" fillId="24" borderId="99" applyNumberFormat="0" applyFont="0" applyAlignment="0" applyProtection="0"/>
    <xf numFmtId="0" fontId="41" fillId="0" borderId="97" applyNumberFormat="0" applyFill="0" applyAlignment="0" applyProtection="0"/>
    <xf numFmtId="0" fontId="61" fillId="8" borderId="92" applyNumberFormat="0" applyAlignment="0" applyProtection="0">
      <alignment vertical="center"/>
    </xf>
    <xf numFmtId="0" fontId="36" fillId="21" borderId="93" applyNumberFormat="0" applyAlignment="0" applyProtection="0"/>
    <xf numFmtId="0" fontId="1" fillId="24" borderId="99" applyNumberFormat="0" applyFont="0" applyAlignment="0" applyProtection="0"/>
    <xf numFmtId="0" fontId="41" fillId="0" borderId="97" applyNumberFormat="0" applyFill="0" applyAlignment="0" applyProtection="0"/>
    <xf numFmtId="0" fontId="61" fillId="8" borderId="92" applyNumberFormat="0" applyAlignment="0" applyProtection="0">
      <alignment vertical="center"/>
    </xf>
    <xf numFmtId="0" fontId="54" fillId="21" borderId="92" applyNumberFormat="0" applyAlignment="0" applyProtection="0">
      <alignment vertical="center"/>
    </xf>
    <xf numFmtId="0" fontId="54" fillId="21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35" fillId="8" borderId="92" applyNumberFormat="0" applyAlignment="0" applyProtection="0"/>
    <xf numFmtId="0" fontId="35" fillId="8" borderId="92" applyNumberFormat="0" applyAlignment="0" applyProtection="0"/>
    <xf numFmtId="0" fontId="36" fillId="21" borderId="93" applyNumberFormat="0" applyAlignment="0" applyProtection="0"/>
    <xf numFmtId="0" fontId="36" fillId="21" borderId="93" applyNumberFormat="0" applyAlignment="0" applyProtection="0"/>
    <xf numFmtId="0" fontId="37" fillId="21" borderId="92" applyNumberFormat="0" applyAlignment="0" applyProtection="0"/>
    <xf numFmtId="0" fontId="37" fillId="21" borderId="92" applyNumberFormat="0" applyAlignment="0" applyProtection="0"/>
    <xf numFmtId="0" fontId="41" fillId="0" borderId="97" applyNumberFormat="0" applyFill="0" applyAlignment="0" applyProtection="0"/>
    <xf numFmtId="0" fontId="41" fillId="0" borderId="97" applyNumberFormat="0" applyFill="0" applyAlignment="0" applyProtection="0"/>
    <xf numFmtId="0" fontId="1" fillId="24" borderId="99" applyNumberFormat="0" applyFont="0" applyAlignment="0" applyProtection="0"/>
    <xf numFmtId="0" fontId="1" fillId="24" borderId="99" applyNumberFormat="0" applyFont="0" applyAlignment="0" applyProtection="0"/>
    <xf numFmtId="0" fontId="61" fillId="8" borderId="92" applyNumberFormat="0" applyAlignment="0" applyProtection="0">
      <alignment vertical="center"/>
    </xf>
    <xf numFmtId="0" fontId="72" fillId="21" borderId="92" applyNumberFormat="0" applyAlignment="0" applyProtection="0"/>
    <xf numFmtId="0" fontId="37" fillId="21" borderId="92" applyNumberFormat="0" applyAlignment="0" applyProtection="0"/>
    <xf numFmtId="0" fontId="54" fillId="21" borderId="92" applyNumberFormat="0" applyAlignment="0" applyProtection="0">
      <alignment vertical="center"/>
    </xf>
    <xf numFmtId="0" fontId="41" fillId="0" borderId="97" applyNumberFormat="0" applyFill="0" applyAlignment="0" applyProtection="0"/>
    <xf numFmtId="0" fontId="36" fillId="21" borderId="93" applyNumberFormat="0" applyAlignment="0" applyProtection="0"/>
    <xf numFmtId="0" fontId="1" fillId="24" borderId="99" applyNumberFormat="0" applyFont="0" applyAlignment="0" applyProtection="0"/>
    <xf numFmtId="0" fontId="61" fillId="8" borderId="92" applyNumberFormat="0" applyAlignment="0" applyProtection="0">
      <alignment vertical="center"/>
    </xf>
    <xf numFmtId="0" fontId="1" fillId="24" borderId="99" applyNumberFormat="0" applyFont="0" applyAlignment="0" applyProtection="0"/>
    <xf numFmtId="0" fontId="36" fillId="21" borderId="93" applyNumberFormat="0" applyAlignment="0" applyProtection="0"/>
    <xf numFmtId="0" fontId="51" fillId="24" borderId="99" applyNumberFormat="0" applyFont="0" applyAlignment="0" applyProtection="0">
      <alignment vertical="center"/>
    </xf>
    <xf numFmtId="0" fontId="35" fillId="8" borderId="92" applyNumberFormat="0" applyAlignment="0" applyProtection="0"/>
    <xf numFmtId="0" fontId="35" fillId="8" borderId="92" applyNumberFormat="0" applyAlignment="0" applyProtection="0"/>
    <xf numFmtId="0" fontId="36" fillId="21" borderId="93" applyNumberFormat="0" applyAlignment="0" applyProtection="0"/>
    <xf numFmtId="0" fontId="37" fillId="21" borderId="92" applyNumberFormat="0" applyAlignment="0" applyProtection="0"/>
    <xf numFmtId="0" fontId="41" fillId="0" borderId="97" applyNumberFormat="0" applyFill="0" applyAlignment="0" applyProtection="0"/>
    <xf numFmtId="0" fontId="1" fillId="24" borderId="99" applyNumberFormat="0" applyFont="0" applyAlignment="0" applyProtection="0"/>
    <xf numFmtId="0" fontId="54" fillId="21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35" fillId="8" borderId="92" applyNumberFormat="0" applyAlignment="0" applyProtection="0"/>
    <xf numFmtId="0" fontId="36" fillId="21" borderId="93" applyNumberFormat="0" applyAlignment="0" applyProtection="0"/>
    <xf numFmtId="0" fontId="37" fillId="21" borderId="92" applyNumberFormat="0" applyAlignment="0" applyProtection="0"/>
    <xf numFmtId="0" fontId="41" fillId="0" borderId="97" applyNumberFormat="0" applyFill="0" applyAlignment="0" applyProtection="0"/>
    <xf numFmtId="0" fontId="1" fillId="24" borderId="99" applyNumberFormat="0" applyFont="0" applyAlignment="0" applyProtection="0"/>
    <xf numFmtId="0" fontId="54" fillId="21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1" fillId="24" borderId="99" applyNumberFormat="0" applyFont="0" applyAlignment="0" applyProtection="0"/>
    <xf numFmtId="0" fontId="54" fillId="21" borderId="92" applyNumberFormat="0" applyAlignment="0" applyProtection="0">
      <alignment vertical="center"/>
    </xf>
    <xf numFmtId="0" fontId="35" fillId="8" borderId="92" applyNumberFormat="0" applyAlignment="0" applyProtection="0"/>
    <xf numFmtId="0" fontId="36" fillId="21" borderId="93" applyNumberFormat="0" applyAlignment="0" applyProtection="0"/>
    <xf numFmtId="0" fontId="37" fillId="21" borderId="92" applyNumberFormat="0" applyAlignment="0" applyProtection="0"/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70" fillId="8" borderId="92" applyNumberFormat="0" applyAlignment="0" applyProtection="0"/>
    <xf numFmtId="0" fontId="71" fillId="21" borderId="93" applyNumberFormat="0" applyAlignment="0" applyProtection="0"/>
    <xf numFmtId="0" fontId="72" fillId="21" borderId="92" applyNumberFormat="0" applyAlignment="0" applyProtection="0"/>
    <xf numFmtId="0" fontId="76" fillId="0" borderId="97" applyNumberFormat="0" applyFill="0" applyAlignment="0" applyProtection="0"/>
    <xf numFmtId="0" fontId="7" fillId="24" borderId="99" applyNumberFormat="0" applyFont="0" applyAlignment="0" applyProtection="0"/>
    <xf numFmtId="0" fontId="41" fillId="0" borderId="97" applyNumberFormat="0" applyFill="0" applyAlignment="0" applyProtection="0"/>
    <xf numFmtId="0" fontId="61" fillId="8" borderId="92" applyNumberFormat="0" applyAlignment="0" applyProtection="0">
      <alignment vertical="center"/>
    </xf>
    <xf numFmtId="0" fontId="54" fillId="21" borderId="92" applyNumberFormat="0" applyAlignment="0" applyProtection="0">
      <alignment vertical="center"/>
    </xf>
    <xf numFmtId="0" fontId="54" fillId="21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35" fillId="8" borderId="92" applyNumberFormat="0" applyAlignment="0" applyProtection="0"/>
    <xf numFmtId="0" fontId="35" fillId="8" borderId="92" applyNumberFormat="0" applyAlignment="0" applyProtection="0"/>
    <xf numFmtId="0" fontId="36" fillId="21" borderId="93" applyNumberFormat="0" applyAlignment="0" applyProtection="0"/>
    <xf numFmtId="0" fontId="36" fillId="21" borderId="93" applyNumberFormat="0" applyAlignment="0" applyProtection="0"/>
    <xf numFmtId="0" fontId="37" fillId="21" borderId="92" applyNumberFormat="0" applyAlignment="0" applyProtection="0"/>
    <xf numFmtId="0" fontId="37" fillId="21" borderId="92" applyNumberFormat="0" applyAlignment="0" applyProtection="0"/>
    <xf numFmtId="0" fontId="41" fillId="0" borderId="97" applyNumberFormat="0" applyFill="0" applyAlignment="0" applyProtection="0"/>
    <xf numFmtId="0" fontId="41" fillId="0" borderId="97" applyNumberFormat="0" applyFill="0" applyAlignment="0" applyProtection="0"/>
    <xf numFmtId="0" fontId="1" fillId="24" borderId="99" applyNumberFormat="0" applyFont="0" applyAlignment="0" applyProtection="0"/>
    <xf numFmtId="0" fontId="1" fillId="24" borderId="99" applyNumberFormat="0" applyFont="0" applyAlignment="0" applyProtection="0"/>
    <xf numFmtId="0" fontId="41" fillId="0" borderId="97" applyNumberFormat="0" applyFill="0" applyAlignment="0" applyProtection="0"/>
    <xf numFmtId="0" fontId="37" fillId="21" borderId="92" applyNumberFormat="0" applyAlignment="0" applyProtection="0"/>
    <xf numFmtId="0" fontId="66" fillId="0" borderId="97" applyNumberFormat="0" applyFill="0" applyAlignment="0" applyProtection="0">
      <alignment vertical="center"/>
    </xf>
    <xf numFmtId="0" fontId="1" fillId="24" borderId="99" applyNumberFormat="0" applyFont="0" applyAlignment="0" applyProtection="0"/>
    <xf numFmtId="0" fontId="35" fillId="8" borderId="92" applyNumberFormat="0" applyAlignment="0" applyProtection="0"/>
    <xf numFmtId="0" fontId="35" fillId="8" borderId="92" applyNumberFormat="0" applyAlignment="0" applyProtection="0"/>
    <xf numFmtId="0" fontId="36" fillId="21" borderId="93" applyNumberFormat="0" applyAlignment="0" applyProtection="0"/>
    <xf numFmtId="0" fontId="37" fillId="21" borderId="92" applyNumberFormat="0" applyAlignment="0" applyProtection="0"/>
    <xf numFmtId="0" fontId="41" fillId="0" borderId="97" applyNumberFormat="0" applyFill="0" applyAlignment="0" applyProtection="0"/>
    <xf numFmtId="0" fontId="1" fillId="24" borderId="99" applyNumberFormat="0" applyFont="0" applyAlignment="0" applyProtection="0"/>
    <xf numFmtId="0" fontId="54" fillId="21" borderId="92" applyNumberFormat="0" applyAlignment="0" applyProtection="0">
      <alignment vertical="center"/>
    </xf>
    <xf numFmtId="0" fontId="35" fillId="8" borderId="92" applyNumberFormat="0" applyAlignment="0" applyProtection="0"/>
    <xf numFmtId="0" fontId="41" fillId="0" borderId="97" applyNumberFormat="0" applyFill="0" applyAlignment="0" applyProtection="0"/>
    <xf numFmtId="0" fontId="7" fillId="24" borderId="99" applyNumberFormat="0" applyFont="0" applyAlignment="0" applyProtection="0"/>
    <xf numFmtId="0" fontId="35" fillId="8" borderId="92" applyNumberFormat="0" applyAlignment="0" applyProtection="0"/>
    <xf numFmtId="0" fontId="54" fillId="21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54" fillId="21" borderId="92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35" fillId="8" borderId="92" applyNumberFormat="0" applyAlignment="0" applyProtection="0"/>
    <xf numFmtId="0" fontId="37" fillId="21" borderId="92" applyNumberFormat="0" applyAlignment="0" applyProtection="0"/>
    <xf numFmtId="0" fontId="41" fillId="0" borderId="97" applyNumberFormat="0" applyFill="0" applyAlignment="0" applyProtection="0"/>
    <xf numFmtId="0" fontId="37" fillId="21" borderId="92" applyNumberFormat="0" applyAlignment="0" applyProtection="0"/>
    <xf numFmtId="0" fontId="51" fillId="24" borderId="99" applyNumberFormat="0" applyFon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54" fillId="21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35" fillId="8" borderId="92" applyNumberFormat="0" applyAlignment="0" applyProtection="0"/>
    <xf numFmtId="0" fontId="36" fillId="21" borderId="93" applyNumberFormat="0" applyAlignment="0" applyProtection="0"/>
    <xf numFmtId="0" fontId="37" fillId="21" borderId="92" applyNumberFormat="0" applyAlignment="0" applyProtection="0"/>
    <xf numFmtId="0" fontId="41" fillId="0" borderId="97" applyNumberFormat="0" applyFill="0" applyAlignment="0" applyProtection="0"/>
    <xf numFmtId="0" fontId="1" fillId="24" borderId="99" applyNumberFormat="0" applyFont="0" applyAlignment="0" applyProtection="0"/>
    <xf numFmtId="0" fontId="54" fillId="21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1" fillId="24" borderId="99" applyNumberFormat="0" applyFont="0" applyAlignment="0" applyProtection="0"/>
    <xf numFmtId="0" fontId="66" fillId="0" borderId="97" applyNumberFormat="0" applyFill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54" fillId="21" borderId="92" applyNumberFormat="0" applyAlignment="0" applyProtection="0">
      <alignment vertical="center"/>
    </xf>
    <xf numFmtId="0" fontId="54" fillId="21" borderId="92" applyNumberFormat="0" applyAlignment="0" applyProtection="0">
      <alignment vertical="center"/>
    </xf>
    <xf numFmtId="0" fontId="35" fillId="8" borderId="92" applyNumberFormat="0" applyAlignment="0" applyProtection="0"/>
    <xf numFmtId="0" fontId="36" fillId="21" borderId="93" applyNumberFormat="0" applyAlignment="0" applyProtection="0"/>
    <xf numFmtId="0" fontId="37" fillId="21" borderId="92" applyNumberFormat="0" applyAlignment="0" applyProtection="0"/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70" fillId="8" borderId="92" applyNumberFormat="0" applyAlignment="0" applyProtection="0"/>
    <xf numFmtId="0" fontId="71" fillId="21" borderId="93" applyNumberFormat="0" applyAlignment="0" applyProtection="0"/>
    <xf numFmtId="0" fontId="72" fillId="21" borderId="92" applyNumberFormat="0" applyAlignment="0" applyProtection="0"/>
    <xf numFmtId="0" fontId="37" fillId="21" borderId="92" applyNumberFormat="0" applyAlignment="0" applyProtection="0"/>
    <xf numFmtId="0" fontId="76" fillId="0" borderId="97" applyNumberFormat="0" applyFill="0" applyAlignment="0" applyProtection="0"/>
    <xf numFmtId="0" fontId="70" fillId="8" borderId="92" applyNumberFormat="0" applyAlignment="0" applyProtection="0"/>
    <xf numFmtId="0" fontId="76" fillId="0" borderId="97" applyNumberFormat="0" applyFill="0" applyAlignment="0" applyProtection="0"/>
    <xf numFmtId="0" fontId="7" fillId="24" borderId="99" applyNumberFormat="0" applyFont="0" applyAlignment="0" applyProtection="0"/>
    <xf numFmtId="0" fontId="41" fillId="0" borderId="97" applyNumberFormat="0" applyFill="0" applyAlignment="0" applyProtection="0"/>
    <xf numFmtId="0" fontId="61" fillId="8" borderId="92" applyNumberFormat="0" applyAlignment="0" applyProtection="0">
      <alignment vertical="center"/>
    </xf>
    <xf numFmtId="0" fontId="1" fillId="24" borderId="99" applyNumberFormat="0" applyFont="0" applyAlignment="0" applyProtection="0"/>
    <xf numFmtId="0" fontId="41" fillId="0" borderId="97" applyNumberFormat="0" applyFill="0" applyAlignment="0" applyProtection="0"/>
    <xf numFmtId="0" fontId="61" fillId="8" borderId="92" applyNumberFormat="0" applyAlignment="0" applyProtection="0">
      <alignment vertical="center"/>
    </xf>
    <xf numFmtId="0" fontId="54" fillId="21" borderId="92" applyNumberFormat="0" applyAlignment="0" applyProtection="0">
      <alignment vertical="center"/>
    </xf>
    <xf numFmtId="0" fontId="54" fillId="21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61" fillId="8" borderId="92" applyNumberForma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4" fillId="21" borderId="93" applyNumberFormat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66" fillId="0" borderId="97" applyNumberFormat="0" applyFill="0" applyAlignment="0" applyProtection="0">
      <alignment vertical="center"/>
    </xf>
    <xf numFmtId="0" fontId="35" fillId="8" borderId="92" applyNumberFormat="0" applyAlignment="0" applyProtection="0"/>
    <xf numFmtId="0" fontId="35" fillId="8" borderId="92" applyNumberFormat="0" applyAlignment="0" applyProtection="0"/>
    <xf numFmtId="0" fontId="36" fillId="21" borderId="93" applyNumberFormat="0" applyAlignment="0" applyProtection="0"/>
    <xf numFmtId="0" fontId="36" fillId="21" borderId="93" applyNumberFormat="0" applyAlignment="0" applyProtection="0"/>
    <xf numFmtId="0" fontId="37" fillId="21" borderId="92" applyNumberFormat="0" applyAlignment="0" applyProtection="0"/>
    <xf numFmtId="0" fontId="37" fillId="21" borderId="92" applyNumberFormat="0" applyAlignment="0" applyProtection="0"/>
    <xf numFmtId="0" fontId="41" fillId="0" borderId="97" applyNumberFormat="0" applyFill="0" applyAlignment="0" applyProtection="0"/>
    <xf numFmtId="0" fontId="41" fillId="0" borderId="97" applyNumberFormat="0" applyFill="0" applyAlignment="0" applyProtection="0"/>
    <xf numFmtId="0" fontId="1" fillId="24" borderId="99" applyNumberFormat="0" applyFont="0" applyAlignment="0" applyProtection="0"/>
    <xf numFmtId="0" fontId="1" fillId="24" borderId="99" applyNumberFormat="0" applyFont="0" applyAlignment="0" applyProtection="0"/>
    <xf numFmtId="0" fontId="61" fillId="8" borderId="92" applyNumberFormat="0" applyAlignment="0" applyProtection="0">
      <alignment vertical="center"/>
    </xf>
    <xf numFmtId="0" fontId="72" fillId="21" borderId="92" applyNumberFormat="0" applyAlignment="0" applyProtection="0"/>
    <xf numFmtId="0" fontId="37" fillId="21" borderId="92" applyNumberFormat="0" applyAlignment="0" applyProtection="0"/>
    <xf numFmtId="0" fontId="54" fillId="21" borderId="92" applyNumberFormat="0" applyAlignment="0" applyProtection="0">
      <alignment vertical="center"/>
    </xf>
    <xf numFmtId="0" fontId="41" fillId="0" borderId="97" applyNumberFormat="0" applyFill="0" applyAlignment="0" applyProtection="0"/>
    <xf numFmtId="0" fontId="1" fillId="24" borderId="99" applyNumberFormat="0" applyFont="0" applyAlignment="0" applyProtection="0"/>
    <xf numFmtId="0" fontId="61" fillId="8" borderId="92" applyNumberFormat="0" applyAlignment="0" applyProtection="0">
      <alignment vertical="center"/>
    </xf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35" fillId="8" borderId="92" applyNumberFormat="0" applyAlignment="0" applyProtection="0"/>
    <xf numFmtId="4" fontId="86" fillId="27" borderId="101" applyNumberFormat="0" applyProtection="0">
      <alignment vertical="center"/>
    </xf>
    <xf numFmtId="0" fontId="2" fillId="28" borderId="101" applyNumberFormat="0" applyProtection="0">
      <alignment horizontal="left" vertical="top" indent="1"/>
    </xf>
    <xf numFmtId="0" fontId="3" fillId="0" borderId="0"/>
    <xf numFmtId="44" fontId="3" fillId="0" borderId="0" applyFont="0" applyFill="0" applyBorder="0" applyAlignment="0" applyProtection="0"/>
    <xf numFmtId="0" fontId="90" fillId="0" borderId="0">
      <alignment vertical="center"/>
    </xf>
    <xf numFmtId="0" fontId="4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7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1" fillId="24" borderId="99" applyNumberFormat="0" applyFont="0" applyAlignment="0" applyProtection="0"/>
    <xf numFmtId="0" fontId="1" fillId="24" borderId="99" applyNumberFormat="0" applyFont="0" applyAlignment="0" applyProtection="0"/>
    <xf numFmtId="0" fontId="1" fillId="24" borderId="99" applyNumberFormat="0" applyFont="0" applyAlignment="0" applyProtection="0"/>
    <xf numFmtId="0" fontId="7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7" fillId="24" borderId="99" applyNumberFormat="0" applyFont="0" applyAlignment="0" applyProtection="0"/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1" fillId="24" borderId="99" applyNumberFormat="0" applyFont="0" applyAlignment="0" applyProtection="0"/>
    <xf numFmtId="0" fontId="1" fillId="24" borderId="99" applyNumberFormat="0" applyFont="0" applyAlignment="0" applyProtection="0"/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7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1" fillId="24" borderId="99" applyNumberFormat="0" applyFont="0" applyAlignment="0" applyProtection="0"/>
    <xf numFmtId="0" fontId="1" fillId="24" borderId="99" applyNumberFormat="0" applyFont="0" applyAlignment="0" applyProtection="0"/>
    <xf numFmtId="0" fontId="1" fillId="24" borderId="99" applyNumberFormat="0" applyFont="0" applyAlignment="0" applyProtection="0"/>
    <xf numFmtId="0" fontId="7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7" fillId="24" borderId="99" applyNumberFormat="0" applyFont="0" applyAlignment="0" applyProtection="0"/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1" fillId="24" borderId="99" applyNumberFormat="0" applyFont="0" applyAlignment="0" applyProtection="0"/>
    <xf numFmtId="0" fontId="1" fillId="24" borderId="99" applyNumberFormat="0" applyFont="0" applyAlignment="0" applyProtection="0"/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7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1" fillId="24" borderId="99" applyNumberFormat="0" applyFont="0" applyAlignment="0" applyProtection="0"/>
    <xf numFmtId="0" fontId="1" fillId="24" borderId="99" applyNumberFormat="0" applyFont="0" applyAlignment="0" applyProtection="0"/>
    <xf numFmtId="0" fontId="1" fillId="24" borderId="99" applyNumberFormat="0" applyFont="0" applyAlignment="0" applyProtection="0"/>
    <xf numFmtId="0" fontId="7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7" fillId="24" borderId="99" applyNumberFormat="0" applyFont="0" applyAlignment="0" applyProtection="0"/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1" fillId="24" borderId="99" applyNumberFormat="0" applyFont="0" applyAlignment="0" applyProtection="0"/>
    <xf numFmtId="0" fontId="1" fillId="24" borderId="99" applyNumberFormat="0" applyFont="0" applyAlignment="0" applyProtection="0"/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7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1" fillId="24" borderId="99" applyNumberFormat="0" applyFont="0" applyAlignment="0" applyProtection="0"/>
    <xf numFmtId="0" fontId="1" fillId="24" borderId="99" applyNumberFormat="0" applyFont="0" applyAlignment="0" applyProtection="0"/>
    <xf numFmtId="0" fontId="1" fillId="24" borderId="99" applyNumberFormat="0" applyFont="0" applyAlignment="0" applyProtection="0"/>
    <xf numFmtId="0" fontId="7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7" fillId="24" borderId="99" applyNumberFormat="0" applyFont="0" applyAlignment="0" applyProtection="0"/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0" fontId="51" fillId="24" borderId="99" applyNumberFormat="0" applyFont="0" applyAlignment="0" applyProtection="0">
      <alignment vertical="center"/>
    </xf>
    <xf numFmtId="0" fontId="1" fillId="24" borderId="99" applyNumberFormat="0" applyFont="0" applyAlignment="0" applyProtection="0"/>
    <xf numFmtId="0" fontId="1" fillId="24" borderId="99" applyNumberFormat="0" applyFont="0" applyAlignment="0" applyProtection="0"/>
    <xf numFmtId="0" fontId="1" fillId="24" borderId="99" applyNumberFormat="0" applyFont="0" applyAlignment="0" applyProtection="0"/>
    <xf numFmtId="0" fontId="1" fillId="24" borderId="99" applyNumberFormat="0" applyFont="0" applyAlignment="0" applyProtection="0"/>
    <xf numFmtId="0" fontId="51" fillId="24" borderId="99" applyNumberFormat="0" applyFont="0" applyAlignment="0" applyProtection="0">
      <alignment vertical="center"/>
    </xf>
    <xf numFmtId="44" fontId="3" fillId="0" borderId="0" applyFont="0" applyFill="0" applyBorder="0" applyAlignment="0" applyProtection="0"/>
    <xf numFmtId="0" fontId="35" fillId="8" borderId="105" applyNumberFormat="0" applyAlignment="0" applyProtection="0"/>
    <xf numFmtId="0" fontId="36" fillId="21" borderId="106" applyNumberFormat="0" applyAlignment="0" applyProtection="0"/>
    <xf numFmtId="0" fontId="37" fillId="21" borderId="105" applyNumberFormat="0" applyAlignment="0" applyProtection="0"/>
    <xf numFmtId="0" fontId="41" fillId="0" borderId="107" applyNumberFormat="0" applyFill="0" applyAlignment="0" applyProtection="0"/>
    <xf numFmtId="0" fontId="1" fillId="24" borderId="108" applyNumberFormat="0" applyFont="0" applyAlignment="0" applyProtection="0"/>
    <xf numFmtId="0" fontId="54" fillId="21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35" fillId="8" borderId="105" applyNumberFormat="0" applyAlignment="0" applyProtection="0"/>
    <xf numFmtId="0" fontId="36" fillId="21" borderId="106" applyNumberFormat="0" applyAlignment="0" applyProtection="0"/>
    <xf numFmtId="0" fontId="37" fillId="21" borderId="105" applyNumberFormat="0" applyAlignment="0" applyProtection="0"/>
    <xf numFmtId="0" fontId="41" fillId="0" borderId="107" applyNumberFormat="0" applyFill="0" applyAlignment="0" applyProtection="0"/>
    <xf numFmtId="0" fontId="1" fillId="24" borderId="108" applyNumberFormat="0" applyFont="0" applyAlignment="0" applyProtection="0"/>
    <xf numFmtId="0" fontId="54" fillId="21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1" fillId="24" borderId="108" applyNumberFormat="0" applyFont="0" applyAlignment="0" applyProtection="0"/>
    <xf numFmtId="0" fontId="54" fillId="21" borderId="105" applyNumberFormat="0" applyAlignment="0" applyProtection="0">
      <alignment vertical="center"/>
    </xf>
    <xf numFmtId="0" fontId="35" fillId="8" borderId="105" applyNumberFormat="0" applyAlignment="0" applyProtection="0"/>
    <xf numFmtId="0" fontId="36" fillId="21" borderId="106" applyNumberFormat="0" applyAlignment="0" applyProtection="0"/>
    <xf numFmtId="0" fontId="37" fillId="21" borderId="105" applyNumberFormat="0" applyAlignment="0" applyProtection="0"/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70" fillId="8" borderId="105" applyNumberFormat="0" applyAlignment="0" applyProtection="0"/>
    <xf numFmtId="0" fontId="71" fillId="21" borderId="106" applyNumberFormat="0" applyAlignment="0" applyProtection="0"/>
    <xf numFmtId="0" fontId="72" fillId="21" borderId="105" applyNumberFormat="0" applyAlignment="0" applyProtection="0"/>
    <xf numFmtId="0" fontId="76" fillId="0" borderId="107" applyNumberFormat="0" applyFill="0" applyAlignment="0" applyProtection="0"/>
    <xf numFmtId="0" fontId="7" fillId="24" borderId="108" applyNumberFormat="0" applyFont="0" applyAlignment="0" applyProtection="0"/>
    <xf numFmtId="0" fontId="41" fillId="0" borderId="107" applyNumberFormat="0" applyFill="0" applyAlignment="0" applyProtection="0"/>
    <xf numFmtId="0" fontId="61" fillId="8" borderId="105" applyNumberFormat="0" applyAlignment="0" applyProtection="0">
      <alignment vertical="center"/>
    </xf>
    <xf numFmtId="0" fontId="54" fillId="21" borderId="105" applyNumberFormat="0" applyAlignment="0" applyProtection="0">
      <alignment vertical="center"/>
    </xf>
    <xf numFmtId="0" fontId="54" fillId="21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35" fillId="8" borderId="105" applyNumberFormat="0" applyAlignment="0" applyProtection="0"/>
    <xf numFmtId="0" fontId="35" fillId="8" borderId="105" applyNumberFormat="0" applyAlignment="0" applyProtection="0"/>
    <xf numFmtId="0" fontId="36" fillId="21" borderId="106" applyNumberFormat="0" applyAlignment="0" applyProtection="0"/>
    <xf numFmtId="0" fontId="36" fillId="21" borderId="106" applyNumberFormat="0" applyAlignment="0" applyProtection="0"/>
    <xf numFmtId="0" fontId="37" fillId="21" borderId="105" applyNumberFormat="0" applyAlignment="0" applyProtection="0"/>
    <xf numFmtId="0" fontId="37" fillId="21" borderId="105" applyNumberFormat="0" applyAlignment="0" applyProtection="0"/>
    <xf numFmtId="0" fontId="41" fillId="0" borderId="107" applyNumberFormat="0" applyFill="0" applyAlignment="0" applyProtection="0"/>
    <xf numFmtId="0" fontId="41" fillId="0" borderId="107" applyNumberFormat="0" applyFill="0" applyAlignment="0" applyProtection="0"/>
    <xf numFmtId="0" fontId="1" fillId="24" borderId="108" applyNumberFormat="0" applyFont="0" applyAlignment="0" applyProtection="0"/>
    <xf numFmtId="0" fontId="1" fillId="24" borderId="108" applyNumberFormat="0" applyFont="0" applyAlignment="0" applyProtection="0"/>
    <xf numFmtId="0" fontId="71" fillId="21" borderId="106" applyNumberFormat="0" applyAlignment="0" applyProtection="0"/>
    <xf numFmtId="0" fontId="41" fillId="0" borderId="107" applyNumberFormat="0" applyFill="0" applyAlignment="0" applyProtection="0"/>
    <xf numFmtId="0" fontId="37" fillId="21" borderId="105" applyNumberFormat="0" applyAlignment="0" applyProtection="0"/>
    <xf numFmtId="0" fontId="66" fillId="0" borderId="107" applyNumberFormat="0" applyFill="0" applyAlignment="0" applyProtection="0">
      <alignment vertical="center"/>
    </xf>
    <xf numFmtId="0" fontId="1" fillId="24" borderId="108" applyNumberFormat="0" applyFont="0" applyAlignment="0" applyProtection="0"/>
    <xf numFmtId="0" fontId="35" fillId="8" borderId="105" applyNumberFormat="0" applyAlignment="0" applyProtection="0"/>
    <xf numFmtId="0" fontId="35" fillId="8" borderId="105" applyNumberFormat="0" applyAlignment="0" applyProtection="0"/>
    <xf numFmtId="0" fontId="36" fillId="21" borderId="106" applyNumberFormat="0" applyAlignment="0" applyProtection="0"/>
    <xf numFmtId="0" fontId="37" fillId="21" borderId="105" applyNumberFormat="0" applyAlignment="0" applyProtection="0"/>
    <xf numFmtId="0" fontId="41" fillId="0" borderId="107" applyNumberFormat="0" applyFill="0" applyAlignment="0" applyProtection="0"/>
    <xf numFmtId="0" fontId="1" fillId="24" borderId="108" applyNumberFormat="0" applyFont="0" applyAlignment="0" applyProtection="0"/>
    <xf numFmtId="0" fontId="54" fillId="21" borderId="105" applyNumberFormat="0" applyAlignment="0" applyProtection="0">
      <alignment vertical="center"/>
    </xf>
    <xf numFmtId="0" fontId="35" fillId="8" borderId="105" applyNumberFormat="0" applyAlignment="0" applyProtection="0"/>
    <xf numFmtId="0" fontId="41" fillId="0" borderId="107" applyNumberFormat="0" applyFill="0" applyAlignment="0" applyProtection="0"/>
    <xf numFmtId="0" fontId="7" fillId="24" borderId="108" applyNumberFormat="0" applyFont="0" applyAlignment="0" applyProtection="0"/>
    <xf numFmtId="0" fontId="64" fillId="21" borderId="106" applyNumberFormat="0" applyAlignment="0" applyProtection="0">
      <alignment vertical="center"/>
    </xf>
    <xf numFmtId="0" fontId="35" fillId="8" borderId="105" applyNumberFormat="0" applyAlignment="0" applyProtection="0"/>
    <xf numFmtId="0" fontId="54" fillId="21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54" fillId="21" borderId="105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35" fillId="8" borderId="105" applyNumberFormat="0" applyAlignment="0" applyProtection="0"/>
    <xf numFmtId="0" fontId="37" fillId="21" borderId="105" applyNumberFormat="0" applyAlignment="0" applyProtection="0"/>
    <xf numFmtId="0" fontId="41" fillId="0" borderId="107" applyNumberFormat="0" applyFill="0" applyAlignment="0" applyProtection="0"/>
    <xf numFmtId="0" fontId="64" fillId="21" borderId="106" applyNumberFormat="0" applyAlignment="0" applyProtection="0">
      <alignment vertical="center"/>
    </xf>
    <xf numFmtId="0" fontId="37" fillId="21" borderId="105" applyNumberFormat="0" applyAlignment="0" applyProtection="0"/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54" fillId="21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35" fillId="8" borderId="105" applyNumberFormat="0" applyAlignment="0" applyProtection="0"/>
    <xf numFmtId="0" fontId="36" fillId="21" borderId="106" applyNumberFormat="0" applyAlignment="0" applyProtection="0"/>
    <xf numFmtId="0" fontId="37" fillId="21" borderId="105" applyNumberFormat="0" applyAlignment="0" applyProtection="0"/>
    <xf numFmtId="0" fontId="41" fillId="0" borderId="107" applyNumberFormat="0" applyFill="0" applyAlignment="0" applyProtection="0"/>
    <xf numFmtId="0" fontId="1" fillId="24" borderId="108" applyNumberFormat="0" applyFont="0" applyAlignment="0" applyProtection="0"/>
    <xf numFmtId="0" fontId="54" fillId="21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1" fillId="24" borderId="108" applyNumberFormat="0" applyFont="0" applyAlignment="0" applyProtection="0"/>
    <xf numFmtId="0" fontId="66" fillId="0" borderId="107" applyNumberFormat="0" applyFill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36" fillId="21" borderId="106" applyNumberFormat="0" applyAlignment="0" applyProtection="0"/>
    <xf numFmtId="0" fontId="1" fillId="24" borderId="108" applyNumberFormat="0" applyFont="0" applyAlignment="0" applyProtection="0"/>
    <xf numFmtId="0" fontId="54" fillId="21" borderId="105" applyNumberFormat="0" applyAlignment="0" applyProtection="0">
      <alignment vertical="center"/>
    </xf>
    <xf numFmtId="0" fontId="54" fillId="21" borderId="105" applyNumberFormat="0" applyAlignment="0" applyProtection="0">
      <alignment vertical="center"/>
    </xf>
    <xf numFmtId="0" fontId="36" fillId="21" borderId="106" applyNumberFormat="0" applyAlignment="0" applyProtection="0"/>
    <xf numFmtId="0" fontId="35" fillId="8" borderId="105" applyNumberFormat="0" applyAlignment="0" applyProtection="0"/>
    <xf numFmtId="0" fontId="36" fillId="21" borderId="106" applyNumberFormat="0" applyAlignment="0" applyProtection="0"/>
    <xf numFmtId="0" fontId="37" fillId="21" borderId="105" applyNumberFormat="0" applyAlignment="0" applyProtection="0"/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70" fillId="8" borderId="105" applyNumberFormat="0" applyAlignment="0" applyProtection="0"/>
    <xf numFmtId="0" fontId="71" fillId="21" borderId="106" applyNumberFormat="0" applyAlignment="0" applyProtection="0"/>
    <xf numFmtId="0" fontId="72" fillId="21" borderId="105" applyNumberFormat="0" applyAlignment="0" applyProtection="0"/>
    <xf numFmtId="0" fontId="37" fillId="21" borderId="105" applyNumberFormat="0" applyAlignment="0" applyProtection="0"/>
    <xf numFmtId="0" fontId="76" fillId="0" borderId="107" applyNumberFormat="0" applyFill="0" applyAlignment="0" applyProtection="0"/>
    <xf numFmtId="0" fontId="70" fillId="8" borderId="105" applyNumberFormat="0" applyAlignment="0" applyProtection="0"/>
    <xf numFmtId="0" fontId="76" fillId="0" borderId="107" applyNumberFormat="0" applyFill="0" applyAlignment="0" applyProtection="0"/>
    <xf numFmtId="0" fontId="7" fillId="24" borderId="108" applyNumberFormat="0" applyFont="0" applyAlignment="0" applyProtection="0"/>
    <xf numFmtId="0" fontId="41" fillId="0" borderId="107" applyNumberFormat="0" applyFill="0" applyAlignment="0" applyProtection="0"/>
    <xf numFmtId="0" fontId="61" fillId="8" borderId="105" applyNumberFormat="0" applyAlignment="0" applyProtection="0">
      <alignment vertical="center"/>
    </xf>
    <xf numFmtId="0" fontId="36" fillId="21" borderId="106" applyNumberFormat="0" applyAlignment="0" applyProtection="0"/>
    <xf numFmtId="0" fontId="1" fillId="24" borderId="108" applyNumberFormat="0" applyFont="0" applyAlignment="0" applyProtection="0"/>
    <xf numFmtId="0" fontId="41" fillId="0" borderId="107" applyNumberFormat="0" applyFill="0" applyAlignment="0" applyProtection="0"/>
    <xf numFmtId="0" fontId="61" fillId="8" borderId="105" applyNumberFormat="0" applyAlignment="0" applyProtection="0">
      <alignment vertical="center"/>
    </xf>
    <xf numFmtId="0" fontId="54" fillId="21" borderId="105" applyNumberFormat="0" applyAlignment="0" applyProtection="0">
      <alignment vertical="center"/>
    </xf>
    <xf numFmtId="0" fontId="54" fillId="21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35" fillId="8" borderId="105" applyNumberFormat="0" applyAlignment="0" applyProtection="0"/>
    <xf numFmtId="0" fontId="35" fillId="8" borderId="105" applyNumberFormat="0" applyAlignment="0" applyProtection="0"/>
    <xf numFmtId="0" fontId="36" fillId="21" borderId="106" applyNumberFormat="0" applyAlignment="0" applyProtection="0"/>
    <xf numFmtId="0" fontId="36" fillId="21" borderId="106" applyNumberFormat="0" applyAlignment="0" applyProtection="0"/>
    <xf numFmtId="0" fontId="37" fillId="21" borderId="105" applyNumberFormat="0" applyAlignment="0" applyProtection="0"/>
    <xf numFmtId="0" fontId="37" fillId="21" borderId="105" applyNumberFormat="0" applyAlignment="0" applyProtection="0"/>
    <xf numFmtId="0" fontId="41" fillId="0" borderId="107" applyNumberFormat="0" applyFill="0" applyAlignment="0" applyProtection="0"/>
    <xf numFmtId="0" fontId="41" fillId="0" borderId="107" applyNumberFormat="0" applyFill="0" applyAlignment="0" applyProtection="0"/>
    <xf numFmtId="0" fontId="1" fillId="24" borderId="108" applyNumberFormat="0" applyFont="0" applyAlignment="0" applyProtection="0"/>
    <xf numFmtId="0" fontId="1" fillId="24" borderId="108" applyNumberFormat="0" applyFont="0" applyAlignment="0" applyProtection="0"/>
    <xf numFmtId="0" fontId="61" fillId="8" borderId="105" applyNumberFormat="0" applyAlignment="0" applyProtection="0">
      <alignment vertical="center"/>
    </xf>
    <xf numFmtId="0" fontId="72" fillId="21" borderId="105" applyNumberFormat="0" applyAlignment="0" applyProtection="0"/>
    <xf numFmtId="0" fontId="37" fillId="21" borderId="105" applyNumberFormat="0" applyAlignment="0" applyProtection="0"/>
    <xf numFmtId="0" fontId="54" fillId="21" borderId="105" applyNumberFormat="0" applyAlignment="0" applyProtection="0">
      <alignment vertical="center"/>
    </xf>
    <xf numFmtId="0" fontId="41" fillId="0" borderId="107" applyNumberFormat="0" applyFill="0" applyAlignment="0" applyProtection="0"/>
    <xf numFmtId="0" fontId="36" fillId="21" borderId="106" applyNumberFormat="0" applyAlignment="0" applyProtection="0"/>
    <xf numFmtId="0" fontId="1" fillId="24" borderId="108" applyNumberFormat="0" applyFont="0" applyAlignment="0" applyProtection="0"/>
    <xf numFmtId="0" fontId="61" fillId="8" borderId="105" applyNumberFormat="0" applyAlignment="0" applyProtection="0">
      <alignment vertical="center"/>
    </xf>
    <xf numFmtId="0" fontId="1" fillId="24" borderId="108" applyNumberFormat="0" applyFont="0" applyAlignment="0" applyProtection="0"/>
    <xf numFmtId="0" fontId="36" fillId="21" borderId="106" applyNumberFormat="0" applyAlignment="0" applyProtection="0"/>
    <xf numFmtId="0" fontId="51" fillId="24" borderId="108" applyNumberFormat="0" applyFont="0" applyAlignment="0" applyProtection="0">
      <alignment vertical="center"/>
    </xf>
    <xf numFmtId="0" fontId="35" fillId="8" borderId="105" applyNumberFormat="0" applyAlignment="0" applyProtection="0"/>
    <xf numFmtId="0" fontId="35" fillId="8" borderId="105" applyNumberFormat="0" applyAlignment="0" applyProtection="0"/>
    <xf numFmtId="0" fontId="36" fillId="21" borderId="106" applyNumberFormat="0" applyAlignment="0" applyProtection="0"/>
    <xf numFmtId="0" fontId="37" fillId="21" borderId="105" applyNumberFormat="0" applyAlignment="0" applyProtection="0"/>
    <xf numFmtId="0" fontId="41" fillId="0" borderId="107" applyNumberFormat="0" applyFill="0" applyAlignment="0" applyProtection="0"/>
    <xf numFmtId="0" fontId="1" fillId="24" borderId="108" applyNumberFormat="0" applyFont="0" applyAlignment="0" applyProtection="0"/>
    <xf numFmtId="0" fontId="54" fillId="21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35" fillId="8" borderId="105" applyNumberFormat="0" applyAlignment="0" applyProtection="0"/>
    <xf numFmtId="0" fontId="36" fillId="21" borderId="106" applyNumberFormat="0" applyAlignment="0" applyProtection="0"/>
    <xf numFmtId="0" fontId="37" fillId="21" borderId="105" applyNumberFormat="0" applyAlignment="0" applyProtection="0"/>
    <xf numFmtId="0" fontId="41" fillId="0" borderId="107" applyNumberFormat="0" applyFill="0" applyAlignment="0" applyProtection="0"/>
    <xf numFmtId="0" fontId="1" fillId="24" borderId="108" applyNumberFormat="0" applyFont="0" applyAlignment="0" applyProtection="0"/>
    <xf numFmtId="0" fontId="54" fillId="21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1" fillId="24" borderId="108" applyNumberFormat="0" applyFont="0" applyAlignment="0" applyProtection="0"/>
    <xf numFmtId="0" fontId="54" fillId="21" borderId="105" applyNumberFormat="0" applyAlignment="0" applyProtection="0">
      <alignment vertical="center"/>
    </xf>
    <xf numFmtId="0" fontId="35" fillId="8" borderId="105" applyNumberFormat="0" applyAlignment="0" applyProtection="0"/>
    <xf numFmtId="0" fontId="36" fillId="21" borderId="106" applyNumberFormat="0" applyAlignment="0" applyProtection="0"/>
    <xf numFmtId="0" fontId="37" fillId="21" borderId="105" applyNumberFormat="0" applyAlignment="0" applyProtection="0"/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70" fillId="8" borderId="105" applyNumberFormat="0" applyAlignment="0" applyProtection="0"/>
    <xf numFmtId="0" fontId="71" fillId="21" borderId="106" applyNumberFormat="0" applyAlignment="0" applyProtection="0"/>
    <xf numFmtId="0" fontId="72" fillId="21" borderId="105" applyNumberFormat="0" applyAlignment="0" applyProtection="0"/>
    <xf numFmtId="0" fontId="76" fillId="0" borderId="107" applyNumberFormat="0" applyFill="0" applyAlignment="0" applyProtection="0"/>
    <xf numFmtId="0" fontId="7" fillId="24" borderId="108" applyNumberFormat="0" applyFont="0" applyAlignment="0" applyProtection="0"/>
    <xf numFmtId="0" fontId="41" fillId="0" borderId="107" applyNumberFormat="0" applyFill="0" applyAlignment="0" applyProtection="0"/>
    <xf numFmtId="0" fontId="61" fillId="8" borderId="105" applyNumberFormat="0" applyAlignment="0" applyProtection="0">
      <alignment vertical="center"/>
    </xf>
    <xf numFmtId="0" fontId="54" fillId="21" borderId="105" applyNumberFormat="0" applyAlignment="0" applyProtection="0">
      <alignment vertical="center"/>
    </xf>
    <xf numFmtId="0" fontId="54" fillId="21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35" fillId="8" borderId="105" applyNumberFormat="0" applyAlignment="0" applyProtection="0"/>
    <xf numFmtId="0" fontId="35" fillId="8" borderId="105" applyNumberFormat="0" applyAlignment="0" applyProtection="0"/>
    <xf numFmtId="0" fontId="36" fillId="21" borderId="106" applyNumberFormat="0" applyAlignment="0" applyProtection="0"/>
    <xf numFmtId="0" fontId="36" fillId="21" borderId="106" applyNumberFormat="0" applyAlignment="0" applyProtection="0"/>
    <xf numFmtId="0" fontId="37" fillId="21" borderId="105" applyNumberFormat="0" applyAlignment="0" applyProtection="0"/>
    <xf numFmtId="0" fontId="37" fillId="21" borderId="105" applyNumberFormat="0" applyAlignment="0" applyProtection="0"/>
    <xf numFmtId="0" fontId="41" fillId="0" borderId="107" applyNumberFormat="0" applyFill="0" applyAlignment="0" applyProtection="0"/>
    <xf numFmtId="0" fontId="41" fillId="0" borderId="107" applyNumberFormat="0" applyFill="0" applyAlignment="0" applyProtection="0"/>
    <xf numFmtId="0" fontId="1" fillId="24" borderId="108" applyNumberFormat="0" applyFont="0" applyAlignment="0" applyProtection="0"/>
    <xf numFmtId="0" fontId="1" fillId="24" borderId="108" applyNumberFormat="0" applyFont="0" applyAlignment="0" applyProtection="0"/>
    <xf numFmtId="0" fontId="41" fillId="0" borderId="107" applyNumberFormat="0" applyFill="0" applyAlignment="0" applyProtection="0"/>
    <xf numFmtId="0" fontId="37" fillId="21" borderId="105" applyNumberFormat="0" applyAlignment="0" applyProtection="0"/>
    <xf numFmtId="0" fontId="66" fillId="0" borderId="107" applyNumberFormat="0" applyFill="0" applyAlignment="0" applyProtection="0">
      <alignment vertical="center"/>
    </xf>
    <xf numFmtId="0" fontId="1" fillId="24" borderId="108" applyNumberFormat="0" applyFont="0" applyAlignment="0" applyProtection="0"/>
    <xf numFmtId="0" fontId="35" fillId="8" borderId="105" applyNumberFormat="0" applyAlignment="0" applyProtection="0"/>
    <xf numFmtId="0" fontId="35" fillId="8" borderId="105" applyNumberFormat="0" applyAlignment="0" applyProtection="0"/>
    <xf numFmtId="0" fontId="36" fillId="21" borderId="106" applyNumberFormat="0" applyAlignment="0" applyProtection="0"/>
    <xf numFmtId="0" fontId="37" fillId="21" borderId="105" applyNumberFormat="0" applyAlignment="0" applyProtection="0"/>
    <xf numFmtId="0" fontId="41" fillId="0" borderId="107" applyNumberFormat="0" applyFill="0" applyAlignment="0" applyProtection="0"/>
    <xf numFmtId="0" fontId="1" fillId="24" borderId="108" applyNumberFormat="0" applyFont="0" applyAlignment="0" applyProtection="0"/>
    <xf numFmtId="0" fontId="54" fillId="21" borderId="105" applyNumberFormat="0" applyAlignment="0" applyProtection="0">
      <alignment vertical="center"/>
    </xf>
    <xf numFmtId="0" fontId="35" fillId="8" borderId="105" applyNumberFormat="0" applyAlignment="0" applyProtection="0"/>
    <xf numFmtId="0" fontId="41" fillId="0" borderId="107" applyNumberFormat="0" applyFill="0" applyAlignment="0" applyProtection="0"/>
    <xf numFmtId="0" fontId="7" fillId="24" borderId="108" applyNumberFormat="0" applyFont="0" applyAlignment="0" applyProtection="0"/>
    <xf numFmtId="0" fontId="35" fillId="8" borderId="105" applyNumberFormat="0" applyAlignment="0" applyProtection="0"/>
    <xf numFmtId="0" fontId="54" fillId="21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54" fillId="21" borderId="105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35" fillId="8" borderId="105" applyNumberFormat="0" applyAlignment="0" applyProtection="0"/>
    <xf numFmtId="0" fontId="37" fillId="21" borderId="105" applyNumberFormat="0" applyAlignment="0" applyProtection="0"/>
    <xf numFmtId="0" fontId="41" fillId="0" borderId="107" applyNumberFormat="0" applyFill="0" applyAlignment="0" applyProtection="0"/>
    <xf numFmtId="0" fontId="37" fillId="21" borderId="105" applyNumberFormat="0" applyAlignment="0" applyProtection="0"/>
    <xf numFmtId="0" fontId="51" fillId="24" borderId="108" applyNumberFormat="0" applyFon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54" fillId="21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35" fillId="8" borderId="105" applyNumberFormat="0" applyAlignment="0" applyProtection="0"/>
    <xf numFmtId="0" fontId="36" fillId="21" borderId="106" applyNumberFormat="0" applyAlignment="0" applyProtection="0"/>
    <xf numFmtId="0" fontId="37" fillId="21" borderId="105" applyNumberFormat="0" applyAlignment="0" applyProtection="0"/>
    <xf numFmtId="0" fontId="41" fillId="0" borderId="107" applyNumberFormat="0" applyFill="0" applyAlignment="0" applyProtection="0"/>
    <xf numFmtId="0" fontId="1" fillId="24" borderId="108" applyNumberFormat="0" applyFont="0" applyAlignment="0" applyProtection="0"/>
    <xf numFmtId="0" fontId="54" fillId="21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1" fillId="24" borderId="108" applyNumberFormat="0" applyFont="0" applyAlignment="0" applyProtection="0"/>
    <xf numFmtId="0" fontId="66" fillId="0" borderId="107" applyNumberFormat="0" applyFill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1" fillId="24" borderId="108" applyNumberFormat="0" applyFont="0" applyAlignment="0" applyProtection="0"/>
    <xf numFmtId="0" fontId="54" fillId="21" borderId="105" applyNumberFormat="0" applyAlignment="0" applyProtection="0">
      <alignment vertical="center"/>
    </xf>
    <xf numFmtId="0" fontId="54" fillId="21" borderId="105" applyNumberFormat="0" applyAlignment="0" applyProtection="0">
      <alignment vertical="center"/>
    </xf>
    <xf numFmtId="0" fontId="35" fillId="8" borderId="105" applyNumberFormat="0" applyAlignment="0" applyProtection="0"/>
    <xf numFmtId="0" fontId="36" fillId="21" borderId="106" applyNumberFormat="0" applyAlignment="0" applyProtection="0"/>
    <xf numFmtId="0" fontId="37" fillId="21" borderId="105" applyNumberFormat="0" applyAlignment="0" applyProtection="0"/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70" fillId="8" borderId="105" applyNumberFormat="0" applyAlignment="0" applyProtection="0"/>
    <xf numFmtId="0" fontId="71" fillId="21" borderId="106" applyNumberFormat="0" applyAlignment="0" applyProtection="0"/>
    <xf numFmtId="0" fontId="72" fillId="21" borderId="105" applyNumberFormat="0" applyAlignment="0" applyProtection="0"/>
    <xf numFmtId="0" fontId="37" fillId="21" borderId="105" applyNumberFormat="0" applyAlignment="0" applyProtection="0"/>
    <xf numFmtId="0" fontId="76" fillId="0" borderId="107" applyNumberFormat="0" applyFill="0" applyAlignment="0" applyProtection="0"/>
    <xf numFmtId="0" fontId="70" fillId="8" borderId="105" applyNumberFormat="0" applyAlignment="0" applyProtection="0"/>
    <xf numFmtId="0" fontId="76" fillId="0" borderId="107" applyNumberFormat="0" applyFill="0" applyAlignment="0" applyProtection="0"/>
    <xf numFmtId="0" fontId="7" fillId="24" borderId="108" applyNumberFormat="0" applyFont="0" applyAlignment="0" applyProtection="0"/>
    <xf numFmtId="0" fontId="41" fillId="0" borderId="107" applyNumberFormat="0" applyFill="0" applyAlignment="0" applyProtection="0"/>
    <xf numFmtId="0" fontId="61" fillId="8" borderId="105" applyNumberFormat="0" applyAlignment="0" applyProtection="0">
      <alignment vertical="center"/>
    </xf>
    <xf numFmtId="0" fontId="1" fillId="24" borderId="108" applyNumberFormat="0" applyFont="0" applyAlignment="0" applyProtection="0"/>
    <xf numFmtId="0" fontId="41" fillId="0" borderId="107" applyNumberFormat="0" applyFill="0" applyAlignment="0" applyProtection="0"/>
    <xf numFmtId="0" fontId="61" fillId="8" borderId="105" applyNumberFormat="0" applyAlignment="0" applyProtection="0">
      <alignment vertical="center"/>
    </xf>
    <xf numFmtId="0" fontId="54" fillId="21" borderId="105" applyNumberFormat="0" applyAlignment="0" applyProtection="0">
      <alignment vertical="center"/>
    </xf>
    <xf numFmtId="0" fontId="54" fillId="21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35" fillId="8" borderId="105" applyNumberFormat="0" applyAlignment="0" applyProtection="0"/>
    <xf numFmtId="0" fontId="35" fillId="8" borderId="105" applyNumberFormat="0" applyAlignment="0" applyProtection="0"/>
    <xf numFmtId="0" fontId="36" fillId="21" borderId="106" applyNumberFormat="0" applyAlignment="0" applyProtection="0"/>
    <xf numFmtId="0" fontId="36" fillId="21" borderId="106" applyNumberFormat="0" applyAlignment="0" applyProtection="0"/>
    <xf numFmtId="0" fontId="37" fillId="21" borderId="105" applyNumberFormat="0" applyAlignment="0" applyProtection="0"/>
    <xf numFmtId="0" fontId="37" fillId="21" borderId="105" applyNumberFormat="0" applyAlignment="0" applyProtection="0"/>
    <xf numFmtId="0" fontId="41" fillId="0" borderId="107" applyNumberFormat="0" applyFill="0" applyAlignment="0" applyProtection="0"/>
    <xf numFmtId="0" fontId="41" fillId="0" borderId="107" applyNumberFormat="0" applyFill="0" applyAlignment="0" applyProtection="0"/>
    <xf numFmtId="0" fontId="1" fillId="24" borderId="108" applyNumberFormat="0" applyFont="0" applyAlignment="0" applyProtection="0"/>
    <xf numFmtId="0" fontId="1" fillId="24" borderId="108" applyNumberFormat="0" applyFont="0" applyAlignment="0" applyProtection="0"/>
    <xf numFmtId="0" fontId="61" fillId="8" borderId="105" applyNumberFormat="0" applyAlignment="0" applyProtection="0">
      <alignment vertical="center"/>
    </xf>
    <xf numFmtId="0" fontId="72" fillId="21" borderId="105" applyNumberFormat="0" applyAlignment="0" applyProtection="0"/>
    <xf numFmtId="0" fontId="37" fillId="21" borderId="105" applyNumberFormat="0" applyAlignment="0" applyProtection="0"/>
    <xf numFmtId="0" fontId="54" fillId="21" borderId="105" applyNumberFormat="0" applyAlignment="0" applyProtection="0">
      <alignment vertical="center"/>
    </xf>
    <xf numFmtId="0" fontId="41" fillId="0" borderId="107" applyNumberFormat="0" applyFill="0" applyAlignment="0" applyProtection="0"/>
    <xf numFmtId="0" fontId="1" fillId="24" borderId="108" applyNumberFormat="0" applyFont="0" applyAlignment="0" applyProtection="0"/>
    <xf numFmtId="0" fontId="61" fillId="8" borderId="105" applyNumberFormat="0" applyAlignment="0" applyProtection="0">
      <alignment vertical="center"/>
    </xf>
    <xf numFmtId="0" fontId="1" fillId="24" borderId="108" applyNumberFormat="0" applyFont="0" applyAlignment="0" applyProtection="0"/>
    <xf numFmtId="0" fontId="51" fillId="24" borderId="108" applyNumberFormat="0" applyFont="0" applyAlignment="0" applyProtection="0">
      <alignment vertical="center"/>
    </xf>
    <xf numFmtId="0" fontId="35" fillId="8" borderId="105" applyNumberFormat="0" applyAlignment="0" applyProtection="0"/>
    <xf numFmtId="4" fontId="86" fillId="27" borderId="109" applyNumberFormat="0" applyProtection="0">
      <alignment vertical="center"/>
    </xf>
    <xf numFmtId="0" fontId="2" fillId="28" borderId="109" applyNumberFormat="0" applyProtection="0">
      <alignment horizontal="left" vertical="top" indent="1"/>
    </xf>
    <xf numFmtId="0" fontId="35" fillId="8" borderId="105" applyNumberFormat="0" applyAlignment="0" applyProtection="0"/>
    <xf numFmtId="0" fontId="36" fillId="21" borderId="106" applyNumberFormat="0" applyAlignment="0" applyProtection="0"/>
    <xf numFmtId="0" fontId="37" fillId="21" borderId="105" applyNumberFormat="0" applyAlignment="0" applyProtection="0"/>
    <xf numFmtId="0" fontId="41" fillId="0" borderId="107" applyNumberFormat="0" applyFill="0" applyAlignment="0" applyProtection="0"/>
    <xf numFmtId="0" fontId="1" fillId="24" borderId="108" applyNumberFormat="0" applyFont="0" applyAlignment="0" applyProtection="0"/>
    <xf numFmtId="0" fontId="54" fillId="21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35" fillId="8" borderId="105" applyNumberFormat="0" applyAlignment="0" applyProtection="0"/>
    <xf numFmtId="0" fontId="36" fillId="21" borderId="106" applyNumberFormat="0" applyAlignment="0" applyProtection="0"/>
    <xf numFmtId="0" fontId="37" fillId="21" borderId="105" applyNumberFormat="0" applyAlignment="0" applyProtection="0"/>
    <xf numFmtId="0" fontId="41" fillId="0" borderId="107" applyNumberFormat="0" applyFill="0" applyAlignment="0" applyProtection="0"/>
    <xf numFmtId="0" fontId="1" fillId="24" borderId="108" applyNumberFormat="0" applyFont="0" applyAlignment="0" applyProtection="0"/>
    <xf numFmtId="0" fontId="54" fillId="21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1" fillId="24" borderId="108" applyNumberFormat="0" applyFont="0" applyAlignment="0" applyProtection="0"/>
    <xf numFmtId="0" fontId="54" fillId="21" borderId="105" applyNumberFormat="0" applyAlignment="0" applyProtection="0">
      <alignment vertical="center"/>
    </xf>
    <xf numFmtId="0" fontId="35" fillId="8" borderId="105" applyNumberFormat="0" applyAlignment="0" applyProtection="0"/>
    <xf numFmtId="0" fontId="36" fillId="21" borderId="106" applyNumberFormat="0" applyAlignment="0" applyProtection="0"/>
    <xf numFmtId="0" fontId="37" fillId="21" borderId="105" applyNumberFormat="0" applyAlignment="0" applyProtection="0"/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70" fillId="8" borderId="105" applyNumberFormat="0" applyAlignment="0" applyProtection="0"/>
    <xf numFmtId="0" fontId="71" fillId="21" borderId="106" applyNumberFormat="0" applyAlignment="0" applyProtection="0"/>
    <xf numFmtId="0" fontId="72" fillId="21" borderId="105" applyNumberFormat="0" applyAlignment="0" applyProtection="0"/>
    <xf numFmtId="0" fontId="76" fillId="0" borderId="107" applyNumberFormat="0" applyFill="0" applyAlignment="0" applyProtection="0"/>
    <xf numFmtId="0" fontId="7" fillId="24" borderId="108" applyNumberFormat="0" applyFont="0" applyAlignment="0" applyProtection="0"/>
    <xf numFmtId="0" fontId="41" fillId="0" borderId="107" applyNumberFormat="0" applyFill="0" applyAlignment="0" applyProtection="0"/>
    <xf numFmtId="0" fontId="61" fillId="8" borderId="105" applyNumberFormat="0" applyAlignment="0" applyProtection="0">
      <alignment vertical="center"/>
    </xf>
    <xf numFmtId="0" fontId="54" fillId="21" borderId="105" applyNumberFormat="0" applyAlignment="0" applyProtection="0">
      <alignment vertical="center"/>
    </xf>
    <xf numFmtId="0" fontId="54" fillId="21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35" fillId="8" borderId="105" applyNumberFormat="0" applyAlignment="0" applyProtection="0"/>
    <xf numFmtId="0" fontId="35" fillId="8" borderId="105" applyNumberFormat="0" applyAlignment="0" applyProtection="0"/>
    <xf numFmtId="0" fontId="36" fillId="21" borderId="106" applyNumberFormat="0" applyAlignment="0" applyProtection="0"/>
    <xf numFmtId="0" fontId="36" fillId="21" borderId="106" applyNumberFormat="0" applyAlignment="0" applyProtection="0"/>
    <xf numFmtId="0" fontId="37" fillId="21" borderId="105" applyNumberFormat="0" applyAlignment="0" applyProtection="0"/>
    <xf numFmtId="0" fontId="37" fillId="21" borderId="105" applyNumberFormat="0" applyAlignment="0" applyProtection="0"/>
    <xf numFmtId="0" fontId="41" fillId="0" borderId="107" applyNumberFormat="0" applyFill="0" applyAlignment="0" applyProtection="0"/>
    <xf numFmtId="0" fontId="41" fillId="0" borderId="107" applyNumberFormat="0" applyFill="0" applyAlignment="0" applyProtection="0"/>
    <xf numFmtId="0" fontId="1" fillId="24" borderId="108" applyNumberFormat="0" applyFont="0" applyAlignment="0" applyProtection="0"/>
    <xf numFmtId="0" fontId="1" fillId="24" borderId="108" applyNumberFormat="0" applyFont="0" applyAlignment="0" applyProtection="0"/>
    <xf numFmtId="0" fontId="71" fillId="21" borderId="106" applyNumberFormat="0" applyAlignment="0" applyProtection="0"/>
    <xf numFmtId="0" fontId="41" fillId="0" borderId="107" applyNumberFormat="0" applyFill="0" applyAlignment="0" applyProtection="0"/>
    <xf numFmtId="0" fontId="37" fillId="21" borderId="105" applyNumberFormat="0" applyAlignment="0" applyProtection="0"/>
    <xf numFmtId="0" fontId="66" fillId="0" borderId="107" applyNumberFormat="0" applyFill="0" applyAlignment="0" applyProtection="0">
      <alignment vertical="center"/>
    </xf>
    <xf numFmtId="0" fontId="1" fillId="24" borderId="108" applyNumberFormat="0" applyFont="0" applyAlignment="0" applyProtection="0"/>
    <xf numFmtId="0" fontId="35" fillId="8" borderId="105" applyNumberFormat="0" applyAlignment="0" applyProtection="0"/>
    <xf numFmtId="0" fontId="35" fillId="8" borderId="105" applyNumberFormat="0" applyAlignment="0" applyProtection="0"/>
    <xf numFmtId="0" fontId="36" fillId="21" borderId="106" applyNumberFormat="0" applyAlignment="0" applyProtection="0"/>
    <xf numFmtId="0" fontId="37" fillId="21" borderId="105" applyNumberFormat="0" applyAlignment="0" applyProtection="0"/>
    <xf numFmtId="0" fontId="41" fillId="0" borderId="107" applyNumberFormat="0" applyFill="0" applyAlignment="0" applyProtection="0"/>
    <xf numFmtId="0" fontId="1" fillId="24" borderId="108" applyNumberFormat="0" applyFont="0" applyAlignment="0" applyProtection="0"/>
    <xf numFmtId="0" fontId="54" fillId="21" borderId="105" applyNumberFormat="0" applyAlignment="0" applyProtection="0">
      <alignment vertical="center"/>
    </xf>
    <xf numFmtId="0" fontId="35" fillId="8" borderId="105" applyNumberFormat="0" applyAlignment="0" applyProtection="0"/>
    <xf numFmtId="0" fontId="41" fillId="0" borderId="107" applyNumberFormat="0" applyFill="0" applyAlignment="0" applyProtection="0"/>
    <xf numFmtId="0" fontId="7" fillId="24" borderId="108" applyNumberFormat="0" applyFont="0" applyAlignment="0" applyProtection="0"/>
    <xf numFmtId="0" fontId="64" fillId="21" borderId="106" applyNumberFormat="0" applyAlignment="0" applyProtection="0">
      <alignment vertical="center"/>
    </xf>
    <xf numFmtId="0" fontId="35" fillId="8" borderId="105" applyNumberFormat="0" applyAlignment="0" applyProtection="0"/>
    <xf numFmtId="0" fontId="54" fillId="21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54" fillId="21" borderId="105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35" fillId="8" borderId="105" applyNumberFormat="0" applyAlignment="0" applyProtection="0"/>
    <xf numFmtId="0" fontId="37" fillId="21" borderId="105" applyNumberFormat="0" applyAlignment="0" applyProtection="0"/>
    <xf numFmtId="0" fontId="41" fillId="0" borderId="107" applyNumberFormat="0" applyFill="0" applyAlignment="0" applyProtection="0"/>
    <xf numFmtId="0" fontId="64" fillId="21" borderId="106" applyNumberFormat="0" applyAlignment="0" applyProtection="0">
      <alignment vertical="center"/>
    </xf>
    <xf numFmtId="0" fontId="37" fillId="21" borderId="105" applyNumberFormat="0" applyAlignment="0" applyProtection="0"/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54" fillId="21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35" fillId="8" borderId="105" applyNumberFormat="0" applyAlignment="0" applyProtection="0"/>
    <xf numFmtId="0" fontId="36" fillId="21" borderId="106" applyNumberFormat="0" applyAlignment="0" applyProtection="0"/>
    <xf numFmtId="0" fontId="37" fillId="21" borderId="105" applyNumberFormat="0" applyAlignment="0" applyProtection="0"/>
    <xf numFmtId="0" fontId="41" fillId="0" borderId="107" applyNumberFormat="0" applyFill="0" applyAlignment="0" applyProtection="0"/>
    <xf numFmtId="0" fontId="1" fillId="24" borderId="108" applyNumberFormat="0" applyFont="0" applyAlignment="0" applyProtection="0"/>
    <xf numFmtId="0" fontId="54" fillId="21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1" fillId="24" borderId="108" applyNumberFormat="0" applyFont="0" applyAlignment="0" applyProtection="0"/>
    <xf numFmtId="0" fontId="66" fillId="0" borderId="107" applyNumberFormat="0" applyFill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36" fillId="21" borderId="106" applyNumberFormat="0" applyAlignment="0" applyProtection="0"/>
    <xf numFmtId="0" fontId="1" fillId="24" borderId="108" applyNumberFormat="0" applyFont="0" applyAlignment="0" applyProtection="0"/>
    <xf numFmtId="0" fontId="54" fillId="21" borderId="105" applyNumberFormat="0" applyAlignment="0" applyProtection="0">
      <alignment vertical="center"/>
    </xf>
    <xf numFmtId="0" fontId="54" fillId="21" borderId="105" applyNumberFormat="0" applyAlignment="0" applyProtection="0">
      <alignment vertical="center"/>
    </xf>
    <xf numFmtId="0" fontId="36" fillId="21" borderId="106" applyNumberFormat="0" applyAlignment="0" applyProtection="0"/>
    <xf numFmtId="0" fontId="35" fillId="8" borderId="105" applyNumberFormat="0" applyAlignment="0" applyProtection="0"/>
    <xf numFmtId="0" fontId="36" fillId="21" borderId="106" applyNumberFormat="0" applyAlignment="0" applyProtection="0"/>
    <xf numFmtId="0" fontId="37" fillId="21" borderId="105" applyNumberFormat="0" applyAlignment="0" applyProtection="0"/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70" fillId="8" borderId="105" applyNumberFormat="0" applyAlignment="0" applyProtection="0"/>
    <xf numFmtId="0" fontId="71" fillId="21" borderId="106" applyNumberFormat="0" applyAlignment="0" applyProtection="0"/>
    <xf numFmtId="0" fontId="72" fillId="21" borderId="105" applyNumberFormat="0" applyAlignment="0" applyProtection="0"/>
    <xf numFmtId="0" fontId="37" fillId="21" borderId="105" applyNumberFormat="0" applyAlignment="0" applyProtection="0"/>
    <xf numFmtId="0" fontId="76" fillId="0" borderId="107" applyNumberFormat="0" applyFill="0" applyAlignment="0" applyProtection="0"/>
    <xf numFmtId="0" fontId="70" fillId="8" borderId="105" applyNumberFormat="0" applyAlignment="0" applyProtection="0"/>
    <xf numFmtId="0" fontId="76" fillId="0" borderId="107" applyNumberFormat="0" applyFill="0" applyAlignment="0" applyProtection="0"/>
    <xf numFmtId="0" fontId="7" fillId="24" borderId="108" applyNumberFormat="0" applyFont="0" applyAlignment="0" applyProtection="0"/>
    <xf numFmtId="0" fontId="41" fillId="0" borderId="107" applyNumberFormat="0" applyFill="0" applyAlignment="0" applyProtection="0"/>
    <xf numFmtId="0" fontId="61" fillId="8" borderId="105" applyNumberFormat="0" applyAlignment="0" applyProtection="0">
      <alignment vertical="center"/>
    </xf>
    <xf numFmtId="0" fontId="36" fillId="21" borderId="106" applyNumberFormat="0" applyAlignment="0" applyProtection="0"/>
    <xf numFmtId="0" fontId="1" fillId="24" borderId="108" applyNumberFormat="0" applyFont="0" applyAlignment="0" applyProtection="0"/>
    <xf numFmtId="0" fontId="41" fillId="0" borderId="107" applyNumberFormat="0" applyFill="0" applyAlignment="0" applyProtection="0"/>
    <xf numFmtId="0" fontId="61" fillId="8" borderId="105" applyNumberFormat="0" applyAlignment="0" applyProtection="0">
      <alignment vertical="center"/>
    </xf>
    <xf numFmtId="0" fontId="54" fillId="21" borderId="105" applyNumberFormat="0" applyAlignment="0" applyProtection="0">
      <alignment vertical="center"/>
    </xf>
    <xf numFmtId="0" fontId="54" fillId="21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35" fillId="8" borderId="105" applyNumberFormat="0" applyAlignment="0" applyProtection="0"/>
    <xf numFmtId="0" fontId="35" fillId="8" borderId="105" applyNumberFormat="0" applyAlignment="0" applyProtection="0"/>
    <xf numFmtId="0" fontId="36" fillId="21" borderId="106" applyNumberFormat="0" applyAlignment="0" applyProtection="0"/>
    <xf numFmtId="0" fontId="36" fillId="21" borderId="106" applyNumberFormat="0" applyAlignment="0" applyProtection="0"/>
    <xf numFmtId="0" fontId="37" fillId="21" borderId="105" applyNumberFormat="0" applyAlignment="0" applyProtection="0"/>
    <xf numFmtId="0" fontId="37" fillId="21" borderId="105" applyNumberFormat="0" applyAlignment="0" applyProtection="0"/>
    <xf numFmtId="0" fontId="41" fillId="0" borderId="107" applyNumberFormat="0" applyFill="0" applyAlignment="0" applyProtection="0"/>
    <xf numFmtId="0" fontId="41" fillId="0" borderId="107" applyNumberFormat="0" applyFill="0" applyAlignment="0" applyProtection="0"/>
    <xf numFmtId="0" fontId="1" fillId="24" borderId="108" applyNumberFormat="0" applyFont="0" applyAlignment="0" applyProtection="0"/>
    <xf numFmtId="0" fontId="1" fillId="24" borderId="108" applyNumberFormat="0" applyFont="0" applyAlignment="0" applyProtection="0"/>
    <xf numFmtId="0" fontId="61" fillId="8" borderId="105" applyNumberFormat="0" applyAlignment="0" applyProtection="0">
      <alignment vertical="center"/>
    </xf>
    <xf numFmtId="0" fontId="72" fillId="21" borderId="105" applyNumberFormat="0" applyAlignment="0" applyProtection="0"/>
    <xf numFmtId="0" fontId="37" fillId="21" borderId="105" applyNumberFormat="0" applyAlignment="0" applyProtection="0"/>
    <xf numFmtId="0" fontId="54" fillId="21" borderId="105" applyNumberFormat="0" applyAlignment="0" applyProtection="0">
      <alignment vertical="center"/>
    </xf>
    <xf numFmtId="0" fontId="41" fillId="0" borderId="107" applyNumberFormat="0" applyFill="0" applyAlignment="0" applyProtection="0"/>
    <xf numFmtId="0" fontId="36" fillId="21" borderId="106" applyNumberFormat="0" applyAlignment="0" applyProtection="0"/>
    <xf numFmtId="0" fontId="1" fillId="24" borderId="108" applyNumberFormat="0" applyFont="0" applyAlignment="0" applyProtection="0"/>
    <xf numFmtId="0" fontId="61" fillId="8" borderId="105" applyNumberFormat="0" applyAlignment="0" applyProtection="0">
      <alignment vertical="center"/>
    </xf>
    <xf numFmtId="0" fontId="1" fillId="24" borderId="108" applyNumberFormat="0" applyFont="0" applyAlignment="0" applyProtection="0"/>
    <xf numFmtId="0" fontId="36" fillId="21" borderId="106" applyNumberFormat="0" applyAlignment="0" applyProtection="0"/>
    <xf numFmtId="0" fontId="51" fillId="24" borderId="108" applyNumberFormat="0" applyFont="0" applyAlignment="0" applyProtection="0">
      <alignment vertical="center"/>
    </xf>
    <xf numFmtId="0" fontId="35" fillId="8" borderId="105" applyNumberFormat="0" applyAlignment="0" applyProtection="0"/>
    <xf numFmtId="0" fontId="35" fillId="8" borderId="105" applyNumberFormat="0" applyAlignment="0" applyProtection="0"/>
    <xf numFmtId="0" fontId="36" fillId="21" borderId="106" applyNumberFormat="0" applyAlignment="0" applyProtection="0"/>
    <xf numFmtId="0" fontId="37" fillId="21" borderId="105" applyNumberFormat="0" applyAlignment="0" applyProtection="0"/>
    <xf numFmtId="0" fontId="41" fillId="0" borderId="107" applyNumberFormat="0" applyFill="0" applyAlignment="0" applyProtection="0"/>
    <xf numFmtId="0" fontId="1" fillId="24" borderId="108" applyNumberFormat="0" applyFont="0" applyAlignment="0" applyProtection="0"/>
    <xf numFmtId="0" fontId="54" fillId="21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35" fillId="8" borderId="105" applyNumberFormat="0" applyAlignment="0" applyProtection="0"/>
    <xf numFmtId="0" fontId="36" fillId="21" borderId="106" applyNumberFormat="0" applyAlignment="0" applyProtection="0"/>
    <xf numFmtId="0" fontId="37" fillId="21" borderId="105" applyNumberFormat="0" applyAlignment="0" applyProtection="0"/>
    <xf numFmtId="0" fontId="41" fillId="0" borderId="107" applyNumberFormat="0" applyFill="0" applyAlignment="0" applyProtection="0"/>
    <xf numFmtId="0" fontId="1" fillId="24" borderId="108" applyNumberFormat="0" applyFont="0" applyAlignment="0" applyProtection="0"/>
    <xf numFmtId="0" fontId="54" fillId="21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1" fillId="24" borderId="108" applyNumberFormat="0" applyFont="0" applyAlignment="0" applyProtection="0"/>
    <xf numFmtId="0" fontId="54" fillId="21" borderId="105" applyNumberFormat="0" applyAlignment="0" applyProtection="0">
      <alignment vertical="center"/>
    </xf>
    <xf numFmtId="0" fontId="35" fillId="8" borderId="105" applyNumberFormat="0" applyAlignment="0" applyProtection="0"/>
    <xf numFmtId="0" fontId="36" fillId="21" borderId="106" applyNumberFormat="0" applyAlignment="0" applyProtection="0"/>
    <xf numFmtId="0" fontId="37" fillId="21" borderId="105" applyNumberFormat="0" applyAlignment="0" applyProtection="0"/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70" fillId="8" borderId="105" applyNumberFormat="0" applyAlignment="0" applyProtection="0"/>
    <xf numFmtId="0" fontId="71" fillId="21" borderId="106" applyNumberFormat="0" applyAlignment="0" applyProtection="0"/>
    <xf numFmtId="0" fontId="72" fillId="21" borderId="105" applyNumberFormat="0" applyAlignment="0" applyProtection="0"/>
    <xf numFmtId="0" fontId="76" fillId="0" borderId="107" applyNumberFormat="0" applyFill="0" applyAlignment="0" applyProtection="0"/>
    <xf numFmtId="0" fontId="7" fillId="24" borderId="108" applyNumberFormat="0" applyFont="0" applyAlignment="0" applyProtection="0"/>
    <xf numFmtId="0" fontId="41" fillId="0" borderId="107" applyNumberFormat="0" applyFill="0" applyAlignment="0" applyProtection="0"/>
    <xf numFmtId="0" fontId="61" fillId="8" borderId="105" applyNumberFormat="0" applyAlignment="0" applyProtection="0">
      <alignment vertical="center"/>
    </xf>
    <xf numFmtId="0" fontId="54" fillId="21" borderId="105" applyNumberFormat="0" applyAlignment="0" applyProtection="0">
      <alignment vertical="center"/>
    </xf>
    <xf numFmtId="0" fontId="54" fillId="21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35" fillId="8" borderId="105" applyNumberFormat="0" applyAlignment="0" applyProtection="0"/>
    <xf numFmtId="0" fontId="35" fillId="8" borderId="105" applyNumberFormat="0" applyAlignment="0" applyProtection="0"/>
    <xf numFmtId="0" fontId="36" fillId="21" borderId="106" applyNumberFormat="0" applyAlignment="0" applyProtection="0"/>
    <xf numFmtId="0" fontId="36" fillId="21" borderId="106" applyNumberFormat="0" applyAlignment="0" applyProtection="0"/>
    <xf numFmtId="0" fontId="37" fillId="21" borderId="105" applyNumberFormat="0" applyAlignment="0" applyProtection="0"/>
    <xf numFmtId="0" fontId="37" fillId="21" borderId="105" applyNumberFormat="0" applyAlignment="0" applyProtection="0"/>
    <xf numFmtId="0" fontId="41" fillId="0" borderId="107" applyNumberFormat="0" applyFill="0" applyAlignment="0" applyProtection="0"/>
    <xf numFmtId="0" fontId="41" fillId="0" borderId="107" applyNumberFormat="0" applyFill="0" applyAlignment="0" applyProtection="0"/>
    <xf numFmtId="0" fontId="1" fillId="24" borderId="108" applyNumberFormat="0" applyFont="0" applyAlignment="0" applyProtection="0"/>
    <xf numFmtId="0" fontId="1" fillId="24" borderId="108" applyNumberFormat="0" applyFont="0" applyAlignment="0" applyProtection="0"/>
    <xf numFmtId="0" fontId="41" fillId="0" borderId="107" applyNumberFormat="0" applyFill="0" applyAlignment="0" applyProtection="0"/>
    <xf numFmtId="0" fontId="37" fillId="21" borderId="105" applyNumberFormat="0" applyAlignment="0" applyProtection="0"/>
    <xf numFmtId="0" fontId="66" fillId="0" borderId="107" applyNumberFormat="0" applyFill="0" applyAlignment="0" applyProtection="0">
      <alignment vertical="center"/>
    </xf>
    <xf numFmtId="0" fontId="1" fillId="24" borderId="108" applyNumberFormat="0" applyFont="0" applyAlignment="0" applyProtection="0"/>
    <xf numFmtId="0" fontId="35" fillId="8" borderId="105" applyNumberFormat="0" applyAlignment="0" applyProtection="0"/>
    <xf numFmtId="0" fontId="35" fillId="8" borderId="105" applyNumberFormat="0" applyAlignment="0" applyProtection="0"/>
    <xf numFmtId="0" fontId="36" fillId="21" borderId="106" applyNumberFormat="0" applyAlignment="0" applyProtection="0"/>
    <xf numFmtId="0" fontId="37" fillId="21" borderId="105" applyNumberFormat="0" applyAlignment="0" applyProtection="0"/>
    <xf numFmtId="0" fontId="41" fillId="0" borderId="107" applyNumberFormat="0" applyFill="0" applyAlignment="0" applyProtection="0"/>
    <xf numFmtId="0" fontId="1" fillId="24" borderId="108" applyNumberFormat="0" applyFont="0" applyAlignment="0" applyProtection="0"/>
    <xf numFmtId="0" fontId="54" fillId="21" borderId="105" applyNumberFormat="0" applyAlignment="0" applyProtection="0">
      <alignment vertical="center"/>
    </xf>
    <xf numFmtId="0" fontId="35" fillId="8" borderId="105" applyNumberFormat="0" applyAlignment="0" applyProtection="0"/>
    <xf numFmtId="0" fontId="41" fillId="0" borderId="107" applyNumberFormat="0" applyFill="0" applyAlignment="0" applyProtection="0"/>
    <xf numFmtId="0" fontId="7" fillId="24" borderId="108" applyNumberFormat="0" applyFont="0" applyAlignment="0" applyProtection="0"/>
    <xf numFmtId="0" fontId="35" fillId="8" borderId="105" applyNumberFormat="0" applyAlignment="0" applyProtection="0"/>
    <xf numFmtId="0" fontId="54" fillId="21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54" fillId="21" borderId="105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35" fillId="8" borderId="105" applyNumberFormat="0" applyAlignment="0" applyProtection="0"/>
    <xf numFmtId="0" fontId="37" fillId="21" borderId="105" applyNumberFormat="0" applyAlignment="0" applyProtection="0"/>
    <xf numFmtId="0" fontId="41" fillId="0" borderId="107" applyNumberFormat="0" applyFill="0" applyAlignment="0" applyProtection="0"/>
    <xf numFmtId="0" fontId="37" fillId="21" borderId="105" applyNumberFormat="0" applyAlignment="0" applyProtection="0"/>
    <xf numFmtId="0" fontId="51" fillId="24" borderId="108" applyNumberFormat="0" applyFon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54" fillId="21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35" fillId="8" borderId="105" applyNumberFormat="0" applyAlignment="0" applyProtection="0"/>
    <xf numFmtId="0" fontId="36" fillId="21" borderId="106" applyNumberFormat="0" applyAlignment="0" applyProtection="0"/>
    <xf numFmtId="0" fontId="37" fillId="21" borderId="105" applyNumberFormat="0" applyAlignment="0" applyProtection="0"/>
    <xf numFmtId="0" fontId="41" fillId="0" borderId="107" applyNumberFormat="0" applyFill="0" applyAlignment="0" applyProtection="0"/>
    <xf numFmtId="0" fontId="1" fillId="24" borderId="108" applyNumberFormat="0" applyFont="0" applyAlignment="0" applyProtection="0"/>
    <xf numFmtId="0" fontId="54" fillId="21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1" fillId="24" borderId="108" applyNumberFormat="0" applyFont="0" applyAlignment="0" applyProtection="0"/>
    <xf numFmtId="0" fontId="66" fillId="0" borderId="107" applyNumberFormat="0" applyFill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1" fillId="24" borderId="108" applyNumberFormat="0" applyFont="0" applyAlignment="0" applyProtection="0"/>
    <xf numFmtId="0" fontId="54" fillId="21" borderId="105" applyNumberFormat="0" applyAlignment="0" applyProtection="0">
      <alignment vertical="center"/>
    </xf>
    <xf numFmtId="0" fontId="54" fillId="21" borderId="105" applyNumberFormat="0" applyAlignment="0" applyProtection="0">
      <alignment vertical="center"/>
    </xf>
    <xf numFmtId="0" fontId="35" fillId="8" borderId="105" applyNumberFormat="0" applyAlignment="0" applyProtection="0"/>
    <xf numFmtId="0" fontId="36" fillId="21" borderId="106" applyNumberFormat="0" applyAlignment="0" applyProtection="0"/>
    <xf numFmtId="0" fontId="37" fillId="21" borderId="105" applyNumberFormat="0" applyAlignment="0" applyProtection="0"/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70" fillId="8" borderId="105" applyNumberFormat="0" applyAlignment="0" applyProtection="0"/>
    <xf numFmtId="0" fontId="71" fillId="21" borderId="106" applyNumberFormat="0" applyAlignment="0" applyProtection="0"/>
    <xf numFmtId="0" fontId="72" fillId="21" borderId="105" applyNumberFormat="0" applyAlignment="0" applyProtection="0"/>
    <xf numFmtId="0" fontId="37" fillId="21" borderId="105" applyNumberFormat="0" applyAlignment="0" applyProtection="0"/>
    <xf numFmtId="0" fontId="76" fillId="0" borderId="107" applyNumberFormat="0" applyFill="0" applyAlignment="0" applyProtection="0"/>
    <xf numFmtId="0" fontId="70" fillId="8" borderId="105" applyNumberFormat="0" applyAlignment="0" applyProtection="0"/>
    <xf numFmtId="0" fontId="76" fillId="0" borderId="107" applyNumberFormat="0" applyFill="0" applyAlignment="0" applyProtection="0"/>
    <xf numFmtId="0" fontId="7" fillId="24" borderId="108" applyNumberFormat="0" applyFont="0" applyAlignment="0" applyProtection="0"/>
    <xf numFmtId="0" fontId="41" fillId="0" borderId="107" applyNumberFormat="0" applyFill="0" applyAlignment="0" applyProtection="0"/>
    <xf numFmtId="0" fontId="61" fillId="8" borderId="105" applyNumberFormat="0" applyAlignment="0" applyProtection="0">
      <alignment vertical="center"/>
    </xf>
    <xf numFmtId="0" fontId="1" fillId="24" borderId="108" applyNumberFormat="0" applyFont="0" applyAlignment="0" applyProtection="0"/>
    <xf numFmtId="0" fontId="41" fillId="0" borderId="107" applyNumberFormat="0" applyFill="0" applyAlignment="0" applyProtection="0"/>
    <xf numFmtId="0" fontId="61" fillId="8" borderId="105" applyNumberFormat="0" applyAlignment="0" applyProtection="0">
      <alignment vertical="center"/>
    </xf>
    <xf numFmtId="0" fontId="54" fillId="21" borderId="105" applyNumberFormat="0" applyAlignment="0" applyProtection="0">
      <alignment vertical="center"/>
    </xf>
    <xf numFmtId="0" fontId="54" fillId="21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61" fillId="8" borderId="105" applyNumberForma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51" fillId="24" borderId="108" applyNumberFormat="0" applyFon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4" fillId="21" borderId="106" applyNumberFormat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66" fillId="0" borderId="107" applyNumberFormat="0" applyFill="0" applyAlignment="0" applyProtection="0">
      <alignment vertical="center"/>
    </xf>
    <xf numFmtId="0" fontId="35" fillId="8" borderId="105" applyNumberFormat="0" applyAlignment="0" applyProtection="0"/>
    <xf numFmtId="0" fontId="35" fillId="8" borderId="105" applyNumberFormat="0" applyAlignment="0" applyProtection="0"/>
    <xf numFmtId="0" fontId="36" fillId="21" borderId="106" applyNumberFormat="0" applyAlignment="0" applyProtection="0"/>
    <xf numFmtId="0" fontId="36" fillId="21" borderId="106" applyNumberFormat="0" applyAlignment="0" applyProtection="0"/>
    <xf numFmtId="0" fontId="37" fillId="21" borderId="105" applyNumberFormat="0" applyAlignment="0" applyProtection="0"/>
    <xf numFmtId="0" fontId="37" fillId="21" borderId="105" applyNumberFormat="0" applyAlignment="0" applyProtection="0"/>
    <xf numFmtId="0" fontId="41" fillId="0" borderId="107" applyNumberFormat="0" applyFill="0" applyAlignment="0" applyProtection="0"/>
    <xf numFmtId="0" fontId="41" fillId="0" borderId="107" applyNumberFormat="0" applyFill="0" applyAlignment="0" applyProtection="0"/>
    <xf numFmtId="0" fontId="1" fillId="24" borderId="108" applyNumberFormat="0" applyFont="0" applyAlignment="0" applyProtection="0"/>
    <xf numFmtId="0" fontId="1" fillId="24" borderId="108" applyNumberFormat="0" applyFont="0" applyAlignment="0" applyProtection="0"/>
    <xf numFmtId="0" fontId="61" fillId="8" borderId="105" applyNumberFormat="0" applyAlignment="0" applyProtection="0">
      <alignment vertical="center"/>
    </xf>
    <xf numFmtId="0" fontId="72" fillId="21" borderId="105" applyNumberFormat="0" applyAlignment="0" applyProtection="0"/>
    <xf numFmtId="0" fontId="37" fillId="21" borderId="105" applyNumberFormat="0" applyAlignment="0" applyProtection="0"/>
    <xf numFmtId="0" fontId="54" fillId="21" borderId="105" applyNumberFormat="0" applyAlignment="0" applyProtection="0">
      <alignment vertical="center"/>
    </xf>
    <xf numFmtId="0" fontId="41" fillId="0" borderId="107" applyNumberFormat="0" applyFill="0" applyAlignment="0" applyProtection="0"/>
    <xf numFmtId="0" fontId="1" fillId="24" borderId="108" applyNumberFormat="0" applyFont="0" applyAlignment="0" applyProtection="0"/>
    <xf numFmtId="0" fontId="61" fillId="8" borderId="105" applyNumberFormat="0" applyAlignment="0" applyProtection="0">
      <alignment vertical="center"/>
    </xf>
    <xf numFmtId="0" fontId="1" fillId="24" borderId="108" applyNumberFormat="0" applyFont="0" applyAlignment="0" applyProtection="0"/>
    <xf numFmtId="0" fontId="51" fillId="24" borderId="108" applyNumberFormat="0" applyFont="0" applyAlignment="0" applyProtection="0">
      <alignment vertical="center"/>
    </xf>
    <xf numFmtId="0" fontId="35" fillId="8" borderId="105" applyNumberFormat="0" applyAlignment="0" applyProtection="0"/>
    <xf numFmtId="4" fontId="86" fillId="27" borderId="109" applyNumberFormat="0" applyProtection="0">
      <alignment vertical="center"/>
    </xf>
    <xf numFmtId="0" fontId="2" fillId="28" borderId="109" applyNumberFormat="0" applyProtection="0">
      <alignment horizontal="left" vertical="top" indent="1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91" fillId="0" borderId="0"/>
    <xf numFmtId="0" fontId="4" fillId="0" borderId="0"/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54" fillId="21" borderId="110" applyNumberFormat="0" applyAlignment="0" applyProtection="0">
      <alignment vertical="center"/>
    </xf>
    <xf numFmtId="0" fontId="92" fillId="0" borderId="0"/>
    <xf numFmtId="0" fontId="5" fillId="0" borderId="0"/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61" fillId="8" borderId="110" applyNumberForma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51" fillId="24" borderId="111" applyNumberFormat="0" applyFon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64" fillId="21" borderId="112" applyNumberFormat="0" applyAlignment="0" applyProtection="0">
      <alignment vertical="center"/>
    </xf>
    <xf numFmtId="0" fontId="2" fillId="28" borderId="113" applyNumberFormat="0" applyProtection="0">
      <alignment horizontal="left" vertical="top" indent="1"/>
    </xf>
    <xf numFmtId="0" fontId="2" fillId="28" borderId="113" applyNumberFormat="0" applyProtection="0">
      <alignment horizontal="left" vertical="top" indent="1"/>
    </xf>
    <xf numFmtId="0" fontId="2" fillId="28" borderId="113" applyNumberFormat="0" applyProtection="0">
      <alignment horizontal="left" vertical="top" indent="1"/>
    </xf>
    <xf numFmtId="0" fontId="2" fillId="28" borderId="113" applyNumberFormat="0" applyProtection="0">
      <alignment horizontal="left" vertical="top" indent="1"/>
    </xf>
    <xf numFmtId="4" fontId="86" fillId="27" borderId="113" applyNumberFormat="0" applyProtection="0">
      <alignment vertical="center"/>
    </xf>
    <xf numFmtId="4" fontId="86" fillId="27" borderId="113" applyNumberFormat="0" applyProtection="0">
      <alignment vertical="center"/>
    </xf>
    <xf numFmtId="4" fontId="86" fillId="27" borderId="113" applyNumberFormat="0" applyProtection="0">
      <alignment vertical="center"/>
    </xf>
    <xf numFmtId="4" fontId="86" fillId="27" borderId="113" applyNumberForma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66" fillId="0" borderId="114" applyNumberFormat="0" applyFill="0" applyAlignment="0" applyProtection="0">
      <alignment vertical="center"/>
    </xf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70" fillId="8" borderId="110" applyNumberFormat="0" applyAlignment="0" applyProtection="0"/>
    <xf numFmtId="0" fontId="70" fillId="8" borderId="110" applyNumberFormat="0" applyAlignment="0" applyProtection="0"/>
    <xf numFmtId="0" fontId="70" fillId="8" borderId="110" applyNumberFormat="0" applyAlignment="0" applyProtection="0"/>
    <xf numFmtId="0" fontId="70" fillId="8" borderId="110" applyNumberFormat="0" applyAlignment="0" applyProtection="0"/>
    <xf numFmtId="0" fontId="70" fillId="8" borderId="110" applyNumberFormat="0" applyAlignment="0" applyProtection="0"/>
    <xf numFmtId="0" fontId="70" fillId="8" borderId="110" applyNumberFormat="0" applyAlignment="0" applyProtection="0"/>
    <xf numFmtId="0" fontId="70" fillId="8" borderId="110" applyNumberFormat="0" applyAlignment="0" applyProtection="0"/>
    <xf numFmtId="0" fontId="70" fillId="8" borderId="110" applyNumberFormat="0" applyAlignment="0" applyProtection="0"/>
    <xf numFmtId="0" fontId="70" fillId="8" borderId="110" applyNumberFormat="0" applyAlignment="0" applyProtection="0"/>
    <xf numFmtId="0" fontId="70" fillId="8" borderId="110" applyNumberFormat="0" applyAlignment="0" applyProtection="0"/>
    <xf numFmtId="0" fontId="70" fillId="8" borderId="110" applyNumberFormat="0" applyAlignment="0" applyProtection="0"/>
    <xf numFmtId="0" fontId="70" fillId="8" borderId="110" applyNumberFormat="0" applyAlignment="0" applyProtection="0"/>
    <xf numFmtId="0" fontId="70" fillId="8" borderId="110" applyNumberFormat="0" applyAlignment="0" applyProtection="0"/>
    <xf numFmtId="0" fontId="70" fillId="8" borderId="110" applyNumberFormat="0" applyAlignment="0" applyProtection="0"/>
    <xf numFmtId="0" fontId="70" fillId="8" borderId="110" applyNumberFormat="0" applyAlignment="0" applyProtection="0"/>
    <xf numFmtId="0" fontId="70" fillId="8" borderId="110" applyNumberFormat="0" applyAlignment="0" applyProtection="0"/>
    <xf numFmtId="0" fontId="70" fillId="8" borderId="110" applyNumberFormat="0" applyAlignment="0" applyProtection="0"/>
    <xf numFmtId="0" fontId="70" fillId="8" borderId="110" applyNumberFormat="0" applyAlignment="0" applyProtection="0"/>
    <xf numFmtId="0" fontId="70" fillId="8" borderId="110" applyNumberFormat="0" applyAlignment="0" applyProtection="0"/>
    <xf numFmtId="0" fontId="70" fillId="8" borderId="110" applyNumberFormat="0" applyAlignment="0" applyProtection="0"/>
    <xf numFmtId="0" fontId="70" fillId="8" borderId="110" applyNumberFormat="0" applyAlignment="0" applyProtection="0"/>
    <xf numFmtId="0" fontId="70" fillId="8" borderId="110" applyNumberFormat="0" applyAlignment="0" applyProtection="0"/>
    <xf numFmtId="0" fontId="70" fillId="8" borderId="110" applyNumberFormat="0" applyAlignment="0" applyProtection="0"/>
    <xf numFmtId="0" fontId="70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5" fillId="8" borderId="110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71" fillId="21" borderId="112" applyNumberFormat="0" applyAlignment="0" applyProtection="0"/>
    <xf numFmtId="0" fontId="71" fillId="21" borderId="112" applyNumberFormat="0" applyAlignment="0" applyProtection="0"/>
    <xf numFmtId="0" fontId="71" fillId="21" borderId="112" applyNumberFormat="0" applyAlignment="0" applyProtection="0"/>
    <xf numFmtId="0" fontId="71" fillId="21" borderId="112" applyNumberFormat="0" applyAlignment="0" applyProtection="0"/>
    <xf numFmtId="0" fontId="71" fillId="21" borderId="112" applyNumberFormat="0" applyAlignment="0" applyProtection="0"/>
    <xf numFmtId="0" fontId="71" fillId="21" borderId="112" applyNumberFormat="0" applyAlignment="0" applyProtection="0"/>
    <xf numFmtId="0" fontId="71" fillId="21" borderId="112" applyNumberFormat="0" applyAlignment="0" applyProtection="0"/>
    <xf numFmtId="0" fontId="71" fillId="21" borderId="112" applyNumberFormat="0" applyAlignment="0" applyProtection="0"/>
    <xf numFmtId="0" fontId="71" fillId="21" borderId="112" applyNumberFormat="0" applyAlignment="0" applyProtection="0"/>
    <xf numFmtId="0" fontId="71" fillId="21" borderId="112" applyNumberFormat="0" applyAlignment="0" applyProtection="0"/>
    <xf numFmtId="0" fontId="71" fillId="21" borderId="112" applyNumberFormat="0" applyAlignment="0" applyProtection="0"/>
    <xf numFmtId="0" fontId="71" fillId="21" borderId="112" applyNumberFormat="0" applyAlignment="0" applyProtection="0"/>
    <xf numFmtId="0" fontId="71" fillId="21" borderId="112" applyNumberFormat="0" applyAlignment="0" applyProtection="0"/>
    <xf numFmtId="0" fontId="71" fillId="21" borderId="112" applyNumberFormat="0" applyAlignment="0" applyProtection="0"/>
    <xf numFmtId="0" fontId="71" fillId="21" borderId="112" applyNumberFormat="0" applyAlignment="0" applyProtection="0"/>
    <xf numFmtId="0" fontId="71" fillId="21" borderId="112" applyNumberFormat="0" applyAlignment="0" applyProtection="0"/>
    <xf numFmtId="0" fontId="71" fillId="21" borderId="112" applyNumberFormat="0" applyAlignment="0" applyProtection="0"/>
    <xf numFmtId="0" fontId="71" fillId="21" borderId="112" applyNumberFormat="0" applyAlignment="0" applyProtection="0"/>
    <xf numFmtId="0" fontId="71" fillId="21" borderId="112" applyNumberFormat="0" applyAlignment="0" applyProtection="0"/>
    <xf numFmtId="0" fontId="71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6" fillId="21" borderId="112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72" fillId="21" borderId="110" applyNumberFormat="0" applyAlignment="0" applyProtection="0"/>
    <xf numFmtId="0" fontId="72" fillId="21" borderId="110" applyNumberFormat="0" applyAlignment="0" applyProtection="0"/>
    <xf numFmtId="0" fontId="72" fillId="21" borderId="110" applyNumberFormat="0" applyAlignment="0" applyProtection="0"/>
    <xf numFmtId="0" fontId="72" fillId="21" borderId="110" applyNumberFormat="0" applyAlignment="0" applyProtection="0"/>
    <xf numFmtId="0" fontId="72" fillId="21" borderId="110" applyNumberFormat="0" applyAlignment="0" applyProtection="0"/>
    <xf numFmtId="0" fontId="72" fillId="21" borderId="110" applyNumberFormat="0" applyAlignment="0" applyProtection="0"/>
    <xf numFmtId="0" fontId="72" fillId="21" borderId="110" applyNumberFormat="0" applyAlignment="0" applyProtection="0"/>
    <xf numFmtId="0" fontId="72" fillId="21" borderId="110" applyNumberFormat="0" applyAlignment="0" applyProtection="0"/>
    <xf numFmtId="0" fontId="72" fillId="21" borderId="110" applyNumberFormat="0" applyAlignment="0" applyProtection="0"/>
    <xf numFmtId="0" fontId="72" fillId="21" borderId="110" applyNumberFormat="0" applyAlignment="0" applyProtection="0"/>
    <xf numFmtId="0" fontId="72" fillId="21" borderId="110" applyNumberFormat="0" applyAlignment="0" applyProtection="0"/>
    <xf numFmtId="0" fontId="72" fillId="21" borderId="110" applyNumberFormat="0" applyAlignment="0" applyProtection="0"/>
    <xf numFmtId="0" fontId="72" fillId="21" borderId="110" applyNumberFormat="0" applyAlignment="0" applyProtection="0"/>
    <xf numFmtId="0" fontId="72" fillId="21" borderId="110" applyNumberFormat="0" applyAlignment="0" applyProtection="0"/>
    <xf numFmtId="0" fontId="72" fillId="21" borderId="110" applyNumberFormat="0" applyAlignment="0" applyProtection="0"/>
    <xf numFmtId="0" fontId="72" fillId="21" borderId="110" applyNumberFormat="0" applyAlignment="0" applyProtection="0"/>
    <xf numFmtId="0" fontId="72" fillId="21" borderId="110" applyNumberFormat="0" applyAlignment="0" applyProtection="0"/>
    <xf numFmtId="0" fontId="72" fillId="21" borderId="110" applyNumberFormat="0" applyAlignment="0" applyProtection="0"/>
    <xf numFmtId="0" fontId="72" fillId="21" borderId="110" applyNumberFormat="0" applyAlignment="0" applyProtection="0"/>
    <xf numFmtId="0" fontId="72" fillId="21" borderId="110" applyNumberFormat="0" applyAlignment="0" applyProtection="0"/>
    <xf numFmtId="0" fontId="72" fillId="21" borderId="110" applyNumberFormat="0" applyAlignment="0" applyProtection="0"/>
    <xf numFmtId="0" fontId="72" fillId="21" borderId="110" applyNumberFormat="0" applyAlignment="0" applyProtection="0"/>
    <xf numFmtId="0" fontId="72" fillId="21" borderId="110" applyNumberFormat="0" applyAlignment="0" applyProtection="0"/>
    <xf numFmtId="0" fontId="72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0" fontId="37" fillId="21" borderId="110" applyNumberFormat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76" fillId="0" borderId="114" applyNumberFormat="0" applyFill="0" applyAlignment="0" applyProtection="0"/>
    <xf numFmtId="0" fontId="76" fillId="0" borderId="114" applyNumberFormat="0" applyFill="0" applyAlignment="0" applyProtection="0"/>
    <xf numFmtId="0" fontId="76" fillId="0" borderId="114" applyNumberFormat="0" applyFill="0" applyAlignment="0" applyProtection="0"/>
    <xf numFmtId="0" fontId="76" fillId="0" borderId="114" applyNumberFormat="0" applyFill="0" applyAlignment="0" applyProtection="0"/>
    <xf numFmtId="0" fontId="76" fillId="0" borderId="114" applyNumberFormat="0" applyFill="0" applyAlignment="0" applyProtection="0"/>
    <xf numFmtId="0" fontId="76" fillId="0" borderId="114" applyNumberFormat="0" applyFill="0" applyAlignment="0" applyProtection="0"/>
    <xf numFmtId="0" fontId="76" fillId="0" borderId="114" applyNumberFormat="0" applyFill="0" applyAlignment="0" applyProtection="0"/>
    <xf numFmtId="0" fontId="76" fillId="0" borderId="114" applyNumberFormat="0" applyFill="0" applyAlignment="0" applyProtection="0"/>
    <xf numFmtId="0" fontId="76" fillId="0" borderId="114" applyNumberFormat="0" applyFill="0" applyAlignment="0" applyProtection="0"/>
    <xf numFmtId="0" fontId="76" fillId="0" borderId="114" applyNumberFormat="0" applyFill="0" applyAlignment="0" applyProtection="0"/>
    <xf numFmtId="0" fontId="76" fillId="0" borderId="114" applyNumberFormat="0" applyFill="0" applyAlignment="0" applyProtection="0"/>
    <xf numFmtId="0" fontId="76" fillId="0" borderId="114" applyNumberFormat="0" applyFill="0" applyAlignment="0" applyProtection="0"/>
    <xf numFmtId="0" fontId="76" fillId="0" borderId="114" applyNumberFormat="0" applyFill="0" applyAlignment="0" applyProtection="0"/>
    <xf numFmtId="0" fontId="76" fillId="0" borderId="114" applyNumberFormat="0" applyFill="0" applyAlignment="0" applyProtection="0"/>
    <xf numFmtId="0" fontId="76" fillId="0" borderId="114" applyNumberFormat="0" applyFill="0" applyAlignment="0" applyProtection="0"/>
    <xf numFmtId="0" fontId="76" fillId="0" borderId="114" applyNumberFormat="0" applyFill="0" applyAlignment="0" applyProtection="0"/>
    <xf numFmtId="0" fontId="76" fillId="0" borderId="114" applyNumberFormat="0" applyFill="0" applyAlignment="0" applyProtection="0"/>
    <xf numFmtId="0" fontId="76" fillId="0" borderId="114" applyNumberFormat="0" applyFill="0" applyAlignment="0" applyProtection="0"/>
    <xf numFmtId="0" fontId="76" fillId="0" borderId="114" applyNumberFormat="0" applyFill="0" applyAlignment="0" applyProtection="0"/>
    <xf numFmtId="0" fontId="76" fillId="0" borderId="114" applyNumberFormat="0" applyFill="0" applyAlignment="0" applyProtection="0"/>
    <xf numFmtId="0" fontId="76" fillId="0" borderId="114" applyNumberFormat="0" applyFill="0" applyAlignment="0" applyProtection="0"/>
    <xf numFmtId="0" fontId="76" fillId="0" borderId="114" applyNumberFormat="0" applyFill="0" applyAlignment="0" applyProtection="0"/>
    <xf numFmtId="0" fontId="76" fillId="0" borderId="114" applyNumberFormat="0" applyFill="0" applyAlignment="0" applyProtection="0"/>
    <xf numFmtId="0" fontId="76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41" fillId="0" borderId="114" applyNumberFormat="0" applyFill="0" applyAlignment="0" applyProtection="0"/>
    <xf numFmtId="0" fontId="1" fillId="0" borderId="0"/>
    <xf numFmtId="0" fontId="1" fillId="0" borderId="0"/>
    <xf numFmtId="0" fontId="30" fillId="0" borderId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7" fillId="24" borderId="111" applyNumberFormat="0" applyFont="0" applyAlignment="0" applyProtection="0"/>
    <xf numFmtId="0" fontId="7" fillId="24" borderId="111" applyNumberFormat="0" applyFont="0" applyAlignment="0" applyProtection="0"/>
    <xf numFmtId="0" fontId="7" fillId="24" borderId="111" applyNumberFormat="0" applyFont="0" applyAlignment="0" applyProtection="0"/>
    <xf numFmtId="0" fontId="7" fillId="24" borderId="111" applyNumberFormat="0" applyFont="0" applyAlignment="0" applyProtection="0"/>
    <xf numFmtId="0" fontId="7" fillId="24" borderId="111" applyNumberFormat="0" applyFont="0" applyAlignment="0" applyProtection="0"/>
    <xf numFmtId="0" fontId="7" fillId="24" borderId="111" applyNumberFormat="0" applyFont="0" applyAlignment="0" applyProtection="0"/>
    <xf numFmtId="0" fontId="7" fillId="24" borderId="111" applyNumberFormat="0" applyFont="0" applyAlignment="0" applyProtection="0"/>
    <xf numFmtId="0" fontId="7" fillId="24" borderId="111" applyNumberFormat="0" applyFont="0" applyAlignment="0" applyProtection="0"/>
    <xf numFmtId="0" fontId="7" fillId="24" borderId="111" applyNumberFormat="0" applyFont="0" applyAlignment="0" applyProtection="0"/>
    <xf numFmtId="0" fontId="7" fillId="24" borderId="111" applyNumberFormat="0" applyFont="0" applyAlignment="0" applyProtection="0"/>
    <xf numFmtId="0" fontId="7" fillId="24" borderId="111" applyNumberFormat="0" applyFont="0" applyAlignment="0" applyProtection="0"/>
    <xf numFmtId="0" fontId="7" fillId="24" borderId="111" applyNumberFormat="0" applyFont="0" applyAlignment="0" applyProtection="0"/>
    <xf numFmtId="0" fontId="7" fillId="24" borderId="111" applyNumberFormat="0" applyFont="0" applyAlignment="0" applyProtection="0"/>
    <xf numFmtId="0" fontId="7" fillId="24" borderId="111" applyNumberFormat="0" applyFont="0" applyAlignment="0" applyProtection="0"/>
    <xf numFmtId="0" fontId="7" fillId="24" borderId="111" applyNumberFormat="0" applyFont="0" applyAlignment="0" applyProtection="0"/>
    <xf numFmtId="0" fontId="7" fillId="24" borderId="111" applyNumberFormat="0" applyFont="0" applyAlignment="0" applyProtection="0"/>
    <xf numFmtId="0" fontId="7" fillId="24" borderId="111" applyNumberFormat="0" applyFont="0" applyAlignment="0" applyProtection="0"/>
    <xf numFmtId="0" fontId="7" fillId="24" borderId="111" applyNumberFormat="0" applyFont="0" applyAlignment="0" applyProtection="0"/>
    <xf numFmtId="0" fontId="7" fillId="24" borderId="111" applyNumberFormat="0" applyFont="0" applyAlignment="0" applyProtection="0"/>
    <xf numFmtId="0" fontId="7" fillId="24" borderId="111" applyNumberFormat="0" applyFont="0" applyAlignment="0" applyProtection="0"/>
    <xf numFmtId="0" fontId="7" fillId="24" borderId="111" applyNumberFormat="0" applyFont="0" applyAlignment="0" applyProtection="0"/>
    <xf numFmtId="0" fontId="7" fillId="24" borderId="111" applyNumberFormat="0" applyFont="0" applyAlignment="0" applyProtection="0"/>
    <xf numFmtId="0" fontId="7" fillId="24" borderId="111" applyNumberFormat="0" applyFont="0" applyAlignment="0" applyProtection="0"/>
    <xf numFmtId="0" fontId="7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0" fontId="1" fillId="24" borderId="111" applyNumberFormat="0" applyFont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5" fillId="8" borderId="115" applyNumberFormat="0" applyAlignment="0" applyProtection="0"/>
    <xf numFmtId="0" fontId="36" fillId="21" borderId="116" applyNumberFormat="0" applyAlignment="0" applyProtection="0"/>
    <xf numFmtId="0" fontId="37" fillId="21" borderId="115" applyNumberFormat="0" applyAlignment="0" applyProtection="0"/>
    <xf numFmtId="0" fontId="41" fillId="0" borderId="117" applyNumberFormat="0" applyFill="0" applyAlignment="0" applyProtection="0"/>
    <xf numFmtId="0" fontId="1" fillId="24" borderId="118" applyNumberFormat="0" applyFont="0" applyAlignment="0" applyProtection="0"/>
    <xf numFmtId="0" fontId="54" fillId="21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35" fillId="8" borderId="115" applyNumberFormat="0" applyAlignment="0" applyProtection="0"/>
    <xf numFmtId="0" fontId="36" fillId="21" borderId="116" applyNumberFormat="0" applyAlignment="0" applyProtection="0"/>
    <xf numFmtId="0" fontId="37" fillId="21" borderId="115" applyNumberFormat="0" applyAlignment="0" applyProtection="0"/>
    <xf numFmtId="0" fontId="41" fillId="0" borderId="117" applyNumberFormat="0" applyFill="0" applyAlignment="0" applyProtection="0"/>
    <xf numFmtId="0" fontId="1" fillId="24" borderId="118" applyNumberFormat="0" applyFont="0" applyAlignment="0" applyProtection="0"/>
    <xf numFmtId="0" fontId="54" fillId="21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1" fillId="24" borderId="118" applyNumberFormat="0" applyFont="0" applyAlignment="0" applyProtection="0"/>
    <xf numFmtId="0" fontId="54" fillId="21" borderId="115" applyNumberFormat="0" applyAlignment="0" applyProtection="0">
      <alignment vertical="center"/>
    </xf>
    <xf numFmtId="0" fontId="35" fillId="8" borderId="115" applyNumberFormat="0" applyAlignment="0" applyProtection="0"/>
    <xf numFmtId="0" fontId="36" fillId="21" borderId="116" applyNumberFormat="0" applyAlignment="0" applyProtection="0"/>
    <xf numFmtId="0" fontId="37" fillId="21" borderId="115" applyNumberFormat="0" applyAlignment="0" applyProtection="0"/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70" fillId="8" borderId="115" applyNumberFormat="0" applyAlignment="0" applyProtection="0"/>
    <xf numFmtId="0" fontId="71" fillId="21" borderId="116" applyNumberFormat="0" applyAlignment="0" applyProtection="0"/>
    <xf numFmtId="0" fontId="72" fillId="21" borderId="115" applyNumberFormat="0" applyAlignment="0" applyProtection="0"/>
    <xf numFmtId="0" fontId="76" fillId="0" borderId="117" applyNumberFormat="0" applyFill="0" applyAlignment="0" applyProtection="0"/>
    <xf numFmtId="0" fontId="7" fillId="24" borderId="118" applyNumberFormat="0" applyFont="0" applyAlignment="0" applyProtection="0"/>
    <xf numFmtId="0" fontId="41" fillId="0" borderId="117" applyNumberFormat="0" applyFill="0" applyAlignment="0" applyProtection="0"/>
    <xf numFmtId="0" fontId="61" fillId="8" borderId="115" applyNumberFormat="0" applyAlignment="0" applyProtection="0">
      <alignment vertical="center"/>
    </xf>
    <xf numFmtId="0" fontId="54" fillId="21" borderId="115" applyNumberFormat="0" applyAlignment="0" applyProtection="0">
      <alignment vertical="center"/>
    </xf>
    <xf numFmtId="0" fontId="54" fillId="21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35" fillId="8" borderId="115" applyNumberFormat="0" applyAlignment="0" applyProtection="0"/>
    <xf numFmtId="0" fontId="35" fillId="8" borderId="115" applyNumberFormat="0" applyAlignment="0" applyProtection="0"/>
    <xf numFmtId="0" fontId="36" fillId="21" borderId="116" applyNumberFormat="0" applyAlignment="0" applyProtection="0"/>
    <xf numFmtId="0" fontId="36" fillId="21" borderId="116" applyNumberFormat="0" applyAlignment="0" applyProtection="0"/>
    <xf numFmtId="0" fontId="37" fillId="21" borderId="115" applyNumberFormat="0" applyAlignment="0" applyProtection="0"/>
    <xf numFmtId="0" fontId="37" fillId="21" borderId="115" applyNumberFormat="0" applyAlignment="0" applyProtection="0"/>
    <xf numFmtId="0" fontId="41" fillId="0" borderId="117" applyNumberFormat="0" applyFill="0" applyAlignment="0" applyProtection="0"/>
    <xf numFmtId="0" fontId="41" fillId="0" borderId="117" applyNumberFormat="0" applyFill="0" applyAlignment="0" applyProtection="0"/>
    <xf numFmtId="0" fontId="1" fillId="24" borderId="118" applyNumberFormat="0" applyFont="0" applyAlignment="0" applyProtection="0"/>
    <xf numFmtId="0" fontId="1" fillId="24" borderId="118" applyNumberFormat="0" applyFont="0" applyAlignment="0" applyProtection="0"/>
    <xf numFmtId="0" fontId="71" fillId="21" borderId="116" applyNumberFormat="0" applyAlignment="0" applyProtection="0"/>
    <xf numFmtId="0" fontId="41" fillId="0" borderId="117" applyNumberFormat="0" applyFill="0" applyAlignment="0" applyProtection="0"/>
    <xf numFmtId="0" fontId="37" fillId="21" borderId="115" applyNumberFormat="0" applyAlignment="0" applyProtection="0"/>
    <xf numFmtId="0" fontId="66" fillId="0" borderId="117" applyNumberFormat="0" applyFill="0" applyAlignment="0" applyProtection="0">
      <alignment vertical="center"/>
    </xf>
    <xf numFmtId="0" fontId="1" fillId="24" borderId="118" applyNumberFormat="0" applyFont="0" applyAlignment="0" applyProtection="0"/>
    <xf numFmtId="0" fontId="35" fillId="8" borderId="115" applyNumberFormat="0" applyAlignment="0" applyProtection="0"/>
    <xf numFmtId="0" fontId="35" fillId="8" borderId="115" applyNumberFormat="0" applyAlignment="0" applyProtection="0"/>
    <xf numFmtId="0" fontId="36" fillId="21" borderId="116" applyNumberFormat="0" applyAlignment="0" applyProtection="0"/>
    <xf numFmtId="0" fontId="37" fillId="21" borderId="115" applyNumberFormat="0" applyAlignment="0" applyProtection="0"/>
    <xf numFmtId="0" fontId="41" fillId="0" borderId="117" applyNumberFormat="0" applyFill="0" applyAlignment="0" applyProtection="0"/>
    <xf numFmtId="0" fontId="1" fillId="24" borderId="118" applyNumberFormat="0" applyFont="0" applyAlignment="0" applyProtection="0"/>
    <xf numFmtId="0" fontId="54" fillId="21" borderId="115" applyNumberFormat="0" applyAlignment="0" applyProtection="0">
      <alignment vertical="center"/>
    </xf>
    <xf numFmtId="0" fontId="35" fillId="8" borderId="115" applyNumberFormat="0" applyAlignment="0" applyProtection="0"/>
    <xf numFmtId="0" fontId="41" fillId="0" borderId="117" applyNumberFormat="0" applyFill="0" applyAlignment="0" applyProtection="0"/>
    <xf numFmtId="0" fontId="7" fillId="24" borderId="118" applyNumberFormat="0" applyFont="0" applyAlignment="0" applyProtection="0"/>
    <xf numFmtId="0" fontId="64" fillId="21" borderId="116" applyNumberFormat="0" applyAlignment="0" applyProtection="0">
      <alignment vertical="center"/>
    </xf>
    <xf numFmtId="0" fontId="35" fillId="8" borderId="115" applyNumberFormat="0" applyAlignment="0" applyProtection="0"/>
    <xf numFmtId="0" fontId="54" fillId="21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54" fillId="21" borderId="115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35" fillId="8" borderId="115" applyNumberFormat="0" applyAlignment="0" applyProtection="0"/>
    <xf numFmtId="0" fontId="37" fillId="21" borderId="115" applyNumberFormat="0" applyAlignment="0" applyProtection="0"/>
    <xf numFmtId="0" fontId="41" fillId="0" borderId="117" applyNumberFormat="0" applyFill="0" applyAlignment="0" applyProtection="0"/>
    <xf numFmtId="0" fontId="64" fillId="21" borderId="116" applyNumberFormat="0" applyAlignment="0" applyProtection="0">
      <alignment vertical="center"/>
    </xf>
    <xf numFmtId="0" fontId="37" fillId="21" borderId="115" applyNumberFormat="0" applyAlignment="0" applyProtection="0"/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54" fillId="21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35" fillId="8" borderId="115" applyNumberFormat="0" applyAlignment="0" applyProtection="0"/>
    <xf numFmtId="0" fontId="36" fillId="21" borderId="116" applyNumberFormat="0" applyAlignment="0" applyProtection="0"/>
    <xf numFmtId="0" fontId="37" fillId="21" borderId="115" applyNumberFormat="0" applyAlignment="0" applyProtection="0"/>
    <xf numFmtId="0" fontId="41" fillId="0" borderId="117" applyNumberFormat="0" applyFill="0" applyAlignment="0" applyProtection="0"/>
    <xf numFmtId="0" fontId="1" fillId="24" borderId="118" applyNumberFormat="0" applyFont="0" applyAlignment="0" applyProtection="0"/>
    <xf numFmtId="0" fontId="54" fillId="21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1" fillId="24" borderId="118" applyNumberFormat="0" applyFont="0" applyAlignment="0" applyProtection="0"/>
    <xf numFmtId="0" fontId="66" fillId="0" borderId="117" applyNumberFormat="0" applyFill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36" fillId="21" borderId="116" applyNumberFormat="0" applyAlignment="0" applyProtection="0"/>
    <xf numFmtId="0" fontId="1" fillId="24" borderId="118" applyNumberFormat="0" applyFont="0" applyAlignment="0" applyProtection="0"/>
    <xf numFmtId="0" fontId="54" fillId="21" borderId="115" applyNumberFormat="0" applyAlignment="0" applyProtection="0">
      <alignment vertical="center"/>
    </xf>
    <xf numFmtId="0" fontId="54" fillId="21" borderId="115" applyNumberFormat="0" applyAlignment="0" applyProtection="0">
      <alignment vertical="center"/>
    </xf>
    <xf numFmtId="0" fontId="36" fillId="21" borderId="116" applyNumberFormat="0" applyAlignment="0" applyProtection="0"/>
    <xf numFmtId="0" fontId="35" fillId="8" borderId="115" applyNumberFormat="0" applyAlignment="0" applyProtection="0"/>
    <xf numFmtId="0" fontId="36" fillId="21" borderId="116" applyNumberFormat="0" applyAlignment="0" applyProtection="0"/>
    <xf numFmtId="0" fontId="37" fillId="21" borderId="115" applyNumberFormat="0" applyAlignment="0" applyProtection="0"/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70" fillId="8" borderId="115" applyNumberFormat="0" applyAlignment="0" applyProtection="0"/>
    <xf numFmtId="0" fontId="71" fillId="21" borderId="116" applyNumberFormat="0" applyAlignment="0" applyProtection="0"/>
    <xf numFmtId="0" fontId="72" fillId="21" borderId="115" applyNumberFormat="0" applyAlignment="0" applyProtection="0"/>
    <xf numFmtId="0" fontId="37" fillId="21" borderId="115" applyNumberFormat="0" applyAlignment="0" applyProtection="0"/>
    <xf numFmtId="0" fontId="76" fillId="0" borderId="117" applyNumberFormat="0" applyFill="0" applyAlignment="0" applyProtection="0"/>
    <xf numFmtId="0" fontId="70" fillId="8" borderId="115" applyNumberFormat="0" applyAlignment="0" applyProtection="0"/>
    <xf numFmtId="0" fontId="76" fillId="0" borderId="117" applyNumberFormat="0" applyFill="0" applyAlignment="0" applyProtection="0"/>
    <xf numFmtId="0" fontId="7" fillId="24" borderId="118" applyNumberFormat="0" applyFont="0" applyAlignment="0" applyProtection="0"/>
    <xf numFmtId="0" fontId="41" fillId="0" borderId="117" applyNumberFormat="0" applyFill="0" applyAlignment="0" applyProtection="0"/>
    <xf numFmtId="0" fontId="61" fillId="8" borderId="115" applyNumberFormat="0" applyAlignment="0" applyProtection="0">
      <alignment vertical="center"/>
    </xf>
    <xf numFmtId="0" fontId="36" fillId="21" borderId="116" applyNumberFormat="0" applyAlignment="0" applyProtection="0"/>
    <xf numFmtId="0" fontId="1" fillId="24" borderId="118" applyNumberFormat="0" applyFont="0" applyAlignment="0" applyProtection="0"/>
    <xf numFmtId="0" fontId="41" fillId="0" borderId="117" applyNumberFormat="0" applyFill="0" applyAlignment="0" applyProtection="0"/>
    <xf numFmtId="0" fontId="61" fillId="8" borderId="115" applyNumberFormat="0" applyAlignment="0" applyProtection="0">
      <alignment vertical="center"/>
    </xf>
    <xf numFmtId="0" fontId="54" fillId="21" borderId="115" applyNumberFormat="0" applyAlignment="0" applyProtection="0">
      <alignment vertical="center"/>
    </xf>
    <xf numFmtId="0" fontId="54" fillId="21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35" fillId="8" borderId="115" applyNumberFormat="0" applyAlignment="0" applyProtection="0"/>
    <xf numFmtId="0" fontId="35" fillId="8" borderId="115" applyNumberFormat="0" applyAlignment="0" applyProtection="0"/>
    <xf numFmtId="0" fontId="36" fillId="21" borderId="116" applyNumberFormat="0" applyAlignment="0" applyProtection="0"/>
    <xf numFmtId="0" fontId="36" fillId="21" borderId="116" applyNumberFormat="0" applyAlignment="0" applyProtection="0"/>
    <xf numFmtId="0" fontId="37" fillId="21" borderId="115" applyNumberFormat="0" applyAlignment="0" applyProtection="0"/>
    <xf numFmtId="0" fontId="37" fillId="21" borderId="115" applyNumberFormat="0" applyAlignment="0" applyProtection="0"/>
    <xf numFmtId="0" fontId="41" fillId="0" borderId="117" applyNumberFormat="0" applyFill="0" applyAlignment="0" applyProtection="0"/>
    <xf numFmtId="0" fontId="41" fillId="0" borderId="117" applyNumberFormat="0" applyFill="0" applyAlignment="0" applyProtection="0"/>
    <xf numFmtId="0" fontId="1" fillId="24" borderId="118" applyNumberFormat="0" applyFont="0" applyAlignment="0" applyProtection="0"/>
    <xf numFmtId="0" fontId="1" fillId="24" borderId="118" applyNumberFormat="0" applyFont="0" applyAlignment="0" applyProtection="0"/>
    <xf numFmtId="0" fontId="61" fillId="8" borderId="115" applyNumberFormat="0" applyAlignment="0" applyProtection="0">
      <alignment vertical="center"/>
    </xf>
    <xf numFmtId="0" fontId="72" fillId="21" borderId="115" applyNumberFormat="0" applyAlignment="0" applyProtection="0"/>
    <xf numFmtId="0" fontId="37" fillId="21" borderId="115" applyNumberFormat="0" applyAlignment="0" applyProtection="0"/>
    <xf numFmtId="0" fontId="54" fillId="21" borderId="115" applyNumberFormat="0" applyAlignment="0" applyProtection="0">
      <alignment vertical="center"/>
    </xf>
    <xf numFmtId="0" fontId="41" fillId="0" borderId="117" applyNumberFormat="0" applyFill="0" applyAlignment="0" applyProtection="0"/>
    <xf numFmtId="0" fontId="36" fillId="21" borderId="116" applyNumberFormat="0" applyAlignment="0" applyProtection="0"/>
    <xf numFmtId="0" fontId="1" fillId="24" borderId="118" applyNumberFormat="0" applyFont="0" applyAlignment="0" applyProtection="0"/>
    <xf numFmtId="0" fontId="61" fillId="8" borderId="115" applyNumberFormat="0" applyAlignment="0" applyProtection="0">
      <alignment vertical="center"/>
    </xf>
    <xf numFmtId="0" fontId="1" fillId="24" borderId="118" applyNumberFormat="0" applyFont="0" applyAlignment="0" applyProtection="0"/>
    <xf numFmtId="0" fontId="36" fillId="21" borderId="116" applyNumberFormat="0" applyAlignment="0" applyProtection="0"/>
    <xf numFmtId="0" fontId="51" fillId="24" borderId="118" applyNumberFormat="0" applyFont="0" applyAlignment="0" applyProtection="0">
      <alignment vertical="center"/>
    </xf>
    <xf numFmtId="0" fontId="35" fillId="8" borderId="115" applyNumberFormat="0" applyAlignment="0" applyProtection="0"/>
    <xf numFmtId="0" fontId="35" fillId="8" borderId="115" applyNumberFormat="0" applyAlignment="0" applyProtection="0"/>
    <xf numFmtId="0" fontId="36" fillId="21" borderId="116" applyNumberFormat="0" applyAlignment="0" applyProtection="0"/>
    <xf numFmtId="0" fontId="37" fillId="21" borderId="115" applyNumberFormat="0" applyAlignment="0" applyProtection="0"/>
    <xf numFmtId="0" fontId="41" fillId="0" borderId="117" applyNumberFormat="0" applyFill="0" applyAlignment="0" applyProtection="0"/>
    <xf numFmtId="0" fontId="1" fillId="24" borderId="118" applyNumberFormat="0" applyFont="0" applyAlignment="0" applyProtection="0"/>
    <xf numFmtId="0" fontId="54" fillId="21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35" fillId="8" borderId="115" applyNumberFormat="0" applyAlignment="0" applyProtection="0"/>
    <xf numFmtId="0" fontId="36" fillId="21" borderId="116" applyNumberFormat="0" applyAlignment="0" applyProtection="0"/>
    <xf numFmtId="0" fontId="37" fillId="21" borderId="115" applyNumberFormat="0" applyAlignment="0" applyProtection="0"/>
    <xf numFmtId="0" fontId="41" fillId="0" borderId="117" applyNumberFormat="0" applyFill="0" applyAlignment="0" applyProtection="0"/>
    <xf numFmtId="0" fontId="1" fillId="24" borderId="118" applyNumberFormat="0" applyFont="0" applyAlignment="0" applyProtection="0"/>
    <xf numFmtId="0" fontId="54" fillId="21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1" fillId="24" borderId="118" applyNumberFormat="0" applyFont="0" applyAlignment="0" applyProtection="0"/>
    <xf numFmtId="0" fontId="54" fillId="21" borderId="115" applyNumberFormat="0" applyAlignment="0" applyProtection="0">
      <alignment vertical="center"/>
    </xf>
    <xf numFmtId="0" fontId="35" fillId="8" borderId="115" applyNumberFormat="0" applyAlignment="0" applyProtection="0"/>
    <xf numFmtId="0" fontId="36" fillId="21" borderId="116" applyNumberFormat="0" applyAlignment="0" applyProtection="0"/>
    <xf numFmtId="0" fontId="37" fillId="21" borderId="115" applyNumberFormat="0" applyAlignment="0" applyProtection="0"/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70" fillId="8" borderId="115" applyNumberFormat="0" applyAlignment="0" applyProtection="0"/>
    <xf numFmtId="0" fontId="71" fillId="21" borderId="116" applyNumberFormat="0" applyAlignment="0" applyProtection="0"/>
    <xf numFmtId="0" fontId="72" fillId="21" borderId="115" applyNumberFormat="0" applyAlignment="0" applyProtection="0"/>
    <xf numFmtId="0" fontId="76" fillId="0" borderId="117" applyNumberFormat="0" applyFill="0" applyAlignment="0" applyProtection="0"/>
    <xf numFmtId="0" fontId="7" fillId="24" borderId="118" applyNumberFormat="0" applyFont="0" applyAlignment="0" applyProtection="0"/>
    <xf numFmtId="0" fontId="41" fillId="0" borderId="117" applyNumberFormat="0" applyFill="0" applyAlignment="0" applyProtection="0"/>
    <xf numFmtId="0" fontId="61" fillId="8" borderId="115" applyNumberFormat="0" applyAlignment="0" applyProtection="0">
      <alignment vertical="center"/>
    </xf>
    <xf numFmtId="0" fontId="54" fillId="21" borderId="115" applyNumberFormat="0" applyAlignment="0" applyProtection="0">
      <alignment vertical="center"/>
    </xf>
    <xf numFmtId="0" fontId="54" fillId="21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35" fillId="8" borderId="115" applyNumberFormat="0" applyAlignment="0" applyProtection="0"/>
    <xf numFmtId="0" fontId="35" fillId="8" borderId="115" applyNumberFormat="0" applyAlignment="0" applyProtection="0"/>
    <xf numFmtId="0" fontId="36" fillId="21" borderId="116" applyNumberFormat="0" applyAlignment="0" applyProtection="0"/>
    <xf numFmtId="0" fontId="36" fillId="21" borderId="116" applyNumberFormat="0" applyAlignment="0" applyProtection="0"/>
    <xf numFmtId="0" fontId="37" fillId="21" borderId="115" applyNumberFormat="0" applyAlignment="0" applyProtection="0"/>
    <xf numFmtId="0" fontId="37" fillId="21" borderId="115" applyNumberFormat="0" applyAlignment="0" applyProtection="0"/>
    <xf numFmtId="0" fontId="41" fillId="0" borderId="117" applyNumberFormat="0" applyFill="0" applyAlignment="0" applyProtection="0"/>
    <xf numFmtId="0" fontId="41" fillId="0" borderId="117" applyNumberFormat="0" applyFill="0" applyAlignment="0" applyProtection="0"/>
    <xf numFmtId="0" fontId="1" fillId="24" borderId="118" applyNumberFormat="0" applyFont="0" applyAlignment="0" applyProtection="0"/>
    <xf numFmtId="0" fontId="1" fillId="24" borderId="118" applyNumberFormat="0" applyFont="0" applyAlignment="0" applyProtection="0"/>
    <xf numFmtId="0" fontId="41" fillId="0" borderId="117" applyNumberFormat="0" applyFill="0" applyAlignment="0" applyProtection="0"/>
    <xf numFmtId="0" fontId="37" fillId="21" borderId="115" applyNumberFormat="0" applyAlignment="0" applyProtection="0"/>
    <xf numFmtId="0" fontId="66" fillId="0" borderId="117" applyNumberFormat="0" applyFill="0" applyAlignment="0" applyProtection="0">
      <alignment vertical="center"/>
    </xf>
    <xf numFmtId="0" fontId="1" fillId="24" borderId="118" applyNumberFormat="0" applyFont="0" applyAlignment="0" applyProtection="0"/>
    <xf numFmtId="0" fontId="35" fillId="8" borderId="115" applyNumberFormat="0" applyAlignment="0" applyProtection="0"/>
    <xf numFmtId="0" fontId="35" fillId="8" borderId="115" applyNumberFormat="0" applyAlignment="0" applyProtection="0"/>
    <xf numFmtId="0" fontId="36" fillId="21" borderId="116" applyNumberFormat="0" applyAlignment="0" applyProtection="0"/>
    <xf numFmtId="0" fontId="37" fillId="21" borderId="115" applyNumberFormat="0" applyAlignment="0" applyProtection="0"/>
    <xf numFmtId="0" fontId="41" fillId="0" borderId="117" applyNumberFormat="0" applyFill="0" applyAlignment="0" applyProtection="0"/>
    <xf numFmtId="0" fontId="1" fillId="24" borderId="118" applyNumberFormat="0" applyFont="0" applyAlignment="0" applyProtection="0"/>
    <xf numFmtId="0" fontId="54" fillId="21" borderId="115" applyNumberFormat="0" applyAlignment="0" applyProtection="0">
      <alignment vertical="center"/>
    </xf>
    <xf numFmtId="0" fontId="35" fillId="8" borderId="115" applyNumberFormat="0" applyAlignment="0" applyProtection="0"/>
    <xf numFmtId="0" fontId="41" fillId="0" borderId="117" applyNumberFormat="0" applyFill="0" applyAlignment="0" applyProtection="0"/>
    <xf numFmtId="0" fontId="7" fillId="24" borderId="118" applyNumberFormat="0" applyFont="0" applyAlignment="0" applyProtection="0"/>
    <xf numFmtId="0" fontId="35" fillId="8" borderId="115" applyNumberFormat="0" applyAlignment="0" applyProtection="0"/>
    <xf numFmtId="0" fontId="54" fillId="21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54" fillId="21" borderId="115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35" fillId="8" borderId="115" applyNumberFormat="0" applyAlignment="0" applyProtection="0"/>
    <xf numFmtId="0" fontId="37" fillId="21" borderId="115" applyNumberFormat="0" applyAlignment="0" applyProtection="0"/>
    <xf numFmtId="0" fontId="41" fillId="0" borderId="117" applyNumberFormat="0" applyFill="0" applyAlignment="0" applyProtection="0"/>
    <xf numFmtId="0" fontId="37" fillId="21" borderId="115" applyNumberFormat="0" applyAlignment="0" applyProtection="0"/>
    <xf numFmtId="0" fontId="51" fillId="24" borderId="118" applyNumberFormat="0" applyFon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54" fillId="21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35" fillId="8" borderId="115" applyNumberFormat="0" applyAlignment="0" applyProtection="0"/>
    <xf numFmtId="0" fontId="36" fillId="21" borderId="116" applyNumberFormat="0" applyAlignment="0" applyProtection="0"/>
    <xf numFmtId="0" fontId="37" fillId="21" borderId="115" applyNumberFormat="0" applyAlignment="0" applyProtection="0"/>
    <xf numFmtId="0" fontId="41" fillId="0" borderId="117" applyNumberFormat="0" applyFill="0" applyAlignment="0" applyProtection="0"/>
    <xf numFmtId="0" fontId="1" fillId="24" borderId="118" applyNumberFormat="0" applyFont="0" applyAlignment="0" applyProtection="0"/>
    <xf numFmtId="0" fontId="54" fillId="21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1" fillId="24" borderId="118" applyNumberFormat="0" applyFont="0" applyAlignment="0" applyProtection="0"/>
    <xf numFmtId="0" fontId="66" fillId="0" borderId="117" applyNumberFormat="0" applyFill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54" fillId="21" borderId="115" applyNumberFormat="0" applyAlignment="0" applyProtection="0">
      <alignment vertical="center"/>
    </xf>
    <xf numFmtId="0" fontId="54" fillId="21" borderId="115" applyNumberFormat="0" applyAlignment="0" applyProtection="0">
      <alignment vertical="center"/>
    </xf>
    <xf numFmtId="0" fontId="35" fillId="8" borderId="115" applyNumberFormat="0" applyAlignment="0" applyProtection="0"/>
    <xf numFmtId="0" fontId="36" fillId="21" borderId="116" applyNumberFormat="0" applyAlignment="0" applyProtection="0"/>
    <xf numFmtId="0" fontId="37" fillId="21" borderId="115" applyNumberFormat="0" applyAlignment="0" applyProtection="0"/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70" fillId="8" borderId="115" applyNumberFormat="0" applyAlignment="0" applyProtection="0"/>
    <xf numFmtId="0" fontId="71" fillId="21" borderId="116" applyNumberFormat="0" applyAlignment="0" applyProtection="0"/>
    <xf numFmtId="0" fontId="72" fillId="21" borderId="115" applyNumberFormat="0" applyAlignment="0" applyProtection="0"/>
    <xf numFmtId="0" fontId="37" fillId="21" borderId="115" applyNumberFormat="0" applyAlignment="0" applyProtection="0"/>
    <xf numFmtId="0" fontId="76" fillId="0" borderId="117" applyNumberFormat="0" applyFill="0" applyAlignment="0" applyProtection="0"/>
    <xf numFmtId="0" fontId="70" fillId="8" borderId="115" applyNumberFormat="0" applyAlignment="0" applyProtection="0"/>
    <xf numFmtId="0" fontId="76" fillId="0" borderId="117" applyNumberFormat="0" applyFill="0" applyAlignment="0" applyProtection="0"/>
    <xf numFmtId="0" fontId="7" fillId="24" borderId="118" applyNumberFormat="0" applyFont="0" applyAlignment="0" applyProtection="0"/>
    <xf numFmtId="0" fontId="41" fillId="0" borderId="117" applyNumberFormat="0" applyFill="0" applyAlignment="0" applyProtection="0"/>
    <xf numFmtId="0" fontId="61" fillId="8" borderId="115" applyNumberFormat="0" applyAlignment="0" applyProtection="0">
      <alignment vertical="center"/>
    </xf>
    <xf numFmtId="0" fontId="1" fillId="24" borderId="118" applyNumberFormat="0" applyFont="0" applyAlignment="0" applyProtection="0"/>
    <xf numFmtId="0" fontId="41" fillId="0" borderId="117" applyNumberFormat="0" applyFill="0" applyAlignment="0" applyProtection="0"/>
    <xf numFmtId="0" fontId="61" fillId="8" borderId="115" applyNumberFormat="0" applyAlignment="0" applyProtection="0">
      <alignment vertical="center"/>
    </xf>
    <xf numFmtId="0" fontId="54" fillId="21" borderId="115" applyNumberFormat="0" applyAlignment="0" applyProtection="0">
      <alignment vertical="center"/>
    </xf>
    <xf numFmtId="0" fontId="54" fillId="21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35" fillId="8" borderId="115" applyNumberFormat="0" applyAlignment="0" applyProtection="0"/>
    <xf numFmtId="0" fontId="35" fillId="8" borderId="115" applyNumberFormat="0" applyAlignment="0" applyProtection="0"/>
    <xf numFmtId="0" fontId="36" fillId="21" borderId="116" applyNumberFormat="0" applyAlignment="0" applyProtection="0"/>
    <xf numFmtId="0" fontId="36" fillId="21" borderId="116" applyNumberFormat="0" applyAlignment="0" applyProtection="0"/>
    <xf numFmtId="0" fontId="37" fillId="21" borderId="115" applyNumberFormat="0" applyAlignment="0" applyProtection="0"/>
    <xf numFmtId="0" fontId="37" fillId="21" borderId="115" applyNumberFormat="0" applyAlignment="0" applyProtection="0"/>
    <xf numFmtId="0" fontId="41" fillId="0" borderId="117" applyNumberFormat="0" applyFill="0" applyAlignment="0" applyProtection="0"/>
    <xf numFmtId="0" fontId="41" fillId="0" borderId="117" applyNumberFormat="0" applyFill="0" applyAlignment="0" applyProtection="0"/>
    <xf numFmtId="0" fontId="1" fillId="24" borderId="118" applyNumberFormat="0" applyFont="0" applyAlignment="0" applyProtection="0"/>
    <xf numFmtId="0" fontId="1" fillId="24" borderId="118" applyNumberFormat="0" applyFont="0" applyAlignment="0" applyProtection="0"/>
    <xf numFmtId="0" fontId="61" fillId="8" borderId="115" applyNumberFormat="0" applyAlignment="0" applyProtection="0">
      <alignment vertical="center"/>
    </xf>
    <xf numFmtId="0" fontId="72" fillId="21" borderId="115" applyNumberFormat="0" applyAlignment="0" applyProtection="0"/>
    <xf numFmtId="0" fontId="37" fillId="21" borderId="115" applyNumberFormat="0" applyAlignment="0" applyProtection="0"/>
    <xf numFmtId="0" fontId="54" fillId="21" borderId="115" applyNumberFormat="0" applyAlignment="0" applyProtection="0">
      <alignment vertical="center"/>
    </xf>
    <xf numFmtId="0" fontId="41" fillId="0" borderId="117" applyNumberFormat="0" applyFill="0" applyAlignment="0" applyProtection="0"/>
    <xf numFmtId="0" fontId="1" fillId="24" borderId="118" applyNumberFormat="0" applyFont="0" applyAlignment="0" applyProtection="0"/>
    <xf numFmtId="0" fontId="61" fillId="8" borderId="115" applyNumberFormat="0" applyAlignment="0" applyProtection="0">
      <alignment vertical="center"/>
    </xf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35" fillId="8" borderId="115" applyNumberFormat="0" applyAlignment="0" applyProtection="0"/>
    <xf numFmtId="4" fontId="86" fillId="27" borderId="119" applyNumberFormat="0" applyProtection="0">
      <alignment vertical="center"/>
    </xf>
    <xf numFmtId="0" fontId="2" fillId="28" borderId="119" applyNumberFormat="0" applyProtection="0">
      <alignment horizontal="left" vertical="top" indent="1"/>
    </xf>
    <xf numFmtId="0" fontId="35" fillId="8" borderId="115" applyNumberFormat="0" applyAlignment="0" applyProtection="0"/>
    <xf numFmtId="0" fontId="36" fillId="21" borderId="116" applyNumberFormat="0" applyAlignment="0" applyProtection="0"/>
    <xf numFmtId="0" fontId="37" fillId="21" borderId="115" applyNumberFormat="0" applyAlignment="0" applyProtection="0"/>
    <xf numFmtId="0" fontId="41" fillId="0" borderId="117" applyNumberFormat="0" applyFill="0" applyAlignment="0" applyProtection="0"/>
    <xf numFmtId="0" fontId="1" fillId="24" borderId="118" applyNumberFormat="0" applyFont="0" applyAlignment="0" applyProtection="0"/>
    <xf numFmtId="0" fontId="54" fillId="21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35" fillId="8" borderId="115" applyNumberFormat="0" applyAlignment="0" applyProtection="0"/>
    <xf numFmtId="0" fontId="36" fillId="21" borderId="116" applyNumberFormat="0" applyAlignment="0" applyProtection="0"/>
    <xf numFmtId="0" fontId="37" fillId="21" borderId="115" applyNumberFormat="0" applyAlignment="0" applyProtection="0"/>
    <xf numFmtId="0" fontId="41" fillId="0" borderId="117" applyNumberFormat="0" applyFill="0" applyAlignment="0" applyProtection="0"/>
    <xf numFmtId="0" fontId="1" fillId="24" borderId="118" applyNumberFormat="0" applyFont="0" applyAlignment="0" applyProtection="0"/>
    <xf numFmtId="0" fontId="54" fillId="21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1" fillId="24" borderId="118" applyNumberFormat="0" applyFont="0" applyAlignment="0" applyProtection="0"/>
    <xf numFmtId="0" fontId="54" fillId="21" borderId="115" applyNumberFormat="0" applyAlignment="0" applyProtection="0">
      <alignment vertical="center"/>
    </xf>
    <xf numFmtId="0" fontId="35" fillId="8" borderId="115" applyNumberFormat="0" applyAlignment="0" applyProtection="0"/>
    <xf numFmtId="0" fontId="36" fillId="21" borderId="116" applyNumberFormat="0" applyAlignment="0" applyProtection="0"/>
    <xf numFmtId="0" fontId="37" fillId="21" borderId="115" applyNumberFormat="0" applyAlignment="0" applyProtection="0"/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70" fillId="8" borderId="115" applyNumberFormat="0" applyAlignment="0" applyProtection="0"/>
    <xf numFmtId="0" fontId="71" fillId="21" borderId="116" applyNumberFormat="0" applyAlignment="0" applyProtection="0"/>
    <xf numFmtId="0" fontId="72" fillId="21" borderId="115" applyNumberFormat="0" applyAlignment="0" applyProtection="0"/>
    <xf numFmtId="0" fontId="76" fillId="0" borderId="117" applyNumberFormat="0" applyFill="0" applyAlignment="0" applyProtection="0"/>
    <xf numFmtId="0" fontId="7" fillId="24" borderId="118" applyNumberFormat="0" applyFont="0" applyAlignment="0" applyProtection="0"/>
    <xf numFmtId="0" fontId="41" fillId="0" borderId="117" applyNumberFormat="0" applyFill="0" applyAlignment="0" applyProtection="0"/>
    <xf numFmtId="0" fontId="61" fillId="8" borderId="115" applyNumberFormat="0" applyAlignment="0" applyProtection="0">
      <alignment vertical="center"/>
    </xf>
    <xf numFmtId="0" fontId="54" fillId="21" borderId="115" applyNumberFormat="0" applyAlignment="0" applyProtection="0">
      <alignment vertical="center"/>
    </xf>
    <xf numFmtId="0" fontId="54" fillId="21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35" fillId="8" borderId="115" applyNumberFormat="0" applyAlignment="0" applyProtection="0"/>
    <xf numFmtId="0" fontId="35" fillId="8" borderId="115" applyNumberFormat="0" applyAlignment="0" applyProtection="0"/>
    <xf numFmtId="0" fontId="36" fillId="21" borderId="116" applyNumberFormat="0" applyAlignment="0" applyProtection="0"/>
    <xf numFmtId="0" fontId="36" fillId="21" borderId="116" applyNumberFormat="0" applyAlignment="0" applyProtection="0"/>
    <xf numFmtId="0" fontId="37" fillId="21" borderId="115" applyNumberFormat="0" applyAlignment="0" applyProtection="0"/>
    <xf numFmtId="0" fontId="37" fillId="21" borderId="115" applyNumberFormat="0" applyAlignment="0" applyProtection="0"/>
    <xf numFmtId="0" fontId="41" fillId="0" borderId="117" applyNumberFormat="0" applyFill="0" applyAlignment="0" applyProtection="0"/>
    <xf numFmtId="0" fontId="41" fillId="0" borderId="117" applyNumberFormat="0" applyFill="0" applyAlignment="0" applyProtection="0"/>
    <xf numFmtId="0" fontId="1" fillId="24" borderId="118" applyNumberFormat="0" applyFont="0" applyAlignment="0" applyProtection="0"/>
    <xf numFmtId="0" fontId="1" fillId="24" borderId="118" applyNumberFormat="0" applyFont="0" applyAlignment="0" applyProtection="0"/>
    <xf numFmtId="0" fontId="71" fillId="21" borderId="116" applyNumberFormat="0" applyAlignment="0" applyProtection="0"/>
    <xf numFmtId="0" fontId="41" fillId="0" borderId="117" applyNumberFormat="0" applyFill="0" applyAlignment="0" applyProtection="0"/>
    <xf numFmtId="0" fontId="37" fillId="21" borderId="115" applyNumberFormat="0" applyAlignment="0" applyProtection="0"/>
    <xf numFmtId="0" fontId="66" fillId="0" borderId="117" applyNumberFormat="0" applyFill="0" applyAlignment="0" applyProtection="0">
      <alignment vertical="center"/>
    </xf>
    <xf numFmtId="0" fontId="1" fillId="24" borderId="118" applyNumberFormat="0" applyFont="0" applyAlignment="0" applyProtection="0"/>
    <xf numFmtId="0" fontId="35" fillId="8" borderId="115" applyNumberFormat="0" applyAlignment="0" applyProtection="0"/>
    <xf numFmtId="0" fontId="35" fillId="8" borderId="115" applyNumberFormat="0" applyAlignment="0" applyProtection="0"/>
    <xf numFmtId="0" fontId="36" fillId="21" borderId="116" applyNumberFormat="0" applyAlignment="0" applyProtection="0"/>
    <xf numFmtId="0" fontId="37" fillId="21" borderId="115" applyNumberFormat="0" applyAlignment="0" applyProtection="0"/>
    <xf numFmtId="0" fontId="41" fillId="0" borderId="117" applyNumberFormat="0" applyFill="0" applyAlignment="0" applyProtection="0"/>
    <xf numFmtId="0" fontId="1" fillId="24" borderId="118" applyNumberFormat="0" applyFont="0" applyAlignment="0" applyProtection="0"/>
    <xf numFmtId="0" fontId="54" fillId="21" borderId="115" applyNumberFormat="0" applyAlignment="0" applyProtection="0">
      <alignment vertical="center"/>
    </xf>
    <xf numFmtId="0" fontId="35" fillId="8" borderId="115" applyNumberFormat="0" applyAlignment="0" applyProtection="0"/>
    <xf numFmtId="0" fontId="41" fillId="0" borderId="117" applyNumberFormat="0" applyFill="0" applyAlignment="0" applyProtection="0"/>
    <xf numFmtId="0" fontId="7" fillId="24" borderId="118" applyNumberFormat="0" applyFont="0" applyAlignment="0" applyProtection="0"/>
    <xf numFmtId="0" fontId="64" fillId="21" borderId="116" applyNumberFormat="0" applyAlignment="0" applyProtection="0">
      <alignment vertical="center"/>
    </xf>
    <xf numFmtId="0" fontId="35" fillId="8" borderId="115" applyNumberFormat="0" applyAlignment="0" applyProtection="0"/>
    <xf numFmtId="0" fontId="54" fillId="21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54" fillId="21" borderId="115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35" fillId="8" borderId="115" applyNumberFormat="0" applyAlignment="0" applyProtection="0"/>
    <xf numFmtId="0" fontId="37" fillId="21" borderId="115" applyNumberFormat="0" applyAlignment="0" applyProtection="0"/>
    <xf numFmtId="0" fontId="41" fillId="0" borderId="117" applyNumberFormat="0" applyFill="0" applyAlignment="0" applyProtection="0"/>
    <xf numFmtId="0" fontId="64" fillId="21" borderId="116" applyNumberFormat="0" applyAlignment="0" applyProtection="0">
      <alignment vertical="center"/>
    </xf>
    <xf numFmtId="0" fontId="37" fillId="21" borderId="115" applyNumberFormat="0" applyAlignment="0" applyProtection="0"/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54" fillId="21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35" fillId="8" borderId="115" applyNumberFormat="0" applyAlignment="0" applyProtection="0"/>
    <xf numFmtId="0" fontId="36" fillId="21" borderId="116" applyNumberFormat="0" applyAlignment="0" applyProtection="0"/>
    <xf numFmtId="0" fontId="37" fillId="21" borderId="115" applyNumberFormat="0" applyAlignment="0" applyProtection="0"/>
    <xf numFmtId="0" fontId="41" fillId="0" borderId="117" applyNumberFormat="0" applyFill="0" applyAlignment="0" applyProtection="0"/>
    <xf numFmtId="0" fontId="1" fillId="24" borderId="118" applyNumberFormat="0" applyFont="0" applyAlignment="0" applyProtection="0"/>
    <xf numFmtId="0" fontId="54" fillId="21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1" fillId="24" borderId="118" applyNumberFormat="0" applyFont="0" applyAlignment="0" applyProtection="0"/>
    <xf numFmtId="0" fontId="66" fillId="0" borderId="117" applyNumberFormat="0" applyFill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36" fillId="21" borderId="116" applyNumberFormat="0" applyAlignment="0" applyProtection="0"/>
    <xf numFmtId="0" fontId="1" fillId="24" borderId="118" applyNumberFormat="0" applyFont="0" applyAlignment="0" applyProtection="0"/>
    <xf numFmtId="0" fontId="54" fillId="21" borderId="115" applyNumberFormat="0" applyAlignment="0" applyProtection="0">
      <alignment vertical="center"/>
    </xf>
    <xf numFmtId="0" fontId="54" fillId="21" borderId="115" applyNumberFormat="0" applyAlignment="0" applyProtection="0">
      <alignment vertical="center"/>
    </xf>
    <xf numFmtId="0" fontId="36" fillId="21" borderId="116" applyNumberFormat="0" applyAlignment="0" applyProtection="0"/>
    <xf numFmtId="0" fontId="35" fillId="8" borderId="115" applyNumberFormat="0" applyAlignment="0" applyProtection="0"/>
    <xf numFmtId="0" fontId="36" fillId="21" borderId="116" applyNumberFormat="0" applyAlignment="0" applyProtection="0"/>
    <xf numFmtId="0" fontId="37" fillId="21" borderId="115" applyNumberFormat="0" applyAlignment="0" applyProtection="0"/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70" fillId="8" borderId="115" applyNumberFormat="0" applyAlignment="0" applyProtection="0"/>
    <xf numFmtId="0" fontId="71" fillId="21" borderId="116" applyNumberFormat="0" applyAlignment="0" applyProtection="0"/>
    <xf numFmtId="0" fontId="72" fillId="21" borderId="115" applyNumberFormat="0" applyAlignment="0" applyProtection="0"/>
    <xf numFmtId="0" fontId="37" fillId="21" borderId="115" applyNumberFormat="0" applyAlignment="0" applyProtection="0"/>
    <xf numFmtId="0" fontId="76" fillId="0" borderId="117" applyNumberFormat="0" applyFill="0" applyAlignment="0" applyProtection="0"/>
    <xf numFmtId="0" fontId="70" fillId="8" borderId="115" applyNumberFormat="0" applyAlignment="0" applyProtection="0"/>
    <xf numFmtId="0" fontId="76" fillId="0" borderId="117" applyNumberFormat="0" applyFill="0" applyAlignment="0" applyProtection="0"/>
    <xf numFmtId="0" fontId="7" fillId="24" borderId="118" applyNumberFormat="0" applyFont="0" applyAlignment="0" applyProtection="0"/>
    <xf numFmtId="0" fontId="41" fillId="0" borderId="117" applyNumberFormat="0" applyFill="0" applyAlignment="0" applyProtection="0"/>
    <xf numFmtId="0" fontId="61" fillId="8" borderId="115" applyNumberFormat="0" applyAlignment="0" applyProtection="0">
      <alignment vertical="center"/>
    </xf>
    <xf numFmtId="0" fontId="36" fillId="21" borderId="116" applyNumberFormat="0" applyAlignment="0" applyProtection="0"/>
    <xf numFmtId="0" fontId="1" fillId="24" borderId="118" applyNumberFormat="0" applyFont="0" applyAlignment="0" applyProtection="0"/>
    <xf numFmtId="0" fontId="41" fillId="0" borderId="117" applyNumberFormat="0" applyFill="0" applyAlignment="0" applyProtection="0"/>
    <xf numFmtId="0" fontId="61" fillId="8" borderId="115" applyNumberFormat="0" applyAlignment="0" applyProtection="0">
      <alignment vertical="center"/>
    </xf>
    <xf numFmtId="0" fontId="54" fillId="21" borderId="115" applyNumberFormat="0" applyAlignment="0" applyProtection="0">
      <alignment vertical="center"/>
    </xf>
    <xf numFmtId="0" fontId="54" fillId="21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35" fillId="8" borderId="115" applyNumberFormat="0" applyAlignment="0" applyProtection="0"/>
    <xf numFmtId="0" fontId="35" fillId="8" borderId="115" applyNumberFormat="0" applyAlignment="0" applyProtection="0"/>
    <xf numFmtId="0" fontId="36" fillId="21" borderId="116" applyNumberFormat="0" applyAlignment="0" applyProtection="0"/>
    <xf numFmtId="0" fontId="36" fillId="21" borderId="116" applyNumberFormat="0" applyAlignment="0" applyProtection="0"/>
    <xf numFmtId="0" fontId="37" fillId="21" borderId="115" applyNumberFormat="0" applyAlignment="0" applyProtection="0"/>
    <xf numFmtId="0" fontId="37" fillId="21" borderId="115" applyNumberFormat="0" applyAlignment="0" applyProtection="0"/>
    <xf numFmtId="0" fontId="41" fillId="0" borderId="117" applyNumberFormat="0" applyFill="0" applyAlignment="0" applyProtection="0"/>
    <xf numFmtId="0" fontId="41" fillId="0" borderId="117" applyNumberFormat="0" applyFill="0" applyAlignment="0" applyProtection="0"/>
    <xf numFmtId="0" fontId="1" fillId="24" borderId="118" applyNumberFormat="0" applyFont="0" applyAlignment="0" applyProtection="0"/>
    <xf numFmtId="0" fontId="1" fillId="24" borderId="118" applyNumberFormat="0" applyFont="0" applyAlignment="0" applyProtection="0"/>
    <xf numFmtId="0" fontId="61" fillId="8" borderId="115" applyNumberFormat="0" applyAlignment="0" applyProtection="0">
      <alignment vertical="center"/>
    </xf>
    <xf numFmtId="0" fontId="72" fillId="21" borderId="115" applyNumberFormat="0" applyAlignment="0" applyProtection="0"/>
    <xf numFmtId="0" fontId="37" fillId="21" borderId="115" applyNumberFormat="0" applyAlignment="0" applyProtection="0"/>
    <xf numFmtId="0" fontId="54" fillId="21" borderId="115" applyNumberFormat="0" applyAlignment="0" applyProtection="0">
      <alignment vertical="center"/>
    </xf>
    <xf numFmtId="0" fontId="41" fillId="0" borderId="117" applyNumberFormat="0" applyFill="0" applyAlignment="0" applyProtection="0"/>
    <xf numFmtId="0" fontId="36" fillId="21" borderId="116" applyNumberFormat="0" applyAlignment="0" applyProtection="0"/>
    <xf numFmtId="0" fontId="1" fillId="24" borderId="118" applyNumberFormat="0" applyFont="0" applyAlignment="0" applyProtection="0"/>
    <xf numFmtId="0" fontId="61" fillId="8" borderId="115" applyNumberFormat="0" applyAlignment="0" applyProtection="0">
      <alignment vertical="center"/>
    </xf>
    <xf numFmtId="0" fontId="1" fillId="24" borderId="118" applyNumberFormat="0" applyFont="0" applyAlignment="0" applyProtection="0"/>
    <xf numFmtId="0" fontId="36" fillId="21" borderId="116" applyNumberFormat="0" applyAlignment="0" applyProtection="0"/>
    <xf numFmtId="0" fontId="51" fillId="24" borderId="118" applyNumberFormat="0" applyFont="0" applyAlignment="0" applyProtection="0">
      <alignment vertical="center"/>
    </xf>
    <xf numFmtId="0" fontId="35" fillId="8" borderId="115" applyNumberFormat="0" applyAlignment="0" applyProtection="0"/>
    <xf numFmtId="0" fontId="35" fillId="8" borderId="115" applyNumberFormat="0" applyAlignment="0" applyProtection="0"/>
    <xf numFmtId="0" fontId="36" fillId="21" borderId="116" applyNumberFormat="0" applyAlignment="0" applyProtection="0"/>
    <xf numFmtId="0" fontId="37" fillId="21" borderId="115" applyNumberFormat="0" applyAlignment="0" applyProtection="0"/>
    <xf numFmtId="0" fontId="41" fillId="0" borderId="117" applyNumberFormat="0" applyFill="0" applyAlignment="0" applyProtection="0"/>
    <xf numFmtId="0" fontId="1" fillId="24" borderId="118" applyNumberFormat="0" applyFont="0" applyAlignment="0" applyProtection="0"/>
    <xf numFmtId="0" fontId="54" fillId="21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35" fillId="8" borderId="115" applyNumberFormat="0" applyAlignment="0" applyProtection="0"/>
    <xf numFmtId="0" fontId="36" fillId="21" borderId="116" applyNumberFormat="0" applyAlignment="0" applyProtection="0"/>
    <xf numFmtId="0" fontId="37" fillId="21" borderId="115" applyNumberFormat="0" applyAlignment="0" applyProtection="0"/>
    <xf numFmtId="0" fontId="41" fillId="0" borderId="117" applyNumberFormat="0" applyFill="0" applyAlignment="0" applyProtection="0"/>
    <xf numFmtId="0" fontId="1" fillId="24" borderId="118" applyNumberFormat="0" applyFont="0" applyAlignment="0" applyProtection="0"/>
    <xf numFmtId="0" fontId="54" fillId="21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1" fillId="24" borderId="118" applyNumberFormat="0" applyFont="0" applyAlignment="0" applyProtection="0"/>
    <xf numFmtId="0" fontId="54" fillId="21" borderId="115" applyNumberFormat="0" applyAlignment="0" applyProtection="0">
      <alignment vertical="center"/>
    </xf>
    <xf numFmtId="0" fontId="35" fillId="8" borderId="115" applyNumberFormat="0" applyAlignment="0" applyProtection="0"/>
    <xf numFmtId="0" fontId="36" fillId="21" borderId="116" applyNumberFormat="0" applyAlignment="0" applyProtection="0"/>
    <xf numFmtId="0" fontId="37" fillId="21" borderId="115" applyNumberFormat="0" applyAlignment="0" applyProtection="0"/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70" fillId="8" borderId="115" applyNumberFormat="0" applyAlignment="0" applyProtection="0"/>
    <xf numFmtId="0" fontId="71" fillId="21" borderId="116" applyNumberFormat="0" applyAlignment="0" applyProtection="0"/>
    <xf numFmtId="0" fontId="72" fillId="21" borderId="115" applyNumberFormat="0" applyAlignment="0" applyProtection="0"/>
    <xf numFmtId="0" fontId="76" fillId="0" borderId="117" applyNumberFormat="0" applyFill="0" applyAlignment="0" applyProtection="0"/>
    <xf numFmtId="0" fontId="7" fillId="24" borderId="118" applyNumberFormat="0" applyFont="0" applyAlignment="0" applyProtection="0"/>
    <xf numFmtId="0" fontId="41" fillId="0" borderId="117" applyNumberFormat="0" applyFill="0" applyAlignment="0" applyProtection="0"/>
    <xf numFmtId="0" fontId="61" fillId="8" borderId="115" applyNumberFormat="0" applyAlignment="0" applyProtection="0">
      <alignment vertical="center"/>
    </xf>
    <xf numFmtId="0" fontId="54" fillId="21" borderId="115" applyNumberFormat="0" applyAlignment="0" applyProtection="0">
      <alignment vertical="center"/>
    </xf>
    <xf numFmtId="0" fontId="54" fillId="21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35" fillId="8" borderId="115" applyNumberFormat="0" applyAlignment="0" applyProtection="0"/>
    <xf numFmtId="0" fontId="35" fillId="8" borderId="115" applyNumberFormat="0" applyAlignment="0" applyProtection="0"/>
    <xf numFmtId="0" fontId="36" fillId="21" borderId="116" applyNumberFormat="0" applyAlignment="0" applyProtection="0"/>
    <xf numFmtId="0" fontId="36" fillId="21" borderId="116" applyNumberFormat="0" applyAlignment="0" applyProtection="0"/>
    <xf numFmtId="0" fontId="37" fillId="21" borderId="115" applyNumberFormat="0" applyAlignment="0" applyProtection="0"/>
    <xf numFmtId="0" fontId="37" fillId="21" borderId="115" applyNumberFormat="0" applyAlignment="0" applyProtection="0"/>
    <xf numFmtId="0" fontId="41" fillId="0" borderId="117" applyNumberFormat="0" applyFill="0" applyAlignment="0" applyProtection="0"/>
    <xf numFmtId="0" fontId="41" fillId="0" borderId="117" applyNumberFormat="0" applyFill="0" applyAlignment="0" applyProtection="0"/>
    <xf numFmtId="0" fontId="1" fillId="24" borderId="118" applyNumberFormat="0" applyFont="0" applyAlignment="0" applyProtection="0"/>
    <xf numFmtId="0" fontId="1" fillId="24" borderId="118" applyNumberFormat="0" applyFont="0" applyAlignment="0" applyProtection="0"/>
    <xf numFmtId="0" fontId="41" fillId="0" borderId="117" applyNumberFormat="0" applyFill="0" applyAlignment="0" applyProtection="0"/>
    <xf numFmtId="0" fontId="37" fillId="21" borderId="115" applyNumberFormat="0" applyAlignment="0" applyProtection="0"/>
    <xf numFmtId="0" fontId="66" fillId="0" borderId="117" applyNumberFormat="0" applyFill="0" applyAlignment="0" applyProtection="0">
      <alignment vertical="center"/>
    </xf>
    <xf numFmtId="0" fontId="1" fillId="24" borderId="118" applyNumberFormat="0" applyFont="0" applyAlignment="0" applyProtection="0"/>
    <xf numFmtId="0" fontId="35" fillId="8" borderId="115" applyNumberFormat="0" applyAlignment="0" applyProtection="0"/>
    <xf numFmtId="0" fontId="35" fillId="8" borderId="115" applyNumberFormat="0" applyAlignment="0" applyProtection="0"/>
    <xf numFmtId="0" fontId="36" fillId="21" borderId="116" applyNumberFormat="0" applyAlignment="0" applyProtection="0"/>
    <xf numFmtId="0" fontId="37" fillId="21" borderId="115" applyNumberFormat="0" applyAlignment="0" applyProtection="0"/>
    <xf numFmtId="0" fontId="41" fillId="0" borderId="117" applyNumberFormat="0" applyFill="0" applyAlignment="0" applyProtection="0"/>
    <xf numFmtId="0" fontId="1" fillId="24" borderId="118" applyNumberFormat="0" applyFont="0" applyAlignment="0" applyProtection="0"/>
    <xf numFmtId="0" fontId="54" fillId="21" borderId="115" applyNumberFormat="0" applyAlignment="0" applyProtection="0">
      <alignment vertical="center"/>
    </xf>
    <xf numFmtId="0" fontId="35" fillId="8" borderId="115" applyNumberFormat="0" applyAlignment="0" applyProtection="0"/>
    <xf numFmtId="0" fontId="41" fillId="0" borderId="117" applyNumberFormat="0" applyFill="0" applyAlignment="0" applyProtection="0"/>
    <xf numFmtId="0" fontId="7" fillId="24" borderId="118" applyNumberFormat="0" applyFont="0" applyAlignment="0" applyProtection="0"/>
    <xf numFmtId="0" fontId="35" fillId="8" borderId="115" applyNumberFormat="0" applyAlignment="0" applyProtection="0"/>
    <xf numFmtId="0" fontId="54" fillId="21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54" fillId="21" borderId="115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35" fillId="8" borderId="115" applyNumberFormat="0" applyAlignment="0" applyProtection="0"/>
    <xf numFmtId="0" fontId="37" fillId="21" borderId="115" applyNumberFormat="0" applyAlignment="0" applyProtection="0"/>
    <xf numFmtId="0" fontId="41" fillId="0" borderId="117" applyNumberFormat="0" applyFill="0" applyAlignment="0" applyProtection="0"/>
    <xf numFmtId="0" fontId="37" fillId="21" borderId="115" applyNumberFormat="0" applyAlignment="0" applyProtection="0"/>
    <xf numFmtId="0" fontId="51" fillId="24" borderId="118" applyNumberFormat="0" applyFon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54" fillId="21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35" fillId="8" borderId="115" applyNumberFormat="0" applyAlignment="0" applyProtection="0"/>
    <xf numFmtId="0" fontId="36" fillId="21" borderId="116" applyNumberFormat="0" applyAlignment="0" applyProtection="0"/>
    <xf numFmtId="0" fontId="37" fillId="21" borderId="115" applyNumberFormat="0" applyAlignment="0" applyProtection="0"/>
    <xf numFmtId="0" fontId="41" fillId="0" borderId="117" applyNumberFormat="0" applyFill="0" applyAlignment="0" applyProtection="0"/>
    <xf numFmtId="0" fontId="1" fillId="24" borderId="118" applyNumberFormat="0" applyFont="0" applyAlignment="0" applyProtection="0"/>
    <xf numFmtId="0" fontId="54" fillId="21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1" fillId="24" borderId="118" applyNumberFormat="0" applyFont="0" applyAlignment="0" applyProtection="0"/>
    <xf numFmtId="0" fontId="66" fillId="0" borderId="117" applyNumberFormat="0" applyFill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54" fillId="21" borderId="115" applyNumberFormat="0" applyAlignment="0" applyProtection="0">
      <alignment vertical="center"/>
    </xf>
    <xf numFmtId="0" fontId="54" fillId="21" borderId="115" applyNumberFormat="0" applyAlignment="0" applyProtection="0">
      <alignment vertical="center"/>
    </xf>
    <xf numFmtId="0" fontId="35" fillId="8" borderId="115" applyNumberFormat="0" applyAlignment="0" applyProtection="0"/>
    <xf numFmtId="0" fontId="36" fillId="21" borderId="116" applyNumberFormat="0" applyAlignment="0" applyProtection="0"/>
    <xf numFmtId="0" fontId="37" fillId="21" borderId="115" applyNumberFormat="0" applyAlignment="0" applyProtection="0"/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70" fillId="8" borderId="115" applyNumberFormat="0" applyAlignment="0" applyProtection="0"/>
    <xf numFmtId="0" fontId="71" fillId="21" borderId="116" applyNumberFormat="0" applyAlignment="0" applyProtection="0"/>
    <xf numFmtId="0" fontId="72" fillId="21" borderId="115" applyNumberFormat="0" applyAlignment="0" applyProtection="0"/>
    <xf numFmtId="0" fontId="37" fillId="21" borderId="115" applyNumberFormat="0" applyAlignment="0" applyProtection="0"/>
    <xf numFmtId="0" fontId="76" fillId="0" borderId="117" applyNumberFormat="0" applyFill="0" applyAlignment="0" applyProtection="0"/>
    <xf numFmtId="0" fontId="70" fillId="8" borderId="115" applyNumberFormat="0" applyAlignment="0" applyProtection="0"/>
    <xf numFmtId="0" fontId="76" fillId="0" borderId="117" applyNumberFormat="0" applyFill="0" applyAlignment="0" applyProtection="0"/>
    <xf numFmtId="0" fontId="7" fillId="24" borderId="118" applyNumberFormat="0" applyFont="0" applyAlignment="0" applyProtection="0"/>
    <xf numFmtId="0" fontId="41" fillId="0" borderId="117" applyNumberFormat="0" applyFill="0" applyAlignment="0" applyProtection="0"/>
    <xf numFmtId="0" fontId="61" fillId="8" borderId="115" applyNumberFormat="0" applyAlignment="0" applyProtection="0">
      <alignment vertical="center"/>
    </xf>
    <xf numFmtId="0" fontId="1" fillId="24" borderId="118" applyNumberFormat="0" applyFont="0" applyAlignment="0" applyProtection="0"/>
    <xf numFmtId="0" fontId="41" fillId="0" borderId="117" applyNumberFormat="0" applyFill="0" applyAlignment="0" applyProtection="0"/>
    <xf numFmtId="0" fontId="61" fillId="8" borderId="115" applyNumberFormat="0" applyAlignment="0" applyProtection="0">
      <alignment vertical="center"/>
    </xf>
    <xf numFmtId="0" fontId="54" fillId="21" borderId="115" applyNumberFormat="0" applyAlignment="0" applyProtection="0">
      <alignment vertical="center"/>
    </xf>
    <xf numFmtId="0" fontId="54" fillId="21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61" fillId="8" borderId="115" applyNumberForma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4" fillId="21" borderId="116" applyNumberFormat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66" fillId="0" borderId="117" applyNumberFormat="0" applyFill="0" applyAlignment="0" applyProtection="0">
      <alignment vertical="center"/>
    </xf>
    <xf numFmtId="0" fontId="35" fillId="8" borderId="115" applyNumberFormat="0" applyAlignment="0" applyProtection="0"/>
    <xf numFmtId="0" fontId="35" fillId="8" borderId="115" applyNumberFormat="0" applyAlignment="0" applyProtection="0"/>
    <xf numFmtId="0" fontId="36" fillId="21" borderId="116" applyNumberFormat="0" applyAlignment="0" applyProtection="0"/>
    <xf numFmtId="0" fontId="36" fillId="21" borderId="116" applyNumberFormat="0" applyAlignment="0" applyProtection="0"/>
    <xf numFmtId="0" fontId="37" fillId="21" borderId="115" applyNumberFormat="0" applyAlignment="0" applyProtection="0"/>
    <xf numFmtId="0" fontId="37" fillId="21" borderId="115" applyNumberFormat="0" applyAlignment="0" applyProtection="0"/>
    <xf numFmtId="0" fontId="41" fillId="0" borderId="117" applyNumberFormat="0" applyFill="0" applyAlignment="0" applyProtection="0"/>
    <xf numFmtId="0" fontId="41" fillId="0" borderId="117" applyNumberFormat="0" applyFill="0" applyAlignment="0" applyProtection="0"/>
    <xf numFmtId="0" fontId="1" fillId="24" borderId="118" applyNumberFormat="0" applyFont="0" applyAlignment="0" applyProtection="0"/>
    <xf numFmtId="0" fontId="1" fillId="24" borderId="118" applyNumberFormat="0" applyFont="0" applyAlignment="0" applyProtection="0"/>
    <xf numFmtId="0" fontId="61" fillId="8" borderId="115" applyNumberFormat="0" applyAlignment="0" applyProtection="0">
      <alignment vertical="center"/>
    </xf>
    <xf numFmtId="0" fontId="72" fillId="21" borderId="115" applyNumberFormat="0" applyAlignment="0" applyProtection="0"/>
    <xf numFmtId="0" fontId="37" fillId="21" borderId="115" applyNumberFormat="0" applyAlignment="0" applyProtection="0"/>
    <xf numFmtId="0" fontId="54" fillId="21" borderId="115" applyNumberFormat="0" applyAlignment="0" applyProtection="0">
      <alignment vertical="center"/>
    </xf>
    <xf numFmtId="0" fontId="41" fillId="0" borderId="117" applyNumberFormat="0" applyFill="0" applyAlignment="0" applyProtection="0"/>
    <xf numFmtId="0" fontId="1" fillId="24" borderId="118" applyNumberFormat="0" applyFont="0" applyAlignment="0" applyProtection="0"/>
    <xf numFmtId="0" fontId="61" fillId="8" borderId="115" applyNumberFormat="0" applyAlignment="0" applyProtection="0">
      <alignment vertical="center"/>
    </xf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35" fillId="8" borderId="115" applyNumberFormat="0" applyAlignment="0" applyProtection="0"/>
    <xf numFmtId="4" fontId="86" fillId="27" borderId="119" applyNumberFormat="0" applyProtection="0">
      <alignment vertical="center"/>
    </xf>
    <xf numFmtId="0" fontId="2" fillId="28" borderId="119" applyNumberFormat="0" applyProtection="0">
      <alignment horizontal="left" vertical="top" indent="1"/>
    </xf>
    <xf numFmtId="0" fontId="35" fillId="8" borderId="120" applyNumberFormat="0" applyAlignment="0" applyProtection="0"/>
    <xf numFmtId="0" fontId="37" fillId="21" borderId="120" applyNumberFormat="0" applyAlignment="0" applyProtection="0"/>
    <xf numFmtId="0" fontId="41" fillId="0" borderId="121" applyNumberFormat="0" applyFill="0" applyAlignment="0" applyProtection="0"/>
    <xf numFmtId="0" fontId="54" fillId="21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35" fillId="8" borderId="120" applyNumberFormat="0" applyAlignment="0" applyProtection="0"/>
    <xf numFmtId="0" fontId="37" fillId="21" borderId="120" applyNumberFormat="0" applyAlignment="0" applyProtection="0"/>
    <xf numFmtId="0" fontId="41" fillId="0" borderId="121" applyNumberFormat="0" applyFill="0" applyAlignment="0" applyProtection="0"/>
    <xf numFmtId="0" fontId="54" fillId="21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35" fillId="8" borderId="120" applyNumberFormat="0" applyAlignment="0" applyProtection="0"/>
    <xf numFmtId="0" fontId="37" fillId="21" borderId="120" applyNumberFormat="0" applyAlignment="0" applyProtection="0"/>
    <xf numFmtId="0" fontId="66" fillId="0" borderId="121" applyNumberFormat="0" applyFill="0" applyAlignment="0" applyProtection="0">
      <alignment vertical="center"/>
    </xf>
    <xf numFmtId="0" fontId="70" fillId="8" borderId="120" applyNumberFormat="0" applyAlignment="0" applyProtection="0"/>
    <xf numFmtId="0" fontId="72" fillId="21" borderId="120" applyNumberFormat="0" applyAlignment="0" applyProtection="0"/>
    <xf numFmtId="0" fontId="76" fillId="0" borderId="121" applyNumberFormat="0" applyFill="0" applyAlignment="0" applyProtection="0"/>
    <xf numFmtId="0" fontId="41" fillId="0" borderId="121" applyNumberFormat="0" applyFill="0" applyAlignment="0" applyProtection="0"/>
    <xf numFmtId="0" fontId="61" fillId="8" borderId="120" applyNumberFormat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35" fillId="8" borderId="120" applyNumberFormat="0" applyAlignment="0" applyProtection="0"/>
    <xf numFmtId="0" fontId="35" fillId="8" borderId="120" applyNumberFormat="0" applyAlignment="0" applyProtection="0"/>
    <xf numFmtId="0" fontId="37" fillId="21" borderId="120" applyNumberFormat="0" applyAlignment="0" applyProtection="0"/>
    <xf numFmtId="0" fontId="37" fillId="21" borderId="120" applyNumberFormat="0" applyAlignment="0" applyProtection="0"/>
    <xf numFmtId="0" fontId="41" fillId="0" borderId="121" applyNumberFormat="0" applyFill="0" applyAlignment="0" applyProtection="0"/>
    <xf numFmtId="0" fontId="41" fillId="0" borderId="121" applyNumberFormat="0" applyFill="0" applyAlignment="0" applyProtection="0"/>
    <xf numFmtId="0" fontId="41" fillId="0" borderId="121" applyNumberFormat="0" applyFill="0" applyAlignment="0" applyProtection="0"/>
    <xf numFmtId="0" fontId="37" fillId="21" borderId="120" applyNumberFormat="0" applyAlignment="0" applyProtection="0"/>
    <xf numFmtId="0" fontId="66" fillId="0" borderId="121" applyNumberFormat="0" applyFill="0" applyAlignment="0" applyProtection="0">
      <alignment vertical="center"/>
    </xf>
    <xf numFmtId="0" fontId="35" fillId="8" borderId="120" applyNumberFormat="0" applyAlignment="0" applyProtection="0"/>
    <xf numFmtId="0" fontId="35" fillId="8" borderId="120" applyNumberFormat="0" applyAlignment="0" applyProtection="0"/>
    <xf numFmtId="0" fontId="37" fillId="21" borderId="120" applyNumberFormat="0" applyAlignment="0" applyProtection="0"/>
    <xf numFmtId="0" fontId="41" fillId="0" borderId="121" applyNumberFormat="0" applyFill="0" applyAlignment="0" applyProtection="0"/>
    <xf numFmtId="0" fontId="54" fillId="21" borderId="120" applyNumberFormat="0" applyAlignment="0" applyProtection="0">
      <alignment vertical="center"/>
    </xf>
    <xf numFmtId="0" fontId="35" fillId="8" borderId="120" applyNumberFormat="0" applyAlignment="0" applyProtection="0"/>
    <xf numFmtId="0" fontId="41" fillId="0" borderId="121" applyNumberFormat="0" applyFill="0" applyAlignment="0" applyProtection="0"/>
    <xf numFmtId="0" fontId="35" fillId="8" borderId="120" applyNumberFormat="0" applyAlignment="0" applyProtection="0"/>
    <xf numFmtId="0" fontId="54" fillId="21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35" fillId="8" borderId="120" applyNumberFormat="0" applyAlignment="0" applyProtection="0"/>
    <xf numFmtId="0" fontId="37" fillId="21" borderId="120" applyNumberFormat="0" applyAlignment="0" applyProtection="0"/>
    <xf numFmtId="0" fontId="41" fillId="0" borderId="121" applyNumberFormat="0" applyFill="0" applyAlignment="0" applyProtection="0"/>
    <xf numFmtId="0" fontId="37" fillId="21" borderId="120" applyNumberFormat="0" applyAlignment="0" applyProtection="0"/>
    <xf numFmtId="0" fontId="66" fillId="0" borderId="121" applyNumberFormat="0" applyFill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35" fillId="8" borderId="120" applyNumberFormat="0" applyAlignment="0" applyProtection="0"/>
    <xf numFmtId="0" fontId="37" fillId="21" borderId="120" applyNumberFormat="0" applyAlignment="0" applyProtection="0"/>
    <xf numFmtId="0" fontId="41" fillId="0" borderId="121" applyNumberFormat="0" applyFill="0" applyAlignment="0" applyProtection="0"/>
    <xf numFmtId="0" fontId="54" fillId="21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35" fillId="8" borderId="120" applyNumberFormat="0" applyAlignment="0" applyProtection="0"/>
    <xf numFmtId="0" fontId="37" fillId="21" borderId="120" applyNumberFormat="0" applyAlignment="0" applyProtection="0"/>
    <xf numFmtId="0" fontId="66" fillId="0" borderId="121" applyNumberFormat="0" applyFill="0" applyAlignment="0" applyProtection="0">
      <alignment vertical="center"/>
    </xf>
    <xf numFmtId="0" fontId="70" fillId="8" borderId="120" applyNumberFormat="0" applyAlignment="0" applyProtection="0"/>
    <xf numFmtId="0" fontId="72" fillId="21" borderId="120" applyNumberFormat="0" applyAlignment="0" applyProtection="0"/>
    <xf numFmtId="0" fontId="37" fillId="21" borderId="120" applyNumberFormat="0" applyAlignment="0" applyProtection="0"/>
    <xf numFmtId="0" fontId="76" fillId="0" borderId="121" applyNumberFormat="0" applyFill="0" applyAlignment="0" applyProtection="0"/>
    <xf numFmtId="0" fontId="70" fillId="8" borderId="120" applyNumberFormat="0" applyAlignment="0" applyProtection="0"/>
    <xf numFmtId="0" fontId="76" fillId="0" borderId="121" applyNumberFormat="0" applyFill="0" applyAlignment="0" applyProtection="0"/>
    <xf numFmtId="0" fontId="41" fillId="0" borderId="121" applyNumberFormat="0" applyFill="0" applyAlignment="0" applyProtection="0"/>
    <xf numFmtId="0" fontId="61" fillId="8" borderId="120" applyNumberFormat="0" applyAlignment="0" applyProtection="0">
      <alignment vertical="center"/>
    </xf>
    <xf numFmtId="0" fontId="41" fillId="0" borderId="121" applyNumberFormat="0" applyFill="0" applyAlignment="0" applyProtection="0"/>
    <xf numFmtId="0" fontId="61" fillId="8" borderId="120" applyNumberFormat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35" fillId="8" borderId="120" applyNumberFormat="0" applyAlignment="0" applyProtection="0"/>
    <xf numFmtId="0" fontId="35" fillId="8" borderId="120" applyNumberFormat="0" applyAlignment="0" applyProtection="0"/>
    <xf numFmtId="0" fontId="37" fillId="21" borderId="120" applyNumberFormat="0" applyAlignment="0" applyProtection="0"/>
    <xf numFmtId="0" fontId="37" fillId="21" borderId="120" applyNumberFormat="0" applyAlignment="0" applyProtection="0"/>
    <xf numFmtId="0" fontId="41" fillId="0" borderId="121" applyNumberFormat="0" applyFill="0" applyAlignment="0" applyProtection="0"/>
    <xf numFmtId="0" fontId="41" fillId="0" borderId="121" applyNumberFormat="0" applyFill="0" applyAlignment="0" applyProtection="0"/>
    <xf numFmtId="0" fontId="61" fillId="8" borderId="120" applyNumberFormat="0" applyAlignment="0" applyProtection="0">
      <alignment vertical="center"/>
    </xf>
    <xf numFmtId="0" fontId="72" fillId="21" borderId="120" applyNumberFormat="0" applyAlignment="0" applyProtection="0"/>
    <xf numFmtId="0" fontId="37" fillId="21" borderId="120" applyNumberFormat="0" applyAlignment="0" applyProtection="0"/>
    <xf numFmtId="0" fontId="54" fillId="21" borderId="120" applyNumberFormat="0" applyAlignment="0" applyProtection="0">
      <alignment vertical="center"/>
    </xf>
    <xf numFmtId="0" fontId="41" fillId="0" borderId="121" applyNumberFormat="0" applyFill="0" applyAlignment="0" applyProtection="0"/>
    <xf numFmtId="0" fontId="61" fillId="8" borderId="120" applyNumberFormat="0" applyAlignment="0" applyProtection="0">
      <alignment vertical="center"/>
    </xf>
    <xf numFmtId="0" fontId="35" fillId="8" borderId="120" applyNumberFormat="0" applyAlignment="0" applyProtection="0"/>
    <xf numFmtId="0" fontId="35" fillId="8" borderId="120" applyNumberFormat="0" applyAlignment="0" applyProtection="0"/>
    <xf numFmtId="0" fontId="37" fillId="21" borderId="120" applyNumberFormat="0" applyAlignment="0" applyProtection="0"/>
    <xf numFmtId="0" fontId="41" fillId="0" borderId="121" applyNumberFormat="0" applyFill="0" applyAlignment="0" applyProtection="0"/>
    <xf numFmtId="0" fontId="54" fillId="21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35" fillId="8" borderId="120" applyNumberFormat="0" applyAlignment="0" applyProtection="0"/>
    <xf numFmtId="0" fontId="37" fillId="21" borderId="120" applyNumberFormat="0" applyAlignment="0" applyProtection="0"/>
    <xf numFmtId="0" fontId="41" fillId="0" borderId="121" applyNumberFormat="0" applyFill="0" applyAlignment="0" applyProtection="0"/>
    <xf numFmtId="0" fontId="54" fillId="21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35" fillId="8" borderId="120" applyNumberFormat="0" applyAlignment="0" applyProtection="0"/>
    <xf numFmtId="0" fontId="37" fillId="21" borderId="120" applyNumberFormat="0" applyAlignment="0" applyProtection="0"/>
    <xf numFmtId="0" fontId="66" fillId="0" borderId="121" applyNumberFormat="0" applyFill="0" applyAlignment="0" applyProtection="0">
      <alignment vertical="center"/>
    </xf>
    <xf numFmtId="0" fontId="70" fillId="8" borderId="120" applyNumberFormat="0" applyAlignment="0" applyProtection="0"/>
    <xf numFmtId="0" fontId="72" fillId="21" borderId="120" applyNumberFormat="0" applyAlignment="0" applyProtection="0"/>
    <xf numFmtId="0" fontId="76" fillId="0" borderId="121" applyNumberFormat="0" applyFill="0" applyAlignment="0" applyProtection="0"/>
    <xf numFmtId="0" fontId="41" fillId="0" borderId="121" applyNumberFormat="0" applyFill="0" applyAlignment="0" applyProtection="0"/>
    <xf numFmtId="0" fontId="61" fillId="8" borderId="120" applyNumberFormat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35" fillId="8" borderId="120" applyNumberFormat="0" applyAlignment="0" applyProtection="0"/>
    <xf numFmtId="0" fontId="35" fillId="8" borderId="120" applyNumberFormat="0" applyAlignment="0" applyProtection="0"/>
    <xf numFmtId="0" fontId="37" fillId="21" borderId="120" applyNumberFormat="0" applyAlignment="0" applyProtection="0"/>
    <xf numFmtId="0" fontId="37" fillId="21" borderId="120" applyNumberFormat="0" applyAlignment="0" applyProtection="0"/>
    <xf numFmtId="0" fontId="41" fillId="0" borderId="121" applyNumberFormat="0" applyFill="0" applyAlignment="0" applyProtection="0"/>
    <xf numFmtId="0" fontId="41" fillId="0" borderId="121" applyNumberFormat="0" applyFill="0" applyAlignment="0" applyProtection="0"/>
    <xf numFmtId="0" fontId="41" fillId="0" borderId="121" applyNumberFormat="0" applyFill="0" applyAlignment="0" applyProtection="0"/>
    <xf numFmtId="0" fontId="37" fillId="21" borderId="120" applyNumberFormat="0" applyAlignment="0" applyProtection="0"/>
    <xf numFmtId="0" fontId="66" fillId="0" borderId="121" applyNumberFormat="0" applyFill="0" applyAlignment="0" applyProtection="0">
      <alignment vertical="center"/>
    </xf>
    <xf numFmtId="0" fontId="35" fillId="8" borderId="120" applyNumberFormat="0" applyAlignment="0" applyProtection="0"/>
    <xf numFmtId="0" fontId="35" fillId="8" borderId="120" applyNumberFormat="0" applyAlignment="0" applyProtection="0"/>
    <xf numFmtId="0" fontId="37" fillId="21" borderId="120" applyNumberFormat="0" applyAlignment="0" applyProtection="0"/>
    <xf numFmtId="0" fontId="41" fillId="0" borderId="121" applyNumberFormat="0" applyFill="0" applyAlignment="0" applyProtection="0"/>
    <xf numFmtId="0" fontId="54" fillId="21" borderId="120" applyNumberFormat="0" applyAlignment="0" applyProtection="0">
      <alignment vertical="center"/>
    </xf>
    <xf numFmtId="0" fontId="35" fillId="8" borderId="120" applyNumberFormat="0" applyAlignment="0" applyProtection="0"/>
    <xf numFmtId="0" fontId="41" fillId="0" borderId="121" applyNumberFormat="0" applyFill="0" applyAlignment="0" applyProtection="0"/>
    <xf numFmtId="0" fontId="35" fillId="8" borderId="120" applyNumberFormat="0" applyAlignment="0" applyProtection="0"/>
    <xf numFmtId="0" fontId="54" fillId="21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35" fillId="8" borderId="120" applyNumberFormat="0" applyAlignment="0" applyProtection="0"/>
    <xf numFmtId="0" fontId="37" fillId="21" borderId="120" applyNumberFormat="0" applyAlignment="0" applyProtection="0"/>
    <xf numFmtId="0" fontId="41" fillId="0" borderId="121" applyNumberFormat="0" applyFill="0" applyAlignment="0" applyProtection="0"/>
    <xf numFmtId="0" fontId="37" fillId="21" borderId="120" applyNumberFormat="0" applyAlignment="0" applyProtection="0"/>
    <xf numFmtId="0" fontId="66" fillId="0" borderId="121" applyNumberFormat="0" applyFill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35" fillId="8" borderId="120" applyNumberFormat="0" applyAlignment="0" applyProtection="0"/>
    <xf numFmtId="0" fontId="37" fillId="21" borderId="120" applyNumberFormat="0" applyAlignment="0" applyProtection="0"/>
    <xf numFmtId="0" fontId="41" fillId="0" borderId="121" applyNumberFormat="0" applyFill="0" applyAlignment="0" applyProtection="0"/>
    <xf numFmtId="0" fontId="54" fillId="21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35" fillId="8" borderId="120" applyNumberFormat="0" applyAlignment="0" applyProtection="0"/>
    <xf numFmtId="0" fontId="37" fillId="21" borderId="120" applyNumberFormat="0" applyAlignment="0" applyProtection="0"/>
    <xf numFmtId="0" fontId="66" fillId="0" borderId="121" applyNumberFormat="0" applyFill="0" applyAlignment="0" applyProtection="0">
      <alignment vertical="center"/>
    </xf>
    <xf numFmtId="0" fontId="70" fillId="8" borderId="120" applyNumberFormat="0" applyAlignment="0" applyProtection="0"/>
    <xf numFmtId="0" fontId="72" fillId="21" borderId="120" applyNumberFormat="0" applyAlignment="0" applyProtection="0"/>
    <xf numFmtId="0" fontId="37" fillId="21" borderId="120" applyNumberFormat="0" applyAlignment="0" applyProtection="0"/>
    <xf numFmtId="0" fontId="76" fillId="0" borderId="121" applyNumberFormat="0" applyFill="0" applyAlignment="0" applyProtection="0"/>
    <xf numFmtId="0" fontId="70" fillId="8" borderId="120" applyNumberFormat="0" applyAlignment="0" applyProtection="0"/>
    <xf numFmtId="0" fontId="76" fillId="0" borderId="121" applyNumberFormat="0" applyFill="0" applyAlignment="0" applyProtection="0"/>
    <xf numFmtId="0" fontId="41" fillId="0" borderId="121" applyNumberFormat="0" applyFill="0" applyAlignment="0" applyProtection="0"/>
    <xf numFmtId="0" fontId="61" fillId="8" borderId="120" applyNumberFormat="0" applyAlignment="0" applyProtection="0">
      <alignment vertical="center"/>
    </xf>
    <xf numFmtId="0" fontId="41" fillId="0" borderId="121" applyNumberFormat="0" applyFill="0" applyAlignment="0" applyProtection="0"/>
    <xf numFmtId="0" fontId="61" fillId="8" borderId="120" applyNumberFormat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35" fillId="8" borderId="120" applyNumberFormat="0" applyAlignment="0" applyProtection="0"/>
    <xf numFmtId="0" fontId="35" fillId="8" borderId="120" applyNumberFormat="0" applyAlignment="0" applyProtection="0"/>
    <xf numFmtId="0" fontId="37" fillId="21" borderId="120" applyNumberFormat="0" applyAlignment="0" applyProtection="0"/>
    <xf numFmtId="0" fontId="37" fillId="21" borderId="120" applyNumberFormat="0" applyAlignment="0" applyProtection="0"/>
    <xf numFmtId="0" fontId="41" fillId="0" borderId="121" applyNumberFormat="0" applyFill="0" applyAlignment="0" applyProtection="0"/>
    <xf numFmtId="0" fontId="41" fillId="0" borderId="121" applyNumberFormat="0" applyFill="0" applyAlignment="0" applyProtection="0"/>
    <xf numFmtId="0" fontId="61" fillId="8" borderId="120" applyNumberFormat="0" applyAlignment="0" applyProtection="0">
      <alignment vertical="center"/>
    </xf>
    <xf numFmtId="0" fontId="72" fillId="21" borderId="120" applyNumberFormat="0" applyAlignment="0" applyProtection="0"/>
    <xf numFmtId="0" fontId="37" fillId="21" borderId="120" applyNumberFormat="0" applyAlignment="0" applyProtection="0"/>
    <xf numFmtId="0" fontId="54" fillId="21" borderId="120" applyNumberFormat="0" applyAlignment="0" applyProtection="0">
      <alignment vertical="center"/>
    </xf>
    <xf numFmtId="0" fontId="41" fillId="0" borderId="121" applyNumberFormat="0" applyFill="0" applyAlignment="0" applyProtection="0"/>
    <xf numFmtId="0" fontId="61" fillId="8" borderId="120" applyNumberFormat="0" applyAlignment="0" applyProtection="0">
      <alignment vertical="center"/>
    </xf>
    <xf numFmtId="0" fontId="35" fillId="8" borderId="120" applyNumberFormat="0" applyAlignment="0" applyProtection="0"/>
    <xf numFmtId="0" fontId="35" fillId="8" borderId="120" applyNumberFormat="0" applyAlignment="0" applyProtection="0"/>
    <xf numFmtId="0" fontId="37" fillId="21" borderId="120" applyNumberFormat="0" applyAlignment="0" applyProtection="0"/>
    <xf numFmtId="0" fontId="41" fillId="0" borderId="121" applyNumberFormat="0" applyFill="0" applyAlignment="0" applyProtection="0"/>
    <xf numFmtId="0" fontId="54" fillId="21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35" fillId="8" borderId="120" applyNumberFormat="0" applyAlignment="0" applyProtection="0"/>
    <xf numFmtId="0" fontId="37" fillId="21" borderId="120" applyNumberFormat="0" applyAlignment="0" applyProtection="0"/>
    <xf numFmtId="0" fontId="41" fillId="0" borderId="121" applyNumberFormat="0" applyFill="0" applyAlignment="0" applyProtection="0"/>
    <xf numFmtId="0" fontId="54" fillId="21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35" fillId="8" borderId="120" applyNumberFormat="0" applyAlignment="0" applyProtection="0"/>
    <xf numFmtId="0" fontId="37" fillId="21" borderId="120" applyNumberFormat="0" applyAlignment="0" applyProtection="0"/>
    <xf numFmtId="0" fontId="66" fillId="0" borderId="121" applyNumberFormat="0" applyFill="0" applyAlignment="0" applyProtection="0">
      <alignment vertical="center"/>
    </xf>
    <xf numFmtId="0" fontId="70" fillId="8" borderId="120" applyNumberFormat="0" applyAlignment="0" applyProtection="0"/>
    <xf numFmtId="0" fontId="72" fillId="21" borderId="120" applyNumberFormat="0" applyAlignment="0" applyProtection="0"/>
    <xf numFmtId="0" fontId="76" fillId="0" borderId="121" applyNumberFormat="0" applyFill="0" applyAlignment="0" applyProtection="0"/>
    <xf numFmtId="0" fontId="41" fillId="0" borderId="121" applyNumberFormat="0" applyFill="0" applyAlignment="0" applyProtection="0"/>
    <xf numFmtId="0" fontId="61" fillId="8" borderId="120" applyNumberFormat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35" fillId="8" borderId="120" applyNumberFormat="0" applyAlignment="0" applyProtection="0"/>
    <xf numFmtId="0" fontId="35" fillId="8" borderId="120" applyNumberFormat="0" applyAlignment="0" applyProtection="0"/>
    <xf numFmtId="0" fontId="37" fillId="21" borderId="120" applyNumberFormat="0" applyAlignment="0" applyProtection="0"/>
    <xf numFmtId="0" fontId="37" fillId="21" borderId="120" applyNumberFormat="0" applyAlignment="0" applyProtection="0"/>
    <xf numFmtId="0" fontId="41" fillId="0" borderId="121" applyNumberFormat="0" applyFill="0" applyAlignment="0" applyProtection="0"/>
    <xf numFmtId="0" fontId="41" fillId="0" borderId="121" applyNumberFormat="0" applyFill="0" applyAlignment="0" applyProtection="0"/>
    <xf numFmtId="0" fontId="41" fillId="0" borderId="121" applyNumberFormat="0" applyFill="0" applyAlignment="0" applyProtection="0"/>
    <xf numFmtId="0" fontId="37" fillId="21" borderId="120" applyNumberFormat="0" applyAlignment="0" applyProtection="0"/>
    <xf numFmtId="0" fontId="66" fillId="0" borderId="121" applyNumberFormat="0" applyFill="0" applyAlignment="0" applyProtection="0">
      <alignment vertical="center"/>
    </xf>
    <xf numFmtId="0" fontId="35" fillId="8" borderId="120" applyNumberFormat="0" applyAlignment="0" applyProtection="0"/>
    <xf numFmtId="0" fontId="35" fillId="8" borderId="120" applyNumberFormat="0" applyAlignment="0" applyProtection="0"/>
    <xf numFmtId="0" fontId="37" fillId="21" borderId="120" applyNumberFormat="0" applyAlignment="0" applyProtection="0"/>
    <xf numFmtId="0" fontId="41" fillId="0" borderId="121" applyNumberFormat="0" applyFill="0" applyAlignment="0" applyProtection="0"/>
    <xf numFmtId="0" fontId="54" fillId="21" borderId="120" applyNumberFormat="0" applyAlignment="0" applyProtection="0">
      <alignment vertical="center"/>
    </xf>
    <xf numFmtId="0" fontId="35" fillId="8" borderId="120" applyNumberFormat="0" applyAlignment="0" applyProtection="0"/>
    <xf numFmtId="0" fontId="41" fillId="0" borderId="121" applyNumberFormat="0" applyFill="0" applyAlignment="0" applyProtection="0"/>
    <xf numFmtId="0" fontId="35" fillId="8" borderId="120" applyNumberFormat="0" applyAlignment="0" applyProtection="0"/>
    <xf numFmtId="0" fontId="54" fillId="21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35" fillId="8" borderId="120" applyNumberFormat="0" applyAlignment="0" applyProtection="0"/>
    <xf numFmtId="0" fontId="37" fillId="21" borderId="120" applyNumberFormat="0" applyAlignment="0" applyProtection="0"/>
    <xf numFmtId="0" fontId="41" fillId="0" borderId="121" applyNumberFormat="0" applyFill="0" applyAlignment="0" applyProtection="0"/>
    <xf numFmtId="0" fontId="37" fillId="21" borderId="120" applyNumberFormat="0" applyAlignment="0" applyProtection="0"/>
    <xf numFmtId="0" fontId="66" fillId="0" borderId="121" applyNumberFormat="0" applyFill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35" fillId="8" borderId="120" applyNumberFormat="0" applyAlignment="0" applyProtection="0"/>
    <xf numFmtId="0" fontId="37" fillId="21" borderId="120" applyNumberFormat="0" applyAlignment="0" applyProtection="0"/>
    <xf numFmtId="0" fontId="41" fillId="0" borderId="121" applyNumberFormat="0" applyFill="0" applyAlignment="0" applyProtection="0"/>
    <xf numFmtId="0" fontId="54" fillId="21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35" fillId="8" borderId="120" applyNumberFormat="0" applyAlignment="0" applyProtection="0"/>
    <xf numFmtId="0" fontId="37" fillId="21" borderId="120" applyNumberFormat="0" applyAlignment="0" applyProtection="0"/>
    <xf numFmtId="0" fontId="66" fillId="0" borderId="121" applyNumberFormat="0" applyFill="0" applyAlignment="0" applyProtection="0">
      <alignment vertical="center"/>
    </xf>
    <xf numFmtId="0" fontId="70" fillId="8" borderId="120" applyNumberFormat="0" applyAlignment="0" applyProtection="0"/>
    <xf numFmtId="0" fontId="72" fillId="21" borderId="120" applyNumberFormat="0" applyAlignment="0" applyProtection="0"/>
    <xf numFmtId="0" fontId="37" fillId="21" borderId="120" applyNumberFormat="0" applyAlignment="0" applyProtection="0"/>
    <xf numFmtId="0" fontId="76" fillId="0" borderId="121" applyNumberFormat="0" applyFill="0" applyAlignment="0" applyProtection="0"/>
    <xf numFmtId="0" fontId="70" fillId="8" borderId="120" applyNumberFormat="0" applyAlignment="0" applyProtection="0"/>
    <xf numFmtId="0" fontId="76" fillId="0" borderId="121" applyNumberFormat="0" applyFill="0" applyAlignment="0" applyProtection="0"/>
    <xf numFmtId="0" fontId="41" fillId="0" borderId="121" applyNumberFormat="0" applyFill="0" applyAlignment="0" applyProtection="0"/>
    <xf numFmtId="0" fontId="61" fillId="8" borderId="120" applyNumberFormat="0" applyAlignment="0" applyProtection="0">
      <alignment vertical="center"/>
    </xf>
    <xf numFmtId="0" fontId="41" fillId="0" borderId="121" applyNumberFormat="0" applyFill="0" applyAlignment="0" applyProtection="0"/>
    <xf numFmtId="0" fontId="61" fillId="8" borderId="120" applyNumberFormat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35" fillId="8" borderId="120" applyNumberFormat="0" applyAlignment="0" applyProtection="0"/>
    <xf numFmtId="0" fontId="35" fillId="8" borderId="120" applyNumberFormat="0" applyAlignment="0" applyProtection="0"/>
    <xf numFmtId="0" fontId="37" fillId="21" borderId="120" applyNumberFormat="0" applyAlignment="0" applyProtection="0"/>
    <xf numFmtId="0" fontId="37" fillId="21" borderId="120" applyNumberFormat="0" applyAlignment="0" applyProtection="0"/>
    <xf numFmtId="0" fontId="41" fillId="0" borderId="121" applyNumberFormat="0" applyFill="0" applyAlignment="0" applyProtection="0"/>
    <xf numFmtId="0" fontId="41" fillId="0" borderId="121" applyNumberFormat="0" applyFill="0" applyAlignment="0" applyProtection="0"/>
    <xf numFmtId="0" fontId="61" fillId="8" borderId="120" applyNumberFormat="0" applyAlignment="0" applyProtection="0">
      <alignment vertical="center"/>
    </xf>
    <xf numFmtId="0" fontId="72" fillId="21" borderId="120" applyNumberFormat="0" applyAlignment="0" applyProtection="0"/>
    <xf numFmtId="0" fontId="37" fillId="21" borderId="120" applyNumberFormat="0" applyAlignment="0" applyProtection="0"/>
    <xf numFmtId="0" fontId="54" fillId="21" borderId="120" applyNumberFormat="0" applyAlignment="0" applyProtection="0">
      <alignment vertical="center"/>
    </xf>
    <xf numFmtId="0" fontId="41" fillId="0" borderId="121" applyNumberFormat="0" applyFill="0" applyAlignment="0" applyProtection="0"/>
    <xf numFmtId="0" fontId="61" fillId="8" borderId="120" applyNumberFormat="0" applyAlignment="0" applyProtection="0">
      <alignment vertical="center"/>
    </xf>
    <xf numFmtId="0" fontId="35" fillId="8" borderId="120" applyNumberFormat="0" applyAlignment="0" applyProtection="0"/>
    <xf numFmtId="0" fontId="35" fillId="8" borderId="120" applyNumberFormat="0" applyAlignment="0" applyProtection="0"/>
    <xf numFmtId="0" fontId="37" fillId="21" borderId="120" applyNumberFormat="0" applyAlignment="0" applyProtection="0"/>
    <xf numFmtId="0" fontId="41" fillId="0" borderId="121" applyNumberFormat="0" applyFill="0" applyAlignment="0" applyProtection="0"/>
    <xf numFmtId="0" fontId="54" fillId="21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35" fillId="8" borderId="120" applyNumberFormat="0" applyAlignment="0" applyProtection="0"/>
    <xf numFmtId="0" fontId="37" fillId="21" borderId="120" applyNumberFormat="0" applyAlignment="0" applyProtection="0"/>
    <xf numFmtId="0" fontId="41" fillId="0" borderId="121" applyNumberFormat="0" applyFill="0" applyAlignment="0" applyProtection="0"/>
    <xf numFmtId="0" fontId="54" fillId="21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35" fillId="8" borderId="120" applyNumberFormat="0" applyAlignment="0" applyProtection="0"/>
    <xf numFmtId="0" fontId="37" fillId="21" borderId="120" applyNumberFormat="0" applyAlignment="0" applyProtection="0"/>
    <xf numFmtId="0" fontId="66" fillId="0" borderId="121" applyNumberFormat="0" applyFill="0" applyAlignment="0" applyProtection="0">
      <alignment vertical="center"/>
    </xf>
    <xf numFmtId="0" fontId="70" fillId="8" borderId="120" applyNumberFormat="0" applyAlignment="0" applyProtection="0"/>
    <xf numFmtId="0" fontId="72" fillId="21" borderId="120" applyNumberFormat="0" applyAlignment="0" applyProtection="0"/>
    <xf numFmtId="0" fontId="76" fillId="0" borderId="121" applyNumberFormat="0" applyFill="0" applyAlignment="0" applyProtection="0"/>
    <xf numFmtId="0" fontId="41" fillId="0" borderId="121" applyNumberFormat="0" applyFill="0" applyAlignment="0" applyProtection="0"/>
    <xf numFmtId="0" fontId="61" fillId="8" borderId="120" applyNumberFormat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35" fillId="8" borderId="120" applyNumberFormat="0" applyAlignment="0" applyProtection="0"/>
    <xf numFmtId="0" fontId="35" fillId="8" borderId="120" applyNumberFormat="0" applyAlignment="0" applyProtection="0"/>
    <xf numFmtId="0" fontId="37" fillId="21" borderId="120" applyNumberFormat="0" applyAlignment="0" applyProtection="0"/>
    <xf numFmtId="0" fontId="37" fillId="21" borderId="120" applyNumberFormat="0" applyAlignment="0" applyProtection="0"/>
    <xf numFmtId="0" fontId="41" fillId="0" borderId="121" applyNumberFormat="0" applyFill="0" applyAlignment="0" applyProtection="0"/>
    <xf numFmtId="0" fontId="41" fillId="0" borderId="121" applyNumberFormat="0" applyFill="0" applyAlignment="0" applyProtection="0"/>
    <xf numFmtId="0" fontId="41" fillId="0" borderId="121" applyNumberFormat="0" applyFill="0" applyAlignment="0" applyProtection="0"/>
    <xf numFmtId="0" fontId="37" fillId="21" borderId="120" applyNumberFormat="0" applyAlignment="0" applyProtection="0"/>
    <xf numFmtId="0" fontId="66" fillId="0" borderId="121" applyNumberFormat="0" applyFill="0" applyAlignment="0" applyProtection="0">
      <alignment vertical="center"/>
    </xf>
    <xf numFmtId="0" fontId="35" fillId="8" borderId="120" applyNumberFormat="0" applyAlignment="0" applyProtection="0"/>
    <xf numFmtId="0" fontId="35" fillId="8" borderId="120" applyNumberFormat="0" applyAlignment="0" applyProtection="0"/>
    <xf numFmtId="0" fontId="37" fillId="21" borderId="120" applyNumberFormat="0" applyAlignment="0" applyProtection="0"/>
    <xf numFmtId="0" fontId="41" fillId="0" borderId="121" applyNumberFormat="0" applyFill="0" applyAlignment="0" applyProtection="0"/>
    <xf numFmtId="0" fontId="54" fillId="21" borderId="120" applyNumberFormat="0" applyAlignment="0" applyProtection="0">
      <alignment vertical="center"/>
    </xf>
    <xf numFmtId="0" fontId="35" fillId="8" borderId="120" applyNumberFormat="0" applyAlignment="0" applyProtection="0"/>
    <xf numFmtId="0" fontId="41" fillId="0" borderId="121" applyNumberFormat="0" applyFill="0" applyAlignment="0" applyProtection="0"/>
    <xf numFmtId="0" fontId="35" fillId="8" borderId="120" applyNumberFormat="0" applyAlignment="0" applyProtection="0"/>
    <xf numFmtId="0" fontId="54" fillId="21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35" fillId="8" borderId="120" applyNumberFormat="0" applyAlignment="0" applyProtection="0"/>
    <xf numFmtId="0" fontId="37" fillId="21" borderId="120" applyNumberFormat="0" applyAlignment="0" applyProtection="0"/>
    <xf numFmtId="0" fontId="41" fillId="0" borderId="121" applyNumberFormat="0" applyFill="0" applyAlignment="0" applyProtection="0"/>
    <xf numFmtId="0" fontId="37" fillId="21" borderId="120" applyNumberFormat="0" applyAlignment="0" applyProtection="0"/>
    <xf numFmtId="0" fontId="66" fillId="0" borderId="121" applyNumberFormat="0" applyFill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35" fillId="8" borderId="120" applyNumberFormat="0" applyAlignment="0" applyProtection="0"/>
    <xf numFmtId="0" fontId="37" fillId="21" borderId="120" applyNumberFormat="0" applyAlignment="0" applyProtection="0"/>
    <xf numFmtId="0" fontId="41" fillId="0" borderId="121" applyNumberFormat="0" applyFill="0" applyAlignment="0" applyProtection="0"/>
    <xf numFmtId="0" fontId="54" fillId="21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35" fillId="8" borderId="120" applyNumberFormat="0" applyAlignment="0" applyProtection="0"/>
    <xf numFmtId="0" fontId="37" fillId="21" borderId="120" applyNumberFormat="0" applyAlignment="0" applyProtection="0"/>
    <xf numFmtId="0" fontId="66" fillId="0" borderId="121" applyNumberFormat="0" applyFill="0" applyAlignment="0" applyProtection="0">
      <alignment vertical="center"/>
    </xf>
    <xf numFmtId="0" fontId="70" fillId="8" borderId="120" applyNumberFormat="0" applyAlignment="0" applyProtection="0"/>
    <xf numFmtId="0" fontId="72" fillId="21" borderId="120" applyNumberFormat="0" applyAlignment="0" applyProtection="0"/>
    <xf numFmtId="0" fontId="37" fillId="21" borderId="120" applyNumberFormat="0" applyAlignment="0" applyProtection="0"/>
    <xf numFmtId="0" fontId="76" fillId="0" borderId="121" applyNumberFormat="0" applyFill="0" applyAlignment="0" applyProtection="0"/>
    <xf numFmtId="0" fontId="70" fillId="8" borderId="120" applyNumberFormat="0" applyAlignment="0" applyProtection="0"/>
    <xf numFmtId="0" fontId="76" fillId="0" borderId="121" applyNumberFormat="0" applyFill="0" applyAlignment="0" applyProtection="0"/>
    <xf numFmtId="0" fontId="41" fillId="0" borderId="121" applyNumberFormat="0" applyFill="0" applyAlignment="0" applyProtection="0"/>
    <xf numFmtId="0" fontId="61" fillId="8" borderId="120" applyNumberFormat="0" applyAlignment="0" applyProtection="0">
      <alignment vertical="center"/>
    </xf>
    <xf numFmtId="0" fontId="41" fillId="0" borderId="121" applyNumberFormat="0" applyFill="0" applyAlignment="0" applyProtection="0"/>
    <xf numFmtId="0" fontId="61" fillId="8" borderId="120" applyNumberFormat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54" fillId="21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1" fillId="8" borderId="120" applyNumberFormat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66" fillId="0" borderId="121" applyNumberFormat="0" applyFill="0" applyAlignment="0" applyProtection="0">
      <alignment vertical="center"/>
    </xf>
    <xf numFmtId="0" fontId="35" fillId="8" borderId="120" applyNumberFormat="0" applyAlignment="0" applyProtection="0"/>
    <xf numFmtId="0" fontId="35" fillId="8" borderId="120" applyNumberFormat="0" applyAlignment="0" applyProtection="0"/>
    <xf numFmtId="0" fontId="37" fillId="21" borderId="120" applyNumberFormat="0" applyAlignment="0" applyProtection="0"/>
    <xf numFmtId="0" fontId="37" fillId="21" borderId="120" applyNumberFormat="0" applyAlignment="0" applyProtection="0"/>
    <xf numFmtId="0" fontId="41" fillId="0" borderId="121" applyNumberFormat="0" applyFill="0" applyAlignment="0" applyProtection="0"/>
    <xf numFmtId="0" fontId="41" fillId="0" borderId="121" applyNumberFormat="0" applyFill="0" applyAlignment="0" applyProtection="0"/>
    <xf numFmtId="0" fontId="61" fillId="8" borderId="120" applyNumberFormat="0" applyAlignment="0" applyProtection="0">
      <alignment vertical="center"/>
    </xf>
    <xf numFmtId="0" fontId="72" fillId="21" borderId="120" applyNumberFormat="0" applyAlignment="0" applyProtection="0"/>
    <xf numFmtId="0" fontId="37" fillId="21" borderId="120" applyNumberFormat="0" applyAlignment="0" applyProtection="0"/>
    <xf numFmtId="0" fontId="54" fillId="21" borderId="120" applyNumberFormat="0" applyAlignment="0" applyProtection="0">
      <alignment vertical="center"/>
    </xf>
    <xf numFmtId="0" fontId="41" fillId="0" borderId="121" applyNumberFormat="0" applyFill="0" applyAlignment="0" applyProtection="0"/>
    <xf numFmtId="0" fontId="61" fillId="8" borderId="120" applyNumberFormat="0" applyAlignment="0" applyProtection="0">
      <alignment vertical="center"/>
    </xf>
    <xf numFmtId="0" fontId="35" fillId="8" borderId="120" applyNumberFormat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7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1" fillId="24" borderId="118" applyNumberFormat="0" applyFont="0" applyAlignment="0" applyProtection="0"/>
    <xf numFmtId="0" fontId="1" fillId="24" borderId="118" applyNumberFormat="0" applyFont="0" applyAlignment="0" applyProtection="0"/>
    <xf numFmtId="0" fontId="1" fillId="24" borderId="118" applyNumberFormat="0" applyFont="0" applyAlignment="0" applyProtection="0"/>
    <xf numFmtId="0" fontId="7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7" fillId="24" borderId="118" applyNumberFormat="0" applyFont="0" applyAlignment="0" applyProtection="0"/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1" fillId="24" borderId="118" applyNumberFormat="0" applyFont="0" applyAlignment="0" applyProtection="0"/>
    <xf numFmtId="0" fontId="1" fillId="24" borderId="118" applyNumberFormat="0" applyFont="0" applyAlignment="0" applyProtection="0"/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7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1" fillId="24" borderId="118" applyNumberFormat="0" applyFont="0" applyAlignment="0" applyProtection="0"/>
    <xf numFmtId="0" fontId="1" fillId="24" borderId="118" applyNumberFormat="0" applyFont="0" applyAlignment="0" applyProtection="0"/>
    <xf numFmtId="0" fontId="1" fillId="24" borderId="118" applyNumberFormat="0" applyFont="0" applyAlignment="0" applyProtection="0"/>
    <xf numFmtId="0" fontId="7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7" fillId="24" borderId="118" applyNumberFormat="0" applyFont="0" applyAlignment="0" applyProtection="0"/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1" fillId="24" borderId="118" applyNumberFormat="0" applyFont="0" applyAlignment="0" applyProtection="0"/>
    <xf numFmtId="0" fontId="1" fillId="24" borderId="118" applyNumberFormat="0" applyFont="0" applyAlignment="0" applyProtection="0"/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7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1" fillId="24" borderId="118" applyNumberFormat="0" applyFont="0" applyAlignment="0" applyProtection="0"/>
    <xf numFmtId="0" fontId="1" fillId="24" borderId="118" applyNumberFormat="0" applyFont="0" applyAlignment="0" applyProtection="0"/>
    <xf numFmtId="0" fontId="1" fillId="24" borderId="118" applyNumberFormat="0" applyFont="0" applyAlignment="0" applyProtection="0"/>
    <xf numFmtId="0" fontId="7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7" fillId="24" borderId="118" applyNumberFormat="0" applyFont="0" applyAlignment="0" applyProtection="0"/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1" fillId="24" borderId="118" applyNumberFormat="0" applyFont="0" applyAlignment="0" applyProtection="0"/>
    <xf numFmtId="0" fontId="1" fillId="24" borderId="118" applyNumberFormat="0" applyFont="0" applyAlignment="0" applyProtection="0"/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7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1" fillId="24" borderId="118" applyNumberFormat="0" applyFont="0" applyAlignment="0" applyProtection="0"/>
    <xf numFmtId="0" fontId="1" fillId="24" borderId="118" applyNumberFormat="0" applyFont="0" applyAlignment="0" applyProtection="0"/>
    <xf numFmtId="0" fontId="1" fillId="24" borderId="118" applyNumberFormat="0" applyFont="0" applyAlignment="0" applyProtection="0"/>
    <xf numFmtId="0" fontId="7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7" fillId="24" borderId="118" applyNumberFormat="0" applyFont="0" applyAlignment="0" applyProtection="0"/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0" fontId="51" fillId="24" borderId="118" applyNumberFormat="0" applyFont="0" applyAlignment="0" applyProtection="0">
      <alignment vertical="center"/>
    </xf>
    <xf numFmtId="0" fontId="1" fillId="24" borderId="118" applyNumberFormat="0" applyFont="0" applyAlignment="0" applyProtection="0"/>
    <xf numFmtId="0" fontId="1" fillId="24" borderId="118" applyNumberFormat="0" applyFont="0" applyAlignment="0" applyProtection="0"/>
    <xf numFmtId="0" fontId="1" fillId="24" borderId="118" applyNumberFormat="0" applyFont="0" applyAlignment="0" applyProtection="0"/>
    <xf numFmtId="0" fontId="1" fillId="24" borderId="118" applyNumberFormat="0" applyFont="0" applyAlignment="0" applyProtection="0"/>
    <xf numFmtId="0" fontId="51" fillId="24" borderId="118" applyNumberFormat="0" applyFont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70" fillId="8" borderId="124" applyNumberFormat="0" applyAlignment="0" applyProtection="0"/>
    <xf numFmtId="0" fontId="71" fillId="21" borderId="125" applyNumberFormat="0" applyAlignment="0" applyProtection="0"/>
    <xf numFmtId="0" fontId="72" fillId="21" borderId="124" applyNumberFormat="0" applyAlignment="0" applyProtection="0"/>
    <xf numFmtId="0" fontId="76" fillId="0" borderId="126" applyNumberFormat="0" applyFill="0" applyAlignment="0" applyProtection="0"/>
    <xf numFmtId="0" fontId="7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71" fillId="21" borderId="125" applyNumberFormat="0" applyAlignment="0" applyProtection="0"/>
    <xf numFmtId="0" fontId="41" fillId="0" borderId="126" applyNumberFormat="0" applyFill="0" applyAlignment="0" applyProtection="0"/>
    <xf numFmtId="0" fontId="37" fillId="21" borderId="124" applyNumberFormat="0" applyAlignment="0" applyProtection="0"/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41" fillId="0" borderId="126" applyNumberFormat="0" applyFill="0" applyAlignment="0" applyProtection="0"/>
    <xf numFmtId="0" fontId="7" fillId="24" borderId="127" applyNumberFormat="0" applyFont="0" applyAlignment="0" applyProtection="0"/>
    <xf numFmtId="0" fontId="64" fillId="21" borderId="125" applyNumberFormat="0" applyAlignment="0" applyProtection="0">
      <alignment vertical="center"/>
    </xf>
    <xf numFmtId="0" fontId="35" fillId="8" borderId="124" applyNumberForma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64" fillId="21" borderId="125" applyNumberFormat="0" applyAlignment="0" applyProtection="0">
      <alignment vertical="center"/>
    </xf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66" fillId="0" borderId="126" applyNumberFormat="0" applyFill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36" fillId="21" borderId="125" applyNumberFormat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36" fillId="21" borderId="125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70" fillId="8" borderId="124" applyNumberFormat="0" applyAlignment="0" applyProtection="0"/>
    <xf numFmtId="0" fontId="71" fillId="21" borderId="125" applyNumberFormat="0" applyAlignment="0" applyProtection="0"/>
    <xf numFmtId="0" fontId="72" fillId="21" borderId="124" applyNumberFormat="0" applyAlignment="0" applyProtection="0"/>
    <xf numFmtId="0" fontId="37" fillId="21" borderId="124" applyNumberFormat="0" applyAlignment="0" applyProtection="0"/>
    <xf numFmtId="0" fontId="76" fillId="0" borderId="126" applyNumberFormat="0" applyFill="0" applyAlignment="0" applyProtection="0"/>
    <xf numFmtId="0" fontId="70" fillId="8" borderId="124" applyNumberFormat="0" applyAlignment="0" applyProtection="0"/>
    <xf numFmtId="0" fontId="76" fillId="0" borderId="126" applyNumberFormat="0" applyFill="0" applyAlignment="0" applyProtection="0"/>
    <xf numFmtId="0" fontId="7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36" fillId="21" borderId="125" applyNumberFormat="0" applyAlignment="0" applyProtection="0"/>
    <xf numFmtId="0" fontId="1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61" fillId="8" borderId="124" applyNumberFormat="0" applyAlignment="0" applyProtection="0">
      <alignment vertical="center"/>
    </xf>
    <xf numFmtId="0" fontId="72" fillId="21" borderId="124" applyNumberFormat="0" applyAlignment="0" applyProtection="0"/>
    <xf numFmtId="0" fontId="37" fillId="21" borderId="124" applyNumberFormat="0" applyAlignment="0" applyProtection="0"/>
    <xf numFmtId="0" fontId="54" fillId="21" borderId="124" applyNumberFormat="0" applyAlignment="0" applyProtection="0">
      <alignment vertical="center"/>
    </xf>
    <xf numFmtId="0" fontId="41" fillId="0" borderId="126" applyNumberFormat="0" applyFill="0" applyAlignment="0" applyProtection="0"/>
    <xf numFmtId="0" fontId="36" fillId="21" borderId="125" applyNumberFormat="0" applyAlignment="0" applyProtection="0"/>
    <xf numFmtId="0" fontId="1" fillId="24" borderId="127" applyNumberFormat="0" applyFont="0" applyAlignment="0" applyProtection="0"/>
    <xf numFmtId="0" fontId="61" fillId="8" borderId="124" applyNumberFormat="0" applyAlignment="0" applyProtection="0">
      <alignment vertical="center"/>
    </xf>
    <xf numFmtId="0" fontId="1" fillId="24" borderId="127" applyNumberFormat="0" applyFont="0" applyAlignment="0" applyProtection="0"/>
    <xf numFmtId="0" fontId="36" fillId="21" borderId="125" applyNumberFormat="0" applyAlignment="0" applyProtection="0"/>
    <xf numFmtId="0" fontId="51" fillId="24" borderId="127" applyNumberFormat="0" applyFont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70" fillId="8" borderId="124" applyNumberFormat="0" applyAlignment="0" applyProtection="0"/>
    <xf numFmtId="0" fontId="71" fillId="21" borderId="125" applyNumberFormat="0" applyAlignment="0" applyProtection="0"/>
    <xf numFmtId="0" fontId="72" fillId="21" borderId="124" applyNumberFormat="0" applyAlignment="0" applyProtection="0"/>
    <xf numFmtId="0" fontId="76" fillId="0" borderId="126" applyNumberFormat="0" applyFill="0" applyAlignment="0" applyProtection="0"/>
    <xf numFmtId="0" fontId="7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41" fillId="0" borderId="126" applyNumberFormat="0" applyFill="0" applyAlignment="0" applyProtection="0"/>
    <xf numFmtId="0" fontId="37" fillId="21" borderId="124" applyNumberFormat="0" applyAlignment="0" applyProtection="0"/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41" fillId="0" borderId="126" applyNumberFormat="0" applyFill="0" applyAlignment="0" applyProtection="0"/>
    <xf numFmtId="0" fontId="7" fillId="24" borderId="127" applyNumberFormat="0" applyFont="0" applyAlignment="0" applyProtection="0"/>
    <xf numFmtId="0" fontId="35" fillId="8" borderId="124" applyNumberForma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66" fillId="0" borderId="126" applyNumberFormat="0" applyFill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70" fillId="8" borderId="124" applyNumberFormat="0" applyAlignment="0" applyProtection="0"/>
    <xf numFmtId="0" fontId="71" fillId="21" borderId="125" applyNumberFormat="0" applyAlignment="0" applyProtection="0"/>
    <xf numFmtId="0" fontId="72" fillId="21" borderId="124" applyNumberFormat="0" applyAlignment="0" applyProtection="0"/>
    <xf numFmtId="0" fontId="37" fillId="21" borderId="124" applyNumberFormat="0" applyAlignment="0" applyProtection="0"/>
    <xf numFmtId="0" fontId="76" fillId="0" borderId="126" applyNumberFormat="0" applyFill="0" applyAlignment="0" applyProtection="0"/>
    <xf numFmtId="0" fontId="70" fillId="8" borderId="124" applyNumberFormat="0" applyAlignment="0" applyProtection="0"/>
    <xf numFmtId="0" fontId="76" fillId="0" borderId="126" applyNumberFormat="0" applyFill="0" applyAlignment="0" applyProtection="0"/>
    <xf numFmtId="0" fontId="7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1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61" fillId="8" borderId="124" applyNumberFormat="0" applyAlignment="0" applyProtection="0">
      <alignment vertical="center"/>
    </xf>
    <xf numFmtId="0" fontId="72" fillId="21" borderId="124" applyNumberFormat="0" applyAlignment="0" applyProtection="0"/>
    <xf numFmtId="0" fontId="37" fillId="21" borderId="124" applyNumberFormat="0" applyAlignment="0" applyProtection="0"/>
    <xf numFmtId="0" fontId="54" fillId="21" borderId="124" applyNumberFormat="0" applyAlignment="0" applyProtection="0">
      <alignment vertical="center"/>
    </xf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61" fillId="8" borderId="124" applyNumberForma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35" fillId="8" borderId="124" applyNumberFormat="0" applyAlignment="0" applyProtection="0"/>
    <xf numFmtId="4" fontId="86" fillId="27" borderId="128" applyNumberFormat="0" applyProtection="0">
      <alignment vertical="center"/>
    </xf>
    <xf numFmtId="0" fontId="2" fillId="28" borderId="128" applyNumberFormat="0" applyProtection="0">
      <alignment horizontal="left" vertical="top" indent="1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70" fillId="8" borderId="124" applyNumberFormat="0" applyAlignment="0" applyProtection="0"/>
    <xf numFmtId="0" fontId="71" fillId="21" borderId="125" applyNumberFormat="0" applyAlignment="0" applyProtection="0"/>
    <xf numFmtId="0" fontId="72" fillId="21" borderId="124" applyNumberFormat="0" applyAlignment="0" applyProtection="0"/>
    <xf numFmtId="0" fontId="76" fillId="0" borderId="126" applyNumberFormat="0" applyFill="0" applyAlignment="0" applyProtection="0"/>
    <xf numFmtId="0" fontId="7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71" fillId="21" borderId="125" applyNumberFormat="0" applyAlignment="0" applyProtection="0"/>
    <xf numFmtId="0" fontId="41" fillId="0" borderId="126" applyNumberFormat="0" applyFill="0" applyAlignment="0" applyProtection="0"/>
    <xf numFmtId="0" fontId="37" fillId="21" borderId="124" applyNumberFormat="0" applyAlignment="0" applyProtection="0"/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41" fillId="0" borderId="126" applyNumberFormat="0" applyFill="0" applyAlignment="0" applyProtection="0"/>
    <xf numFmtId="0" fontId="7" fillId="24" borderId="127" applyNumberFormat="0" applyFont="0" applyAlignment="0" applyProtection="0"/>
    <xf numFmtId="0" fontId="64" fillId="21" borderId="125" applyNumberFormat="0" applyAlignment="0" applyProtection="0">
      <alignment vertical="center"/>
    </xf>
    <xf numFmtId="0" fontId="35" fillId="8" borderId="124" applyNumberForma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64" fillId="21" borderId="125" applyNumberFormat="0" applyAlignment="0" applyProtection="0">
      <alignment vertical="center"/>
    </xf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66" fillId="0" borderId="126" applyNumberFormat="0" applyFill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36" fillId="21" borderId="125" applyNumberFormat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36" fillId="21" borderId="125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70" fillId="8" borderId="124" applyNumberFormat="0" applyAlignment="0" applyProtection="0"/>
    <xf numFmtId="0" fontId="71" fillId="21" borderId="125" applyNumberFormat="0" applyAlignment="0" applyProtection="0"/>
    <xf numFmtId="0" fontId="72" fillId="21" borderId="124" applyNumberFormat="0" applyAlignment="0" applyProtection="0"/>
    <xf numFmtId="0" fontId="37" fillId="21" borderId="124" applyNumberFormat="0" applyAlignment="0" applyProtection="0"/>
    <xf numFmtId="0" fontId="76" fillId="0" borderId="126" applyNumberFormat="0" applyFill="0" applyAlignment="0" applyProtection="0"/>
    <xf numFmtId="0" fontId="70" fillId="8" borderId="124" applyNumberFormat="0" applyAlignment="0" applyProtection="0"/>
    <xf numFmtId="0" fontId="76" fillId="0" borderId="126" applyNumberFormat="0" applyFill="0" applyAlignment="0" applyProtection="0"/>
    <xf numFmtId="0" fontId="7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36" fillId="21" borderId="125" applyNumberFormat="0" applyAlignment="0" applyProtection="0"/>
    <xf numFmtId="0" fontId="1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61" fillId="8" borderId="124" applyNumberFormat="0" applyAlignment="0" applyProtection="0">
      <alignment vertical="center"/>
    </xf>
    <xf numFmtId="0" fontId="72" fillId="21" borderId="124" applyNumberFormat="0" applyAlignment="0" applyProtection="0"/>
    <xf numFmtId="0" fontId="37" fillId="21" borderId="124" applyNumberFormat="0" applyAlignment="0" applyProtection="0"/>
    <xf numFmtId="0" fontId="54" fillId="21" borderId="124" applyNumberFormat="0" applyAlignment="0" applyProtection="0">
      <alignment vertical="center"/>
    </xf>
    <xf numFmtId="0" fontId="41" fillId="0" borderId="126" applyNumberFormat="0" applyFill="0" applyAlignment="0" applyProtection="0"/>
    <xf numFmtId="0" fontId="36" fillId="21" borderId="125" applyNumberFormat="0" applyAlignment="0" applyProtection="0"/>
    <xf numFmtId="0" fontId="1" fillId="24" borderId="127" applyNumberFormat="0" applyFont="0" applyAlignment="0" applyProtection="0"/>
    <xf numFmtId="0" fontId="61" fillId="8" borderId="124" applyNumberFormat="0" applyAlignment="0" applyProtection="0">
      <alignment vertical="center"/>
    </xf>
    <xf numFmtId="0" fontId="1" fillId="24" borderId="127" applyNumberFormat="0" applyFont="0" applyAlignment="0" applyProtection="0"/>
    <xf numFmtId="0" fontId="36" fillId="21" borderId="125" applyNumberFormat="0" applyAlignment="0" applyProtection="0"/>
    <xf numFmtId="0" fontId="51" fillId="24" borderId="127" applyNumberFormat="0" applyFont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70" fillId="8" borderId="124" applyNumberFormat="0" applyAlignment="0" applyProtection="0"/>
    <xf numFmtId="0" fontId="71" fillId="21" borderId="125" applyNumberFormat="0" applyAlignment="0" applyProtection="0"/>
    <xf numFmtId="0" fontId="72" fillId="21" borderId="124" applyNumberFormat="0" applyAlignment="0" applyProtection="0"/>
    <xf numFmtId="0" fontId="76" fillId="0" borderId="126" applyNumberFormat="0" applyFill="0" applyAlignment="0" applyProtection="0"/>
    <xf numFmtId="0" fontId="7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41" fillId="0" borderId="126" applyNumberFormat="0" applyFill="0" applyAlignment="0" applyProtection="0"/>
    <xf numFmtId="0" fontId="37" fillId="21" borderId="124" applyNumberFormat="0" applyAlignment="0" applyProtection="0"/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41" fillId="0" borderId="126" applyNumberFormat="0" applyFill="0" applyAlignment="0" applyProtection="0"/>
    <xf numFmtId="0" fontId="7" fillId="24" borderId="127" applyNumberFormat="0" applyFont="0" applyAlignment="0" applyProtection="0"/>
    <xf numFmtId="0" fontId="35" fillId="8" borderId="124" applyNumberForma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66" fillId="0" borderId="126" applyNumberFormat="0" applyFill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70" fillId="8" borderId="124" applyNumberFormat="0" applyAlignment="0" applyProtection="0"/>
    <xf numFmtId="0" fontId="71" fillId="21" borderId="125" applyNumberFormat="0" applyAlignment="0" applyProtection="0"/>
    <xf numFmtId="0" fontId="72" fillId="21" borderId="124" applyNumberFormat="0" applyAlignment="0" applyProtection="0"/>
    <xf numFmtId="0" fontId="37" fillId="21" borderId="124" applyNumberFormat="0" applyAlignment="0" applyProtection="0"/>
    <xf numFmtId="0" fontId="76" fillId="0" borderId="126" applyNumberFormat="0" applyFill="0" applyAlignment="0" applyProtection="0"/>
    <xf numFmtId="0" fontId="70" fillId="8" borderId="124" applyNumberFormat="0" applyAlignment="0" applyProtection="0"/>
    <xf numFmtId="0" fontId="76" fillId="0" borderId="126" applyNumberFormat="0" applyFill="0" applyAlignment="0" applyProtection="0"/>
    <xf numFmtId="0" fontId="7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1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61" fillId="8" borderId="124" applyNumberFormat="0" applyAlignment="0" applyProtection="0">
      <alignment vertical="center"/>
    </xf>
    <xf numFmtId="0" fontId="72" fillId="21" borderId="124" applyNumberFormat="0" applyAlignment="0" applyProtection="0"/>
    <xf numFmtId="0" fontId="37" fillId="21" borderId="124" applyNumberFormat="0" applyAlignment="0" applyProtection="0"/>
    <xf numFmtId="0" fontId="54" fillId="21" borderId="124" applyNumberFormat="0" applyAlignment="0" applyProtection="0">
      <alignment vertical="center"/>
    </xf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61" fillId="8" borderId="124" applyNumberForma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35" fillId="8" borderId="124" applyNumberFormat="0" applyAlignment="0" applyProtection="0"/>
    <xf numFmtId="4" fontId="86" fillId="27" borderId="128" applyNumberFormat="0" applyProtection="0">
      <alignment vertical="center"/>
    </xf>
    <xf numFmtId="0" fontId="2" fillId="28" borderId="128" applyNumberFormat="0" applyProtection="0">
      <alignment horizontal="left" vertical="top" indent="1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7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7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7" fillId="24" borderId="127" applyNumberFormat="0" applyFont="0" applyAlignment="0" applyProtection="0"/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7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7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7" fillId="24" borderId="127" applyNumberFormat="0" applyFont="0" applyAlignment="0" applyProtection="0"/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7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7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7" fillId="24" borderId="127" applyNumberFormat="0" applyFont="0" applyAlignment="0" applyProtection="0"/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7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7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7" fillId="24" borderId="127" applyNumberFormat="0" applyFont="0" applyAlignment="0" applyProtection="0"/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44" fontId="3" fillId="0" borderId="0" applyFont="0" applyFill="0" applyBorder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70" fillId="8" borderId="124" applyNumberFormat="0" applyAlignment="0" applyProtection="0"/>
    <xf numFmtId="0" fontId="71" fillId="21" borderId="125" applyNumberFormat="0" applyAlignment="0" applyProtection="0"/>
    <xf numFmtId="0" fontId="72" fillId="21" borderId="124" applyNumberFormat="0" applyAlignment="0" applyProtection="0"/>
    <xf numFmtId="0" fontId="76" fillId="0" borderId="126" applyNumberFormat="0" applyFill="0" applyAlignment="0" applyProtection="0"/>
    <xf numFmtId="0" fontId="7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71" fillId="21" borderId="125" applyNumberFormat="0" applyAlignment="0" applyProtection="0"/>
    <xf numFmtId="0" fontId="41" fillId="0" borderId="126" applyNumberFormat="0" applyFill="0" applyAlignment="0" applyProtection="0"/>
    <xf numFmtId="0" fontId="37" fillId="21" borderId="124" applyNumberFormat="0" applyAlignment="0" applyProtection="0"/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41" fillId="0" borderId="126" applyNumberFormat="0" applyFill="0" applyAlignment="0" applyProtection="0"/>
    <xf numFmtId="0" fontId="7" fillId="24" borderId="127" applyNumberFormat="0" applyFont="0" applyAlignment="0" applyProtection="0"/>
    <xf numFmtId="0" fontId="64" fillId="21" borderId="125" applyNumberFormat="0" applyAlignment="0" applyProtection="0">
      <alignment vertical="center"/>
    </xf>
    <xf numFmtId="0" fontId="35" fillId="8" borderId="124" applyNumberForma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64" fillId="21" borderId="125" applyNumberFormat="0" applyAlignment="0" applyProtection="0">
      <alignment vertical="center"/>
    </xf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66" fillId="0" borderId="126" applyNumberFormat="0" applyFill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36" fillId="21" borderId="125" applyNumberFormat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36" fillId="21" borderId="125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70" fillId="8" borderId="124" applyNumberFormat="0" applyAlignment="0" applyProtection="0"/>
    <xf numFmtId="0" fontId="71" fillId="21" borderId="125" applyNumberFormat="0" applyAlignment="0" applyProtection="0"/>
    <xf numFmtId="0" fontId="72" fillId="21" borderId="124" applyNumberFormat="0" applyAlignment="0" applyProtection="0"/>
    <xf numFmtId="0" fontId="37" fillId="21" borderId="124" applyNumberFormat="0" applyAlignment="0" applyProtection="0"/>
    <xf numFmtId="0" fontId="76" fillId="0" borderId="126" applyNumberFormat="0" applyFill="0" applyAlignment="0" applyProtection="0"/>
    <xf numFmtId="0" fontId="70" fillId="8" borderId="124" applyNumberFormat="0" applyAlignment="0" applyProtection="0"/>
    <xf numFmtId="0" fontId="76" fillId="0" borderId="126" applyNumberFormat="0" applyFill="0" applyAlignment="0" applyProtection="0"/>
    <xf numFmtId="0" fontId="7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36" fillId="21" borderId="125" applyNumberFormat="0" applyAlignment="0" applyProtection="0"/>
    <xf numFmtId="0" fontId="1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61" fillId="8" borderId="124" applyNumberFormat="0" applyAlignment="0" applyProtection="0">
      <alignment vertical="center"/>
    </xf>
    <xf numFmtId="0" fontId="72" fillId="21" borderId="124" applyNumberFormat="0" applyAlignment="0" applyProtection="0"/>
    <xf numFmtId="0" fontId="37" fillId="21" borderId="124" applyNumberFormat="0" applyAlignment="0" applyProtection="0"/>
    <xf numFmtId="0" fontId="54" fillId="21" borderId="124" applyNumberFormat="0" applyAlignment="0" applyProtection="0">
      <alignment vertical="center"/>
    </xf>
    <xf numFmtId="0" fontId="41" fillId="0" borderId="126" applyNumberFormat="0" applyFill="0" applyAlignment="0" applyProtection="0"/>
    <xf numFmtId="0" fontId="36" fillId="21" borderId="125" applyNumberFormat="0" applyAlignment="0" applyProtection="0"/>
    <xf numFmtId="0" fontId="1" fillId="24" borderId="127" applyNumberFormat="0" applyFont="0" applyAlignment="0" applyProtection="0"/>
    <xf numFmtId="0" fontId="61" fillId="8" borderId="124" applyNumberFormat="0" applyAlignment="0" applyProtection="0">
      <alignment vertical="center"/>
    </xf>
    <xf numFmtId="0" fontId="1" fillId="24" borderId="127" applyNumberFormat="0" applyFont="0" applyAlignment="0" applyProtection="0"/>
    <xf numFmtId="0" fontId="36" fillId="21" borderId="125" applyNumberFormat="0" applyAlignment="0" applyProtection="0"/>
    <xf numFmtId="0" fontId="51" fillId="24" borderId="127" applyNumberFormat="0" applyFont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70" fillId="8" borderId="124" applyNumberFormat="0" applyAlignment="0" applyProtection="0"/>
    <xf numFmtId="0" fontId="71" fillId="21" borderId="125" applyNumberFormat="0" applyAlignment="0" applyProtection="0"/>
    <xf numFmtId="0" fontId="72" fillId="21" borderId="124" applyNumberFormat="0" applyAlignment="0" applyProtection="0"/>
    <xf numFmtId="0" fontId="76" fillId="0" borderId="126" applyNumberFormat="0" applyFill="0" applyAlignment="0" applyProtection="0"/>
    <xf numFmtId="0" fontId="7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41" fillId="0" borderId="126" applyNumberFormat="0" applyFill="0" applyAlignment="0" applyProtection="0"/>
    <xf numFmtId="0" fontId="37" fillId="21" borderId="124" applyNumberFormat="0" applyAlignment="0" applyProtection="0"/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41" fillId="0" borderId="126" applyNumberFormat="0" applyFill="0" applyAlignment="0" applyProtection="0"/>
    <xf numFmtId="0" fontId="7" fillId="24" borderId="127" applyNumberFormat="0" applyFont="0" applyAlignment="0" applyProtection="0"/>
    <xf numFmtId="0" fontId="35" fillId="8" borderId="124" applyNumberForma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66" fillId="0" borderId="126" applyNumberFormat="0" applyFill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70" fillId="8" borderId="124" applyNumberFormat="0" applyAlignment="0" applyProtection="0"/>
    <xf numFmtId="0" fontId="71" fillId="21" borderId="125" applyNumberFormat="0" applyAlignment="0" applyProtection="0"/>
    <xf numFmtId="0" fontId="72" fillId="21" borderId="124" applyNumberFormat="0" applyAlignment="0" applyProtection="0"/>
    <xf numFmtId="0" fontId="37" fillId="21" borderId="124" applyNumberFormat="0" applyAlignment="0" applyProtection="0"/>
    <xf numFmtId="0" fontId="76" fillId="0" borderId="126" applyNumberFormat="0" applyFill="0" applyAlignment="0" applyProtection="0"/>
    <xf numFmtId="0" fontId="70" fillId="8" borderId="124" applyNumberFormat="0" applyAlignment="0" applyProtection="0"/>
    <xf numFmtId="0" fontId="76" fillId="0" borderId="126" applyNumberFormat="0" applyFill="0" applyAlignment="0" applyProtection="0"/>
    <xf numFmtId="0" fontId="7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1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61" fillId="8" borderId="124" applyNumberFormat="0" applyAlignment="0" applyProtection="0">
      <alignment vertical="center"/>
    </xf>
    <xf numFmtId="0" fontId="72" fillId="21" borderId="124" applyNumberFormat="0" applyAlignment="0" applyProtection="0"/>
    <xf numFmtId="0" fontId="37" fillId="21" borderId="124" applyNumberFormat="0" applyAlignment="0" applyProtection="0"/>
    <xf numFmtId="0" fontId="54" fillId="21" borderId="124" applyNumberFormat="0" applyAlignment="0" applyProtection="0">
      <alignment vertical="center"/>
    </xf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61" fillId="8" borderId="124" applyNumberForma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35" fillId="8" borderId="124" applyNumberFormat="0" applyAlignment="0" applyProtection="0"/>
    <xf numFmtId="4" fontId="86" fillId="27" borderId="128" applyNumberFormat="0" applyProtection="0">
      <alignment vertical="center"/>
    </xf>
    <xf numFmtId="0" fontId="2" fillId="28" borderId="128" applyNumberFormat="0" applyProtection="0">
      <alignment horizontal="left" vertical="top" indent="1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70" fillId="8" borderId="124" applyNumberFormat="0" applyAlignment="0" applyProtection="0"/>
    <xf numFmtId="0" fontId="71" fillId="21" borderId="125" applyNumberFormat="0" applyAlignment="0" applyProtection="0"/>
    <xf numFmtId="0" fontId="72" fillId="21" borderId="124" applyNumberFormat="0" applyAlignment="0" applyProtection="0"/>
    <xf numFmtId="0" fontId="76" fillId="0" borderId="126" applyNumberFormat="0" applyFill="0" applyAlignment="0" applyProtection="0"/>
    <xf numFmtId="0" fontId="7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71" fillId="21" borderId="125" applyNumberFormat="0" applyAlignment="0" applyProtection="0"/>
    <xf numFmtId="0" fontId="41" fillId="0" borderId="126" applyNumberFormat="0" applyFill="0" applyAlignment="0" applyProtection="0"/>
    <xf numFmtId="0" fontId="37" fillId="21" borderId="124" applyNumberFormat="0" applyAlignment="0" applyProtection="0"/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41" fillId="0" borderId="126" applyNumberFormat="0" applyFill="0" applyAlignment="0" applyProtection="0"/>
    <xf numFmtId="0" fontId="7" fillId="24" borderId="127" applyNumberFormat="0" applyFont="0" applyAlignment="0" applyProtection="0"/>
    <xf numFmtId="0" fontId="64" fillId="21" borderId="125" applyNumberFormat="0" applyAlignment="0" applyProtection="0">
      <alignment vertical="center"/>
    </xf>
    <xf numFmtId="0" fontId="35" fillId="8" borderId="124" applyNumberForma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64" fillId="21" borderId="125" applyNumberFormat="0" applyAlignment="0" applyProtection="0">
      <alignment vertical="center"/>
    </xf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66" fillId="0" borderId="126" applyNumberFormat="0" applyFill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36" fillId="21" borderId="125" applyNumberFormat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36" fillId="21" borderId="125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70" fillId="8" borderId="124" applyNumberFormat="0" applyAlignment="0" applyProtection="0"/>
    <xf numFmtId="0" fontId="71" fillId="21" borderId="125" applyNumberFormat="0" applyAlignment="0" applyProtection="0"/>
    <xf numFmtId="0" fontId="72" fillId="21" borderId="124" applyNumberFormat="0" applyAlignment="0" applyProtection="0"/>
    <xf numFmtId="0" fontId="37" fillId="21" borderId="124" applyNumberFormat="0" applyAlignment="0" applyProtection="0"/>
    <xf numFmtId="0" fontId="76" fillId="0" borderId="126" applyNumberFormat="0" applyFill="0" applyAlignment="0" applyProtection="0"/>
    <xf numFmtId="0" fontId="70" fillId="8" borderId="124" applyNumberFormat="0" applyAlignment="0" applyProtection="0"/>
    <xf numFmtId="0" fontId="76" fillId="0" borderId="126" applyNumberFormat="0" applyFill="0" applyAlignment="0" applyProtection="0"/>
    <xf numFmtId="0" fontId="7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36" fillId="21" borderId="125" applyNumberFormat="0" applyAlignment="0" applyProtection="0"/>
    <xf numFmtId="0" fontId="1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61" fillId="8" borderId="124" applyNumberFormat="0" applyAlignment="0" applyProtection="0">
      <alignment vertical="center"/>
    </xf>
    <xf numFmtId="0" fontId="72" fillId="21" borderId="124" applyNumberFormat="0" applyAlignment="0" applyProtection="0"/>
    <xf numFmtId="0" fontId="37" fillId="21" borderId="124" applyNumberFormat="0" applyAlignment="0" applyProtection="0"/>
    <xf numFmtId="0" fontId="54" fillId="21" borderId="124" applyNumberFormat="0" applyAlignment="0" applyProtection="0">
      <alignment vertical="center"/>
    </xf>
    <xf numFmtId="0" fontId="41" fillId="0" borderId="126" applyNumberFormat="0" applyFill="0" applyAlignment="0" applyProtection="0"/>
    <xf numFmtId="0" fontId="36" fillId="21" borderId="125" applyNumberFormat="0" applyAlignment="0" applyProtection="0"/>
    <xf numFmtId="0" fontId="1" fillId="24" borderId="127" applyNumberFormat="0" applyFont="0" applyAlignment="0" applyProtection="0"/>
    <xf numFmtId="0" fontId="61" fillId="8" borderId="124" applyNumberFormat="0" applyAlignment="0" applyProtection="0">
      <alignment vertical="center"/>
    </xf>
    <xf numFmtId="0" fontId="1" fillId="24" borderId="127" applyNumberFormat="0" applyFont="0" applyAlignment="0" applyProtection="0"/>
    <xf numFmtId="0" fontId="36" fillId="21" borderId="125" applyNumberFormat="0" applyAlignment="0" applyProtection="0"/>
    <xf numFmtId="0" fontId="51" fillId="24" borderId="127" applyNumberFormat="0" applyFont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70" fillId="8" borderId="124" applyNumberFormat="0" applyAlignment="0" applyProtection="0"/>
    <xf numFmtId="0" fontId="71" fillId="21" borderId="125" applyNumberFormat="0" applyAlignment="0" applyProtection="0"/>
    <xf numFmtId="0" fontId="72" fillId="21" borderId="124" applyNumberFormat="0" applyAlignment="0" applyProtection="0"/>
    <xf numFmtId="0" fontId="76" fillId="0" borderId="126" applyNumberFormat="0" applyFill="0" applyAlignment="0" applyProtection="0"/>
    <xf numFmtId="0" fontId="7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41" fillId="0" borderId="126" applyNumberFormat="0" applyFill="0" applyAlignment="0" applyProtection="0"/>
    <xf numFmtId="0" fontId="37" fillId="21" borderId="124" applyNumberFormat="0" applyAlignment="0" applyProtection="0"/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41" fillId="0" borderId="126" applyNumberFormat="0" applyFill="0" applyAlignment="0" applyProtection="0"/>
    <xf numFmtId="0" fontId="7" fillId="24" borderId="127" applyNumberFormat="0" applyFont="0" applyAlignment="0" applyProtection="0"/>
    <xf numFmtId="0" fontId="35" fillId="8" borderId="124" applyNumberForma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66" fillId="0" borderId="126" applyNumberFormat="0" applyFill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70" fillId="8" borderId="124" applyNumberFormat="0" applyAlignment="0" applyProtection="0"/>
    <xf numFmtId="0" fontId="71" fillId="21" borderId="125" applyNumberFormat="0" applyAlignment="0" applyProtection="0"/>
    <xf numFmtId="0" fontId="72" fillId="21" borderId="124" applyNumberFormat="0" applyAlignment="0" applyProtection="0"/>
    <xf numFmtId="0" fontId="37" fillId="21" borderId="124" applyNumberFormat="0" applyAlignment="0" applyProtection="0"/>
    <xf numFmtId="0" fontId="76" fillId="0" borderId="126" applyNumberFormat="0" applyFill="0" applyAlignment="0" applyProtection="0"/>
    <xf numFmtId="0" fontId="70" fillId="8" borderId="124" applyNumberFormat="0" applyAlignment="0" applyProtection="0"/>
    <xf numFmtId="0" fontId="76" fillId="0" borderId="126" applyNumberFormat="0" applyFill="0" applyAlignment="0" applyProtection="0"/>
    <xf numFmtId="0" fontId="7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1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61" fillId="8" borderId="124" applyNumberFormat="0" applyAlignment="0" applyProtection="0">
      <alignment vertical="center"/>
    </xf>
    <xf numFmtId="0" fontId="72" fillId="21" borderId="124" applyNumberFormat="0" applyAlignment="0" applyProtection="0"/>
    <xf numFmtId="0" fontId="37" fillId="21" borderId="124" applyNumberFormat="0" applyAlignment="0" applyProtection="0"/>
    <xf numFmtId="0" fontId="54" fillId="21" borderId="124" applyNumberFormat="0" applyAlignment="0" applyProtection="0">
      <alignment vertical="center"/>
    </xf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61" fillId="8" borderId="124" applyNumberForma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35" fillId="8" borderId="124" applyNumberFormat="0" applyAlignment="0" applyProtection="0"/>
    <xf numFmtId="4" fontId="86" fillId="27" borderId="128" applyNumberFormat="0" applyProtection="0">
      <alignment vertical="center"/>
    </xf>
    <xf numFmtId="0" fontId="2" fillId="28" borderId="128" applyNumberFormat="0" applyProtection="0">
      <alignment horizontal="left" vertical="top" indent="1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2" fillId="28" borderId="128" applyNumberFormat="0" applyProtection="0">
      <alignment horizontal="left" vertical="top" indent="1"/>
    </xf>
    <xf numFmtId="0" fontId="2" fillId="28" borderId="128" applyNumberFormat="0" applyProtection="0">
      <alignment horizontal="left" vertical="top" indent="1"/>
    </xf>
    <xf numFmtId="0" fontId="2" fillId="28" borderId="128" applyNumberFormat="0" applyProtection="0">
      <alignment horizontal="left" vertical="top" indent="1"/>
    </xf>
    <xf numFmtId="0" fontId="2" fillId="28" borderId="128" applyNumberFormat="0" applyProtection="0">
      <alignment horizontal="left" vertical="top" indent="1"/>
    </xf>
    <xf numFmtId="4" fontId="86" fillId="27" borderId="128" applyNumberFormat="0" applyProtection="0">
      <alignment vertical="center"/>
    </xf>
    <xf numFmtId="4" fontId="86" fillId="27" borderId="128" applyNumberFormat="0" applyProtection="0">
      <alignment vertical="center"/>
    </xf>
    <xf numFmtId="4" fontId="86" fillId="27" borderId="128" applyNumberFormat="0" applyProtection="0">
      <alignment vertical="center"/>
    </xf>
    <xf numFmtId="4" fontId="86" fillId="27" borderId="128" applyNumberForma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70" fillId="8" borderId="124" applyNumberFormat="0" applyAlignment="0" applyProtection="0"/>
    <xf numFmtId="0" fontId="70" fillId="8" borderId="124" applyNumberFormat="0" applyAlignment="0" applyProtection="0"/>
    <xf numFmtId="0" fontId="70" fillId="8" borderId="124" applyNumberFormat="0" applyAlignment="0" applyProtection="0"/>
    <xf numFmtId="0" fontId="70" fillId="8" borderId="124" applyNumberFormat="0" applyAlignment="0" applyProtection="0"/>
    <xf numFmtId="0" fontId="70" fillId="8" borderId="124" applyNumberFormat="0" applyAlignment="0" applyProtection="0"/>
    <xf numFmtId="0" fontId="70" fillId="8" borderId="124" applyNumberFormat="0" applyAlignment="0" applyProtection="0"/>
    <xf numFmtId="0" fontId="70" fillId="8" borderId="124" applyNumberFormat="0" applyAlignment="0" applyProtection="0"/>
    <xf numFmtId="0" fontId="70" fillId="8" borderId="124" applyNumberFormat="0" applyAlignment="0" applyProtection="0"/>
    <xf numFmtId="0" fontId="70" fillId="8" borderId="124" applyNumberFormat="0" applyAlignment="0" applyProtection="0"/>
    <xf numFmtId="0" fontId="70" fillId="8" borderId="124" applyNumberFormat="0" applyAlignment="0" applyProtection="0"/>
    <xf numFmtId="0" fontId="70" fillId="8" borderId="124" applyNumberFormat="0" applyAlignment="0" applyProtection="0"/>
    <xf numFmtId="0" fontId="70" fillId="8" borderId="124" applyNumberFormat="0" applyAlignment="0" applyProtection="0"/>
    <xf numFmtId="0" fontId="70" fillId="8" borderId="124" applyNumberFormat="0" applyAlignment="0" applyProtection="0"/>
    <xf numFmtId="0" fontId="70" fillId="8" borderId="124" applyNumberFormat="0" applyAlignment="0" applyProtection="0"/>
    <xf numFmtId="0" fontId="70" fillId="8" borderId="124" applyNumberFormat="0" applyAlignment="0" applyProtection="0"/>
    <xf numFmtId="0" fontId="70" fillId="8" borderId="124" applyNumberFormat="0" applyAlignment="0" applyProtection="0"/>
    <xf numFmtId="0" fontId="70" fillId="8" borderId="124" applyNumberFormat="0" applyAlignment="0" applyProtection="0"/>
    <xf numFmtId="0" fontId="70" fillId="8" borderId="124" applyNumberFormat="0" applyAlignment="0" applyProtection="0"/>
    <xf numFmtId="0" fontId="70" fillId="8" borderId="124" applyNumberFormat="0" applyAlignment="0" applyProtection="0"/>
    <xf numFmtId="0" fontId="70" fillId="8" borderId="124" applyNumberFormat="0" applyAlignment="0" applyProtection="0"/>
    <xf numFmtId="0" fontId="70" fillId="8" borderId="124" applyNumberFormat="0" applyAlignment="0" applyProtection="0"/>
    <xf numFmtId="0" fontId="70" fillId="8" borderId="124" applyNumberFormat="0" applyAlignment="0" applyProtection="0"/>
    <xf numFmtId="0" fontId="70" fillId="8" borderId="124" applyNumberFormat="0" applyAlignment="0" applyProtection="0"/>
    <xf numFmtId="0" fontId="70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71" fillId="21" borderId="125" applyNumberFormat="0" applyAlignment="0" applyProtection="0"/>
    <xf numFmtId="0" fontId="71" fillId="21" borderId="125" applyNumberFormat="0" applyAlignment="0" applyProtection="0"/>
    <xf numFmtId="0" fontId="71" fillId="21" borderId="125" applyNumberFormat="0" applyAlignment="0" applyProtection="0"/>
    <xf numFmtId="0" fontId="71" fillId="21" borderId="125" applyNumberFormat="0" applyAlignment="0" applyProtection="0"/>
    <xf numFmtId="0" fontId="71" fillId="21" borderId="125" applyNumberFormat="0" applyAlignment="0" applyProtection="0"/>
    <xf numFmtId="0" fontId="71" fillId="21" borderId="125" applyNumberFormat="0" applyAlignment="0" applyProtection="0"/>
    <xf numFmtId="0" fontId="71" fillId="21" borderId="125" applyNumberFormat="0" applyAlignment="0" applyProtection="0"/>
    <xf numFmtId="0" fontId="71" fillId="21" borderId="125" applyNumberFormat="0" applyAlignment="0" applyProtection="0"/>
    <xf numFmtId="0" fontId="71" fillId="21" borderId="125" applyNumberFormat="0" applyAlignment="0" applyProtection="0"/>
    <xf numFmtId="0" fontId="71" fillId="21" borderId="125" applyNumberFormat="0" applyAlignment="0" applyProtection="0"/>
    <xf numFmtId="0" fontId="71" fillId="21" borderId="125" applyNumberFormat="0" applyAlignment="0" applyProtection="0"/>
    <xf numFmtId="0" fontId="71" fillId="21" borderId="125" applyNumberFormat="0" applyAlignment="0" applyProtection="0"/>
    <xf numFmtId="0" fontId="71" fillId="21" borderId="125" applyNumberFormat="0" applyAlignment="0" applyProtection="0"/>
    <xf numFmtId="0" fontId="71" fillId="21" borderId="125" applyNumberFormat="0" applyAlignment="0" applyProtection="0"/>
    <xf numFmtId="0" fontId="71" fillId="21" borderId="125" applyNumberFormat="0" applyAlignment="0" applyProtection="0"/>
    <xf numFmtId="0" fontId="71" fillId="21" borderId="125" applyNumberFormat="0" applyAlignment="0" applyProtection="0"/>
    <xf numFmtId="0" fontId="71" fillId="21" borderId="125" applyNumberFormat="0" applyAlignment="0" applyProtection="0"/>
    <xf numFmtId="0" fontId="71" fillId="21" borderId="125" applyNumberFormat="0" applyAlignment="0" applyProtection="0"/>
    <xf numFmtId="0" fontId="71" fillId="21" borderId="125" applyNumberFormat="0" applyAlignment="0" applyProtection="0"/>
    <xf numFmtId="0" fontId="71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72" fillId="21" borderId="124" applyNumberFormat="0" applyAlignment="0" applyProtection="0"/>
    <xf numFmtId="0" fontId="72" fillId="21" borderId="124" applyNumberFormat="0" applyAlignment="0" applyProtection="0"/>
    <xf numFmtId="0" fontId="72" fillId="21" borderId="124" applyNumberFormat="0" applyAlignment="0" applyProtection="0"/>
    <xf numFmtId="0" fontId="72" fillId="21" borderId="124" applyNumberFormat="0" applyAlignment="0" applyProtection="0"/>
    <xf numFmtId="0" fontId="72" fillId="21" borderId="124" applyNumberFormat="0" applyAlignment="0" applyProtection="0"/>
    <xf numFmtId="0" fontId="72" fillId="21" borderId="124" applyNumberFormat="0" applyAlignment="0" applyProtection="0"/>
    <xf numFmtId="0" fontId="72" fillId="21" borderId="124" applyNumberFormat="0" applyAlignment="0" applyProtection="0"/>
    <xf numFmtId="0" fontId="72" fillId="21" borderId="124" applyNumberFormat="0" applyAlignment="0" applyProtection="0"/>
    <xf numFmtId="0" fontId="72" fillId="21" borderId="124" applyNumberFormat="0" applyAlignment="0" applyProtection="0"/>
    <xf numFmtId="0" fontId="72" fillId="21" borderId="124" applyNumberFormat="0" applyAlignment="0" applyProtection="0"/>
    <xf numFmtId="0" fontId="72" fillId="21" borderId="124" applyNumberFormat="0" applyAlignment="0" applyProtection="0"/>
    <xf numFmtId="0" fontId="72" fillId="21" borderId="124" applyNumberFormat="0" applyAlignment="0" applyProtection="0"/>
    <xf numFmtId="0" fontId="72" fillId="21" borderId="124" applyNumberFormat="0" applyAlignment="0" applyProtection="0"/>
    <xf numFmtId="0" fontId="72" fillId="21" borderId="124" applyNumberFormat="0" applyAlignment="0" applyProtection="0"/>
    <xf numFmtId="0" fontId="72" fillId="21" borderId="124" applyNumberFormat="0" applyAlignment="0" applyProtection="0"/>
    <xf numFmtId="0" fontId="72" fillId="21" borderId="124" applyNumberFormat="0" applyAlignment="0" applyProtection="0"/>
    <xf numFmtId="0" fontId="72" fillId="21" borderId="124" applyNumberFormat="0" applyAlignment="0" applyProtection="0"/>
    <xf numFmtId="0" fontId="72" fillId="21" borderId="124" applyNumberFormat="0" applyAlignment="0" applyProtection="0"/>
    <xf numFmtId="0" fontId="72" fillId="21" borderId="124" applyNumberFormat="0" applyAlignment="0" applyProtection="0"/>
    <xf numFmtId="0" fontId="72" fillId="21" borderId="124" applyNumberFormat="0" applyAlignment="0" applyProtection="0"/>
    <xf numFmtId="0" fontId="72" fillId="21" borderId="124" applyNumberFormat="0" applyAlignment="0" applyProtection="0"/>
    <xf numFmtId="0" fontId="72" fillId="21" borderId="124" applyNumberFormat="0" applyAlignment="0" applyProtection="0"/>
    <xf numFmtId="0" fontId="72" fillId="21" borderId="124" applyNumberFormat="0" applyAlignment="0" applyProtection="0"/>
    <xf numFmtId="0" fontId="72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76" fillId="0" borderId="126" applyNumberFormat="0" applyFill="0" applyAlignment="0" applyProtection="0"/>
    <xf numFmtId="0" fontId="76" fillId="0" borderId="126" applyNumberFormat="0" applyFill="0" applyAlignment="0" applyProtection="0"/>
    <xf numFmtId="0" fontId="76" fillId="0" borderId="126" applyNumberFormat="0" applyFill="0" applyAlignment="0" applyProtection="0"/>
    <xf numFmtId="0" fontId="76" fillId="0" borderId="126" applyNumberFormat="0" applyFill="0" applyAlignment="0" applyProtection="0"/>
    <xf numFmtId="0" fontId="76" fillId="0" borderId="126" applyNumberFormat="0" applyFill="0" applyAlignment="0" applyProtection="0"/>
    <xf numFmtId="0" fontId="76" fillId="0" borderId="126" applyNumberFormat="0" applyFill="0" applyAlignment="0" applyProtection="0"/>
    <xf numFmtId="0" fontId="76" fillId="0" borderId="126" applyNumberFormat="0" applyFill="0" applyAlignment="0" applyProtection="0"/>
    <xf numFmtId="0" fontId="76" fillId="0" borderId="126" applyNumberFormat="0" applyFill="0" applyAlignment="0" applyProtection="0"/>
    <xf numFmtId="0" fontId="76" fillId="0" borderId="126" applyNumberFormat="0" applyFill="0" applyAlignment="0" applyProtection="0"/>
    <xf numFmtId="0" fontId="76" fillId="0" borderId="126" applyNumberFormat="0" applyFill="0" applyAlignment="0" applyProtection="0"/>
    <xf numFmtId="0" fontId="76" fillId="0" borderId="126" applyNumberFormat="0" applyFill="0" applyAlignment="0" applyProtection="0"/>
    <xf numFmtId="0" fontId="76" fillId="0" borderId="126" applyNumberFormat="0" applyFill="0" applyAlignment="0" applyProtection="0"/>
    <xf numFmtId="0" fontId="76" fillId="0" borderId="126" applyNumberFormat="0" applyFill="0" applyAlignment="0" applyProtection="0"/>
    <xf numFmtId="0" fontId="76" fillId="0" borderId="126" applyNumberFormat="0" applyFill="0" applyAlignment="0" applyProtection="0"/>
    <xf numFmtId="0" fontId="76" fillId="0" borderId="126" applyNumberFormat="0" applyFill="0" applyAlignment="0" applyProtection="0"/>
    <xf numFmtId="0" fontId="76" fillId="0" borderId="126" applyNumberFormat="0" applyFill="0" applyAlignment="0" applyProtection="0"/>
    <xf numFmtId="0" fontId="76" fillId="0" borderId="126" applyNumberFormat="0" applyFill="0" applyAlignment="0" applyProtection="0"/>
    <xf numFmtId="0" fontId="76" fillId="0" borderId="126" applyNumberFormat="0" applyFill="0" applyAlignment="0" applyProtection="0"/>
    <xf numFmtId="0" fontId="76" fillId="0" borderId="126" applyNumberFormat="0" applyFill="0" applyAlignment="0" applyProtection="0"/>
    <xf numFmtId="0" fontId="76" fillId="0" borderId="126" applyNumberFormat="0" applyFill="0" applyAlignment="0" applyProtection="0"/>
    <xf numFmtId="0" fontId="76" fillId="0" borderId="126" applyNumberFormat="0" applyFill="0" applyAlignment="0" applyProtection="0"/>
    <xf numFmtId="0" fontId="76" fillId="0" borderId="126" applyNumberFormat="0" applyFill="0" applyAlignment="0" applyProtection="0"/>
    <xf numFmtId="0" fontId="76" fillId="0" borderId="126" applyNumberFormat="0" applyFill="0" applyAlignment="0" applyProtection="0"/>
    <xf numFmtId="0" fontId="76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7" fillId="24" borderId="127" applyNumberFormat="0" applyFont="0" applyAlignment="0" applyProtection="0"/>
    <xf numFmtId="0" fontId="7" fillId="24" borderId="127" applyNumberFormat="0" applyFont="0" applyAlignment="0" applyProtection="0"/>
    <xf numFmtId="0" fontId="7" fillId="24" borderId="127" applyNumberFormat="0" applyFont="0" applyAlignment="0" applyProtection="0"/>
    <xf numFmtId="0" fontId="7" fillId="24" borderId="127" applyNumberFormat="0" applyFont="0" applyAlignment="0" applyProtection="0"/>
    <xf numFmtId="0" fontId="7" fillId="24" borderId="127" applyNumberFormat="0" applyFont="0" applyAlignment="0" applyProtection="0"/>
    <xf numFmtId="0" fontId="7" fillId="24" borderId="127" applyNumberFormat="0" applyFont="0" applyAlignment="0" applyProtection="0"/>
    <xf numFmtId="0" fontId="7" fillId="24" borderId="127" applyNumberFormat="0" applyFont="0" applyAlignment="0" applyProtection="0"/>
    <xf numFmtId="0" fontId="7" fillId="24" borderId="127" applyNumberFormat="0" applyFont="0" applyAlignment="0" applyProtection="0"/>
    <xf numFmtId="0" fontId="7" fillId="24" borderId="127" applyNumberFormat="0" applyFont="0" applyAlignment="0" applyProtection="0"/>
    <xf numFmtId="0" fontId="7" fillId="24" borderId="127" applyNumberFormat="0" applyFont="0" applyAlignment="0" applyProtection="0"/>
    <xf numFmtId="0" fontId="7" fillId="24" borderId="127" applyNumberFormat="0" applyFont="0" applyAlignment="0" applyProtection="0"/>
    <xf numFmtId="0" fontId="7" fillId="24" borderId="127" applyNumberFormat="0" applyFont="0" applyAlignment="0" applyProtection="0"/>
    <xf numFmtId="0" fontId="7" fillId="24" borderId="127" applyNumberFormat="0" applyFont="0" applyAlignment="0" applyProtection="0"/>
    <xf numFmtId="0" fontId="7" fillId="24" borderId="127" applyNumberFormat="0" applyFont="0" applyAlignment="0" applyProtection="0"/>
    <xf numFmtId="0" fontId="7" fillId="24" borderId="127" applyNumberFormat="0" applyFont="0" applyAlignment="0" applyProtection="0"/>
    <xf numFmtId="0" fontId="7" fillId="24" borderId="127" applyNumberFormat="0" applyFont="0" applyAlignment="0" applyProtection="0"/>
    <xf numFmtId="0" fontId="7" fillId="24" borderId="127" applyNumberFormat="0" applyFont="0" applyAlignment="0" applyProtection="0"/>
    <xf numFmtId="0" fontId="7" fillId="24" borderId="127" applyNumberFormat="0" applyFont="0" applyAlignment="0" applyProtection="0"/>
    <xf numFmtId="0" fontId="7" fillId="24" borderId="127" applyNumberFormat="0" applyFont="0" applyAlignment="0" applyProtection="0"/>
    <xf numFmtId="0" fontId="7" fillId="24" borderId="127" applyNumberFormat="0" applyFont="0" applyAlignment="0" applyProtection="0"/>
    <xf numFmtId="0" fontId="7" fillId="24" borderId="127" applyNumberFormat="0" applyFont="0" applyAlignment="0" applyProtection="0"/>
    <xf numFmtId="0" fontId="7" fillId="24" borderId="127" applyNumberFormat="0" applyFont="0" applyAlignment="0" applyProtection="0"/>
    <xf numFmtId="0" fontId="7" fillId="24" borderId="127" applyNumberFormat="0" applyFont="0" applyAlignment="0" applyProtection="0"/>
    <xf numFmtId="0" fontId="7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70" fillId="8" borderId="124" applyNumberFormat="0" applyAlignment="0" applyProtection="0"/>
    <xf numFmtId="0" fontId="71" fillId="21" borderId="125" applyNumberFormat="0" applyAlignment="0" applyProtection="0"/>
    <xf numFmtId="0" fontId="72" fillId="21" borderId="124" applyNumberFormat="0" applyAlignment="0" applyProtection="0"/>
    <xf numFmtId="0" fontId="76" fillId="0" borderId="126" applyNumberFormat="0" applyFill="0" applyAlignment="0" applyProtection="0"/>
    <xf numFmtId="0" fontId="7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71" fillId="21" borderId="125" applyNumberFormat="0" applyAlignment="0" applyProtection="0"/>
    <xf numFmtId="0" fontId="41" fillId="0" borderId="126" applyNumberFormat="0" applyFill="0" applyAlignment="0" applyProtection="0"/>
    <xf numFmtId="0" fontId="37" fillId="21" borderId="124" applyNumberFormat="0" applyAlignment="0" applyProtection="0"/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41" fillId="0" borderId="126" applyNumberFormat="0" applyFill="0" applyAlignment="0" applyProtection="0"/>
    <xf numFmtId="0" fontId="7" fillId="24" borderId="127" applyNumberFormat="0" applyFont="0" applyAlignment="0" applyProtection="0"/>
    <xf numFmtId="0" fontId="64" fillId="21" borderId="125" applyNumberFormat="0" applyAlignment="0" applyProtection="0">
      <alignment vertical="center"/>
    </xf>
    <xf numFmtId="0" fontId="35" fillId="8" borderId="124" applyNumberForma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64" fillId="21" borderId="125" applyNumberFormat="0" applyAlignment="0" applyProtection="0">
      <alignment vertical="center"/>
    </xf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66" fillId="0" borderId="126" applyNumberFormat="0" applyFill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36" fillId="21" borderId="125" applyNumberFormat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36" fillId="21" borderId="125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70" fillId="8" borderId="124" applyNumberFormat="0" applyAlignment="0" applyProtection="0"/>
    <xf numFmtId="0" fontId="71" fillId="21" borderId="125" applyNumberFormat="0" applyAlignment="0" applyProtection="0"/>
    <xf numFmtId="0" fontId="72" fillId="21" borderId="124" applyNumberFormat="0" applyAlignment="0" applyProtection="0"/>
    <xf numFmtId="0" fontId="37" fillId="21" borderId="124" applyNumberFormat="0" applyAlignment="0" applyProtection="0"/>
    <xf numFmtId="0" fontId="76" fillId="0" borderId="126" applyNumberFormat="0" applyFill="0" applyAlignment="0" applyProtection="0"/>
    <xf numFmtId="0" fontId="70" fillId="8" borderId="124" applyNumberFormat="0" applyAlignment="0" applyProtection="0"/>
    <xf numFmtId="0" fontId="76" fillId="0" borderId="126" applyNumberFormat="0" applyFill="0" applyAlignment="0" applyProtection="0"/>
    <xf numFmtId="0" fontId="7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36" fillId="21" borderId="125" applyNumberFormat="0" applyAlignment="0" applyProtection="0"/>
    <xf numFmtId="0" fontId="1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61" fillId="8" borderId="124" applyNumberFormat="0" applyAlignment="0" applyProtection="0">
      <alignment vertical="center"/>
    </xf>
    <xf numFmtId="0" fontId="72" fillId="21" borderId="124" applyNumberFormat="0" applyAlignment="0" applyProtection="0"/>
    <xf numFmtId="0" fontId="37" fillId="21" borderId="124" applyNumberFormat="0" applyAlignment="0" applyProtection="0"/>
    <xf numFmtId="0" fontId="54" fillId="21" borderId="124" applyNumberFormat="0" applyAlignment="0" applyProtection="0">
      <alignment vertical="center"/>
    </xf>
    <xf numFmtId="0" fontId="41" fillId="0" borderId="126" applyNumberFormat="0" applyFill="0" applyAlignment="0" applyProtection="0"/>
    <xf numFmtId="0" fontId="36" fillId="21" borderId="125" applyNumberFormat="0" applyAlignment="0" applyProtection="0"/>
    <xf numFmtId="0" fontId="1" fillId="24" borderId="127" applyNumberFormat="0" applyFont="0" applyAlignment="0" applyProtection="0"/>
    <xf numFmtId="0" fontId="61" fillId="8" borderId="124" applyNumberFormat="0" applyAlignment="0" applyProtection="0">
      <alignment vertical="center"/>
    </xf>
    <xf numFmtId="0" fontId="1" fillId="24" borderId="127" applyNumberFormat="0" applyFont="0" applyAlignment="0" applyProtection="0"/>
    <xf numFmtId="0" fontId="36" fillId="21" borderId="125" applyNumberFormat="0" applyAlignment="0" applyProtection="0"/>
    <xf numFmtId="0" fontId="51" fillId="24" borderId="127" applyNumberFormat="0" applyFont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70" fillId="8" borderId="124" applyNumberFormat="0" applyAlignment="0" applyProtection="0"/>
    <xf numFmtId="0" fontId="71" fillId="21" borderId="125" applyNumberFormat="0" applyAlignment="0" applyProtection="0"/>
    <xf numFmtId="0" fontId="72" fillId="21" borderId="124" applyNumberFormat="0" applyAlignment="0" applyProtection="0"/>
    <xf numFmtId="0" fontId="76" fillId="0" borderId="126" applyNumberFormat="0" applyFill="0" applyAlignment="0" applyProtection="0"/>
    <xf numFmtId="0" fontId="7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41" fillId="0" borderId="126" applyNumberFormat="0" applyFill="0" applyAlignment="0" applyProtection="0"/>
    <xf numFmtId="0" fontId="37" fillId="21" borderId="124" applyNumberFormat="0" applyAlignment="0" applyProtection="0"/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41" fillId="0" borderId="126" applyNumberFormat="0" applyFill="0" applyAlignment="0" applyProtection="0"/>
    <xf numFmtId="0" fontId="7" fillId="24" borderId="127" applyNumberFormat="0" applyFont="0" applyAlignment="0" applyProtection="0"/>
    <xf numFmtId="0" fontId="35" fillId="8" borderId="124" applyNumberForma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66" fillId="0" borderId="126" applyNumberFormat="0" applyFill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70" fillId="8" borderId="124" applyNumberFormat="0" applyAlignment="0" applyProtection="0"/>
    <xf numFmtId="0" fontId="71" fillId="21" borderId="125" applyNumberFormat="0" applyAlignment="0" applyProtection="0"/>
    <xf numFmtId="0" fontId="72" fillId="21" borderId="124" applyNumberFormat="0" applyAlignment="0" applyProtection="0"/>
    <xf numFmtId="0" fontId="37" fillId="21" borderId="124" applyNumberFormat="0" applyAlignment="0" applyProtection="0"/>
    <xf numFmtId="0" fontId="76" fillId="0" borderId="126" applyNumberFormat="0" applyFill="0" applyAlignment="0" applyProtection="0"/>
    <xf numFmtId="0" fontId="70" fillId="8" borderId="124" applyNumberFormat="0" applyAlignment="0" applyProtection="0"/>
    <xf numFmtId="0" fontId="76" fillId="0" borderId="126" applyNumberFormat="0" applyFill="0" applyAlignment="0" applyProtection="0"/>
    <xf numFmtId="0" fontId="7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1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61" fillId="8" borderId="124" applyNumberFormat="0" applyAlignment="0" applyProtection="0">
      <alignment vertical="center"/>
    </xf>
    <xf numFmtId="0" fontId="72" fillId="21" borderId="124" applyNumberFormat="0" applyAlignment="0" applyProtection="0"/>
    <xf numFmtId="0" fontId="37" fillId="21" borderId="124" applyNumberFormat="0" applyAlignment="0" applyProtection="0"/>
    <xf numFmtId="0" fontId="54" fillId="21" borderId="124" applyNumberFormat="0" applyAlignment="0" applyProtection="0">
      <alignment vertical="center"/>
    </xf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61" fillId="8" borderId="124" applyNumberForma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35" fillId="8" borderId="124" applyNumberFormat="0" applyAlignment="0" applyProtection="0"/>
    <xf numFmtId="4" fontId="86" fillId="27" borderId="128" applyNumberFormat="0" applyProtection="0">
      <alignment vertical="center"/>
    </xf>
    <xf numFmtId="0" fontId="2" fillId="28" borderId="128" applyNumberFormat="0" applyProtection="0">
      <alignment horizontal="left" vertical="top" indent="1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70" fillId="8" borderId="124" applyNumberFormat="0" applyAlignment="0" applyProtection="0"/>
    <xf numFmtId="0" fontId="71" fillId="21" borderId="125" applyNumberFormat="0" applyAlignment="0" applyProtection="0"/>
    <xf numFmtId="0" fontId="72" fillId="21" borderId="124" applyNumberFormat="0" applyAlignment="0" applyProtection="0"/>
    <xf numFmtId="0" fontId="76" fillId="0" borderId="126" applyNumberFormat="0" applyFill="0" applyAlignment="0" applyProtection="0"/>
    <xf numFmtId="0" fontId="7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71" fillId="21" borderId="125" applyNumberFormat="0" applyAlignment="0" applyProtection="0"/>
    <xf numFmtId="0" fontId="41" fillId="0" borderId="126" applyNumberFormat="0" applyFill="0" applyAlignment="0" applyProtection="0"/>
    <xf numFmtId="0" fontId="37" fillId="21" borderId="124" applyNumberFormat="0" applyAlignment="0" applyProtection="0"/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41" fillId="0" borderId="126" applyNumberFormat="0" applyFill="0" applyAlignment="0" applyProtection="0"/>
    <xf numFmtId="0" fontId="7" fillId="24" borderId="127" applyNumberFormat="0" applyFont="0" applyAlignment="0" applyProtection="0"/>
    <xf numFmtId="0" fontId="64" fillId="21" borderId="125" applyNumberFormat="0" applyAlignment="0" applyProtection="0">
      <alignment vertical="center"/>
    </xf>
    <xf numFmtId="0" fontId="35" fillId="8" borderId="124" applyNumberForma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64" fillId="21" borderId="125" applyNumberFormat="0" applyAlignment="0" applyProtection="0">
      <alignment vertical="center"/>
    </xf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66" fillId="0" borderId="126" applyNumberFormat="0" applyFill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36" fillId="21" borderId="125" applyNumberFormat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36" fillId="21" borderId="125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70" fillId="8" borderId="124" applyNumberFormat="0" applyAlignment="0" applyProtection="0"/>
    <xf numFmtId="0" fontId="71" fillId="21" borderId="125" applyNumberFormat="0" applyAlignment="0" applyProtection="0"/>
    <xf numFmtId="0" fontId="72" fillId="21" borderId="124" applyNumberFormat="0" applyAlignment="0" applyProtection="0"/>
    <xf numFmtId="0" fontId="37" fillId="21" borderId="124" applyNumberFormat="0" applyAlignment="0" applyProtection="0"/>
    <xf numFmtId="0" fontId="76" fillId="0" borderId="126" applyNumberFormat="0" applyFill="0" applyAlignment="0" applyProtection="0"/>
    <xf numFmtId="0" fontId="70" fillId="8" borderId="124" applyNumberFormat="0" applyAlignment="0" applyProtection="0"/>
    <xf numFmtId="0" fontId="76" fillId="0" borderId="126" applyNumberFormat="0" applyFill="0" applyAlignment="0" applyProtection="0"/>
    <xf numFmtId="0" fontId="7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36" fillId="21" borderId="125" applyNumberFormat="0" applyAlignment="0" applyProtection="0"/>
    <xf numFmtId="0" fontId="1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61" fillId="8" borderId="124" applyNumberFormat="0" applyAlignment="0" applyProtection="0">
      <alignment vertical="center"/>
    </xf>
    <xf numFmtId="0" fontId="72" fillId="21" borderId="124" applyNumberFormat="0" applyAlignment="0" applyProtection="0"/>
    <xf numFmtId="0" fontId="37" fillId="21" borderId="124" applyNumberFormat="0" applyAlignment="0" applyProtection="0"/>
    <xf numFmtId="0" fontId="54" fillId="21" borderId="124" applyNumberFormat="0" applyAlignment="0" applyProtection="0">
      <alignment vertical="center"/>
    </xf>
    <xf numFmtId="0" fontId="41" fillId="0" borderId="126" applyNumberFormat="0" applyFill="0" applyAlignment="0" applyProtection="0"/>
    <xf numFmtId="0" fontId="36" fillId="21" borderId="125" applyNumberFormat="0" applyAlignment="0" applyProtection="0"/>
    <xf numFmtId="0" fontId="1" fillId="24" borderId="127" applyNumberFormat="0" applyFont="0" applyAlignment="0" applyProtection="0"/>
    <xf numFmtId="0" fontId="61" fillId="8" borderId="124" applyNumberFormat="0" applyAlignment="0" applyProtection="0">
      <alignment vertical="center"/>
    </xf>
    <xf numFmtId="0" fontId="1" fillId="24" borderId="127" applyNumberFormat="0" applyFont="0" applyAlignment="0" applyProtection="0"/>
    <xf numFmtId="0" fontId="36" fillId="21" borderId="125" applyNumberFormat="0" applyAlignment="0" applyProtection="0"/>
    <xf numFmtId="0" fontId="51" fillId="24" borderId="127" applyNumberFormat="0" applyFont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70" fillId="8" borderId="124" applyNumberFormat="0" applyAlignment="0" applyProtection="0"/>
    <xf numFmtId="0" fontId="71" fillId="21" borderId="125" applyNumberFormat="0" applyAlignment="0" applyProtection="0"/>
    <xf numFmtId="0" fontId="72" fillId="21" borderId="124" applyNumberFormat="0" applyAlignment="0" applyProtection="0"/>
    <xf numFmtId="0" fontId="76" fillId="0" borderId="126" applyNumberFormat="0" applyFill="0" applyAlignment="0" applyProtection="0"/>
    <xf numFmtId="0" fontId="7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41" fillId="0" borderId="126" applyNumberFormat="0" applyFill="0" applyAlignment="0" applyProtection="0"/>
    <xf numFmtId="0" fontId="37" fillId="21" borderId="124" applyNumberFormat="0" applyAlignment="0" applyProtection="0"/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41" fillId="0" borderId="126" applyNumberFormat="0" applyFill="0" applyAlignment="0" applyProtection="0"/>
    <xf numFmtId="0" fontId="7" fillId="24" borderId="127" applyNumberFormat="0" applyFont="0" applyAlignment="0" applyProtection="0"/>
    <xf numFmtId="0" fontId="35" fillId="8" borderId="124" applyNumberForma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1" fillId="24" borderId="127" applyNumberFormat="0" applyFont="0" applyAlignment="0" applyProtection="0"/>
    <xf numFmtId="0" fontId="66" fillId="0" borderId="126" applyNumberFormat="0" applyFill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70" fillId="8" borderId="124" applyNumberFormat="0" applyAlignment="0" applyProtection="0"/>
    <xf numFmtId="0" fontId="71" fillId="21" borderId="125" applyNumberFormat="0" applyAlignment="0" applyProtection="0"/>
    <xf numFmtId="0" fontId="72" fillId="21" borderId="124" applyNumberFormat="0" applyAlignment="0" applyProtection="0"/>
    <xf numFmtId="0" fontId="37" fillId="21" borderId="124" applyNumberFormat="0" applyAlignment="0" applyProtection="0"/>
    <xf numFmtId="0" fontId="76" fillId="0" borderId="126" applyNumberFormat="0" applyFill="0" applyAlignment="0" applyProtection="0"/>
    <xf numFmtId="0" fontId="70" fillId="8" borderId="124" applyNumberFormat="0" applyAlignment="0" applyProtection="0"/>
    <xf numFmtId="0" fontId="76" fillId="0" borderId="126" applyNumberFormat="0" applyFill="0" applyAlignment="0" applyProtection="0"/>
    <xf numFmtId="0" fontId="7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1" fillId="24" borderId="127" applyNumberFormat="0" applyFont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4" fillId="21" borderId="125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6" fillId="21" borderId="125" applyNumberFormat="0" applyAlignment="0" applyProtection="0"/>
    <xf numFmtId="0" fontId="36" fillId="21" borderId="125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61" fillId="8" borderId="124" applyNumberFormat="0" applyAlignment="0" applyProtection="0">
      <alignment vertical="center"/>
    </xf>
    <xf numFmtId="0" fontId="72" fillId="21" borderId="124" applyNumberFormat="0" applyAlignment="0" applyProtection="0"/>
    <xf numFmtId="0" fontId="37" fillId="21" borderId="124" applyNumberFormat="0" applyAlignment="0" applyProtection="0"/>
    <xf numFmtId="0" fontId="54" fillId="21" borderId="124" applyNumberFormat="0" applyAlignment="0" applyProtection="0">
      <alignment vertical="center"/>
    </xf>
    <xf numFmtId="0" fontId="41" fillId="0" borderId="126" applyNumberFormat="0" applyFill="0" applyAlignment="0" applyProtection="0"/>
    <xf numFmtId="0" fontId="1" fillId="24" borderId="127" applyNumberFormat="0" applyFont="0" applyAlignment="0" applyProtection="0"/>
    <xf numFmtId="0" fontId="61" fillId="8" borderId="124" applyNumberForma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35" fillId="8" borderId="124" applyNumberFormat="0" applyAlignment="0" applyProtection="0"/>
    <xf numFmtId="4" fontId="86" fillId="27" borderId="128" applyNumberFormat="0" applyProtection="0">
      <alignment vertical="center"/>
    </xf>
    <xf numFmtId="0" fontId="2" fillId="28" borderId="128" applyNumberFormat="0" applyProtection="0">
      <alignment horizontal="left" vertical="top" indent="1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66" fillId="0" borderId="126" applyNumberFormat="0" applyFill="0" applyAlignment="0" applyProtection="0">
      <alignment vertical="center"/>
    </xf>
    <xf numFmtId="0" fontId="70" fillId="8" borderId="124" applyNumberFormat="0" applyAlignment="0" applyProtection="0"/>
    <xf numFmtId="0" fontId="72" fillId="21" borderId="124" applyNumberFormat="0" applyAlignment="0" applyProtection="0"/>
    <xf numFmtId="0" fontId="76" fillId="0" borderId="126" applyNumberFormat="0" applyFill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37" fillId="21" borderId="124" applyNumberFormat="0" applyAlignment="0" applyProtection="0"/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41" fillId="0" borderId="126" applyNumberFormat="0" applyFill="0" applyAlignment="0" applyProtection="0"/>
    <xf numFmtId="0" fontId="35" fillId="8" borderId="124" applyNumberForma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37" fillId="21" borderId="124" applyNumberFormat="0" applyAlignment="0" applyProtection="0"/>
    <xf numFmtId="0" fontId="66" fillId="0" borderId="126" applyNumberFormat="0" applyFill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66" fillId="0" borderId="126" applyNumberFormat="0" applyFill="0" applyAlignment="0" applyProtection="0">
      <alignment vertical="center"/>
    </xf>
    <xf numFmtId="0" fontId="70" fillId="8" borderId="124" applyNumberFormat="0" applyAlignment="0" applyProtection="0"/>
    <xf numFmtId="0" fontId="72" fillId="21" borderId="124" applyNumberFormat="0" applyAlignment="0" applyProtection="0"/>
    <xf numFmtId="0" fontId="37" fillId="21" borderId="124" applyNumberFormat="0" applyAlignment="0" applyProtection="0"/>
    <xf numFmtId="0" fontId="76" fillId="0" borderId="126" applyNumberFormat="0" applyFill="0" applyAlignment="0" applyProtection="0"/>
    <xf numFmtId="0" fontId="70" fillId="8" borderId="124" applyNumberFormat="0" applyAlignment="0" applyProtection="0"/>
    <xf numFmtId="0" fontId="76" fillId="0" borderId="126" applyNumberFormat="0" applyFill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72" fillId="21" borderId="124" applyNumberFormat="0" applyAlignment="0" applyProtection="0"/>
    <xf numFmtId="0" fontId="37" fillId="21" borderId="124" applyNumberFormat="0" applyAlignment="0" applyProtection="0"/>
    <xf numFmtId="0" fontId="54" fillId="21" borderId="124" applyNumberFormat="0" applyAlignment="0" applyProtection="0">
      <alignment vertical="center"/>
    </xf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66" fillId="0" borderId="126" applyNumberFormat="0" applyFill="0" applyAlignment="0" applyProtection="0">
      <alignment vertical="center"/>
    </xf>
    <xf numFmtId="0" fontId="70" fillId="8" borderId="124" applyNumberFormat="0" applyAlignment="0" applyProtection="0"/>
    <xf numFmtId="0" fontId="72" fillId="21" borderId="124" applyNumberFormat="0" applyAlignment="0" applyProtection="0"/>
    <xf numFmtId="0" fontId="76" fillId="0" borderId="126" applyNumberFormat="0" applyFill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37" fillId="21" borderId="124" applyNumberFormat="0" applyAlignment="0" applyProtection="0"/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41" fillId="0" borderId="126" applyNumberFormat="0" applyFill="0" applyAlignment="0" applyProtection="0"/>
    <xf numFmtId="0" fontId="35" fillId="8" borderId="124" applyNumberForma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37" fillId="21" borderId="124" applyNumberFormat="0" applyAlignment="0" applyProtection="0"/>
    <xf numFmtId="0" fontId="66" fillId="0" borderId="126" applyNumberFormat="0" applyFill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66" fillId="0" borderId="126" applyNumberFormat="0" applyFill="0" applyAlignment="0" applyProtection="0">
      <alignment vertical="center"/>
    </xf>
    <xf numFmtId="0" fontId="70" fillId="8" borderId="124" applyNumberFormat="0" applyAlignment="0" applyProtection="0"/>
    <xf numFmtId="0" fontId="72" fillId="21" borderId="124" applyNumberFormat="0" applyAlignment="0" applyProtection="0"/>
    <xf numFmtId="0" fontId="37" fillId="21" borderId="124" applyNumberFormat="0" applyAlignment="0" applyProtection="0"/>
    <xf numFmtId="0" fontId="76" fillId="0" borderId="126" applyNumberFormat="0" applyFill="0" applyAlignment="0" applyProtection="0"/>
    <xf numFmtId="0" fontId="70" fillId="8" borderId="124" applyNumberFormat="0" applyAlignment="0" applyProtection="0"/>
    <xf numFmtId="0" fontId="76" fillId="0" borderId="126" applyNumberFormat="0" applyFill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72" fillId="21" borderId="124" applyNumberFormat="0" applyAlignment="0" applyProtection="0"/>
    <xf numFmtId="0" fontId="37" fillId="21" borderId="124" applyNumberFormat="0" applyAlignment="0" applyProtection="0"/>
    <xf numFmtId="0" fontId="54" fillId="21" borderId="124" applyNumberFormat="0" applyAlignment="0" applyProtection="0">
      <alignment vertical="center"/>
    </xf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66" fillId="0" borderId="126" applyNumberFormat="0" applyFill="0" applyAlignment="0" applyProtection="0">
      <alignment vertical="center"/>
    </xf>
    <xf numFmtId="0" fontId="70" fillId="8" borderId="124" applyNumberFormat="0" applyAlignment="0" applyProtection="0"/>
    <xf numFmtId="0" fontId="72" fillId="21" borderId="124" applyNumberFormat="0" applyAlignment="0" applyProtection="0"/>
    <xf numFmtId="0" fontId="76" fillId="0" borderId="126" applyNumberFormat="0" applyFill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37" fillId="21" borderId="124" applyNumberFormat="0" applyAlignment="0" applyProtection="0"/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41" fillId="0" borderId="126" applyNumberFormat="0" applyFill="0" applyAlignment="0" applyProtection="0"/>
    <xf numFmtId="0" fontId="35" fillId="8" borderId="124" applyNumberForma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37" fillId="21" borderId="124" applyNumberFormat="0" applyAlignment="0" applyProtection="0"/>
    <xf numFmtId="0" fontId="66" fillId="0" borderId="126" applyNumberFormat="0" applyFill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66" fillId="0" borderId="126" applyNumberFormat="0" applyFill="0" applyAlignment="0" applyProtection="0">
      <alignment vertical="center"/>
    </xf>
    <xf numFmtId="0" fontId="70" fillId="8" borderId="124" applyNumberFormat="0" applyAlignment="0" applyProtection="0"/>
    <xf numFmtId="0" fontId="72" fillId="21" borderId="124" applyNumberFormat="0" applyAlignment="0" applyProtection="0"/>
    <xf numFmtId="0" fontId="37" fillId="21" borderId="124" applyNumberFormat="0" applyAlignment="0" applyProtection="0"/>
    <xf numFmtId="0" fontId="76" fillId="0" borderId="126" applyNumberFormat="0" applyFill="0" applyAlignment="0" applyProtection="0"/>
    <xf numFmtId="0" fontId="70" fillId="8" borderId="124" applyNumberFormat="0" applyAlignment="0" applyProtection="0"/>
    <xf numFmtId="0" fontId="76" fillId="0" borderId="126" applyNumberFormat="0" applyFill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72" fillId="21" borderId="124" applyNumberFormat="0" applyAlignment="0" applyProtection="0"/>
    <xf numFmtId="0" fontId="37" fillId="21" borderId="124" applyNumberFormat="0" applyAlignment="0" applyProtection="0"/>
    <xf numFmtId="0" fontId="54" fillId="21" borderId="124" applyNumberFormat="0" applyAlignment="0" applyProtection="0">
      <alignment vertical="center"/>
    </xf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66" fillId="0" borderId="126" applyNumberFormat="0" applyFill="0" applyAlignment="0" applyProtection="0">
      <alignment vertical="center"/>
    </xf>
    <xf numFmtId="0" fontId="70" fillId="8" borderId="124" applyNumberFormat="0" applyAlignment="0" applyProtection="0"/>
    <xf numFmtId="0" fontId="72" fillId="21" borderId="124" applyNumberFormat="0" applyAlignment="0" applyProtection="0"/>
    <xf numFmtId="0" fontId="76" fillId="0" borderId="126" applyNumberFormat="0" applyFill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37" fillId="21" borderId="124" applyNumberFormat="0" applyAlignment="0" applyProtection="0"/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41" fillId="0" borderId="126" applyNumberFormat="0" applyFill="0" applyAlignment="0" applyProtection="0"/>
    <xf numFmtId="0" fontId="35" fillId="8" borderId="124" applyNumberFormat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37" fillId="21" borderId="124" applyNumberFormat="0" applyAlignment="0" applyProtection="0"/>
    <xf numFmtId="0" fontId="66" fillId="0" borderId="126" applyNumberFormat="0" applyFill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35" fillId="8" borderId="124" applyNumberFormat="0" applyAlignment="0" applyProtection="0"/>
    <xf numFmtId="0" fontId="37" fillId="21" borderId="124" applyNumberFormat="0" applyAlignment="0" applyProtection="0"/>
    <xf numFmtId="0" fontId="66" fillId="0" borderId="126" applyNumberFormat="0" applyFill="0" applyAlignment="0" applyProtection="0">
      <alignment vertical="center"/>
    </xf>
    <xf numFmtId="0" fontId="70" fillId="8" borderId="124" applyNumberFormat="0" applyAlignment="0" applyProtection="0"/>
    <xf numFmtId="0" fontId="72" fillId="21" borderId="124" applyNumberFormat="0" applyAlignment="0" applyProtection="0"/>
    <xf numFmtId="0" fontId="37" fillId="21" borderId="124" applyNumberFormat="0" applyAlignment="0" applyProtection="0"/>
    <xf numFmtId="0" fontId="76" fillId="0" borderId="126" applyNumberFormat="0" applyFill="0" applyAlignment="0" applyProtection="0"/>
    <xf numFmtId="0" fontId="70" fillId="8" borderId="124" applyNumberFormat="0" applyAlignment="0" applyProtection="0"/>
    <xf numFmtId="0" fontId="76" fillId="0" borderId="126" applyNumberFormat="0" applyFill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54" fillId="21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1" fillId="8" borderId="124" applyNumberFormat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66" fillId="0" borderId="126" applyNumberFormat="0" applyFill="0" applyAlignment="0" applyProtection="0">
      <alignment vertical="center"/>
    </xf>
    <xf numFmtId="0" fontId="35" fillId="8" borderId="124" applyNumberFormat="0" applyAlignment="0" applyProtection="0"/>
    <xf numFmtId="0" fontId="35" fillId="8" borderId="124" applyNumberFormat="0" applyAlignment="0" applyProtection="0"/>
    <xf numFmtId="0" fontId="37" fillId="21" borderId="124" applyNumberFormat="0" applyAlignment="0" applyProtection="0"/>
    <xf numFmtId="0" fontId="37" fillId="21" borderId="124" applyNumberFormat="0" applyAlignment="0" applyProtection="0"/>
    <xf numFmtId="0" fontId="41" fillId="0" borderId="126" applyNumberFormat="0" applyFill="0" applyAlignment="0" applyProtection="0"/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72" fillId="21" borderId="124" applyNumberFormat="0" applyAlignment="0" applyProtection="0"/>
    <xf numFmtId="0" fontId="37" fillId="21" borderId="124" applyNumberFormat="0" applyAlignment="0" applyProtection="0"/>
    <xf numFmtId="0" fontId="54" fillId="21" borderId="124" applyNumberFormat="0" applyAlignment="0" applyProtection="0">
      <alignment vertical="center"/>
    </xf>
    <xf numFmtId="0" fontId="41" fillId="0" borderId="126" applyNumberFormat="0" applyFill="0" applyAlignment="0" applyProtection="0"/>
    <xf numFmtId="0" fontId="61" fillId="8" borderId="124" applyNumberFormat="0" applyAlignment="0" applyProtection="0">
      <alignment vertical="center"/>
    </xf>
    <xf numFmtId="0" fontId="35" fillId="8" borderId="124" applyNumberFormat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7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7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7" fillId="24" borderId="127" applyNumberFormat="0" applyFont="0" applyAlignment="0" applyProtection="0"/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7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7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7" fillId="24" borderId="127" applyNumberFormat="0" applyFont="0" applyAlignment="0" applyProtection="0"/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7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7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7" fillId="24" borderId="127" applyNumberFormat="0" applyFont="0" applyAlignment="0" applyProtection="0"/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7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7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7" fillId="24" borderId="127" applyNumberFormat="0" applyFont="0" applyAlignment="0" applyProtection="0"/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0" fontId="51" fillId="24" borderId="127" applyNumberFormat="0" applyFont="0" applyAlignment="0" applyProtection="0">
      <alignment vertical="center"/>
    </xf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1" fillId="24" borderId="127" applyNumberFormat="0" applyFont="0" applyAlignment="0" applyProtection="0"/>
    <xf numFmtId="0" fontId="51" fillId="24" borderId="127" applyNumberFormat="0" applyFont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0" fillId="0" borderId="0"/>
    <xf numFmtId="0" fontId="133" fillId="0" borderId="0"/>
    <xf numFmtId="0" fontId="134" fillId="0" borderId="0">
      <alignment vertical="top"/>
    </xf>
    <xf numFmtId="0" fontId="68" fillId="33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6" borderId="0" applyNumberFormat="0" applyBorder="0" applyAlignment="0" applyProtection="0">
      <alignment vertical="center"/>
    </xf>
    <xf numFmtId="0" fontId="68" fillId="37" borderId="0" applyNumberFormat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8" fillId="39" borderId="0" applyNumberFormat="0" applyBorder="0" applyAlignment="0" applyProtection="0">
      <alignment vertical="center"/>
    </xf>
    <xf numFmtId="0" fontId="68" fillId="40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36" borderId="0" applyNumberFormat="0" applyBorder="0" applyAlignment="0" applyProtection="0">
      <alignment vertical="center"/>
    </xf>
    <xf numFmtId="0" fontId="68" fillId="39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40" borderId="0" applyNumberFormat="0" applyBorder="0" applyAlignment="0" applyProtection="0"/>
    <xf numFmtId="0" fontId="69" fillId="43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4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6" borderId="0" applyNumberFormat="0" applyBorder="0" applyAlignment="0" applyProtection="0">
      <alignment vertical="center"/>
    </xf>
    <xf numFmtId="0" fontId="84" fillId="35" borderId="0" applyNumberFormat="0" applyBorder="0" applyAlignment="0" applyProtection="0">
      <alignment vertical="center"/>
    </xf>
    <xf numFmtId="0" fontId="72" fillId="47" borderId="139" applyNumberFormat="0" applyAlignment="0" applyProtection="0">
      <alignment vertical="center"/>
    </xf>
    <xf numFmtId="0" fontId="77" fillId="48" borderId="98" applyNumberFormat="0" applyAlignment="0" applyProtection="0">
      <alignment vertical="center"/>
    </xf>
    <xf numFmtId="0" fontId="82" fillId="0" borderId="100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9" fillId="44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52" borderId="0" applyNumberFormat="0" applyBorder="0" applyAlignment="0" applyProtection="0">
      <alignment vertical="center"/>
    </xf>
    <xf numFmtId="0" fontId="70" fillId="38" borderId="139" applyNumberFormat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79" fillId="53" borderId="0" applyNumberFormat="0" applyBorder="0" applyAlignment="0" applyProtection="0">
      <alignment vertical="center"/>
    </xf>
    <xf numFmtId="0" fontId="3" fillId="0" borderId="0"/>
    <xf numFmtId="0" fontId="50" fillId="0" borderId="0">
      <alignment vertical="center"/>
    </xf>
    <xf numFmtId="0" fontId="133" fillId="27" borderId="140" applyNumberFormat="0" applyFont="0" applyAlignment="0" applyProtection="0">
      <alignment vertical="center"/>
    </xf>
    <xf numFmtId="0" fontId="71" fillId="47" borderId="141" applyNumberFormat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3" fillId="0" borderId="94" applyNumberFormat="0" applyFill="0" applyAlignment="0" applyProtection="0">
      <alignment vertical="center"/>
    </xf>
    <xf numFmtId="0" fontId="74" fillId="0" borderId="95" applyNumberFormat="0" applyFill="0" applyAlignment="0" applyProtection="0">
      <alignment vertical="center"/>
    </xf>
    <xf numFmtId="0" fontId="75" fillId="0" borderId="96" applyNumberFormat="0" applyFill="0" applyAlignment="0" applyProtection="0">
      <alignment vertical="center"/>
    </xf>
    <xf numFmtId="0" fontId="76" fillId="0" borderId="142" applyNumberFormat="0" applyFill="0" applyAlignment="0" applyProtection="0">
      <alignment vertical="center"/>
    </xf>
    <xf numFmtId="0" fontId="69" fillId="52" borderId="0" applyNumberFormat="0" applyBorder="0" applyAlignment="0" applyProtection="0"/>
    <xf numFmtId="0" fontId="72" fillId="47" borderId="139" applyNumberFormat="0" applyAlignment="0" applyProtection="0"/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167" fontId="30" fillId="0" borderId="0"/>
    <xf numFmtId="167" fontId="133" fillId="0" borderId="0">
      <alignment vertical="center"/>
    </xf>
    <xf numFmtId="167" fontId="3" fillId="0" borderId="0"/>
    <xf numFmtId="167" fontId="3" fillId="0" borderId="0"/>
    <xf numFmtId="167" fontId="133" fillId="0" borderId="0"/>
    <xf numFmtId="167" fontId="2" fillId="0" borderId="0"/>
    <xf numFmtId="167" fontId="3" fillId="0" borderId="0"/>
    <xf numFmtId="0" fontId="135" fillId="0" borderId="0"/>
    <xf numFmtId="0" fontId="3" fillId="0" borderId="0"/>
    <xf numFmtId="167" fontId="30" fillId="0" borderId="0"/>
    <xf numFmtId="0" fontId="135" fillId="0" borderId="0"/>
    <xf numFmtId="167" fontId="136" fillId="0" borderId="0" applyNumberFormat="0" applyFill="0" applyBorder="0" applyAlignment="0" applyProtection="0"/>
    <xf numFmtId="0" fontId="133" fillId="0" borderId="0"/>
    <xf numFmtId="0" fontId="72" fillId="47" borderId="139" applyNumberFormat="0" applyAlignment="0" applyProtection="0">
      <alignment vertical="center"/>
    </xf>
    <xf numFmtId="0" fontId="70" fillId="38" borderId="139" applyNumberFormat="0" applyAlignment="0" applyProtection="0">
      <alignment vertical="center"/>
    </xf>
    <xf numFmtId="0" fontId="133" fillId="27" borderId="140" applyNumberFormat="0" applyFont="0" applyAlignment="0" applyProtection="0">
      <alignment vertical="center"/>
    </xf>
    <xf numFmtId="0" fontId="71" fillId="47" borderId="141" applyNumberFormat="0" applyAlignment="0" applyProtection="0">
      <alignment vertical="center"/>
    </xf>
    <xf numFmtId="0" fontId="76" fillId="0" borderId="142" applyNumberFormat="0" applyFill="0" applyAlignment="0" applyProtection="0">
      <alignment vertical="center"/>
    </xf>
    <xf numFmtId="0" fontId="72" fillId="47" borderId="139" applyNumberFormat="0" applyAlignment="0" applyProtection="0"/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3" fillId="27" borderId="140" applyNumberFormat="0" applyFont="0" applyAlignment="0" applyProtection="0">
      <alignment vertical="center"/>
    </xf>
    <xf numFmtId="167" fontId="3" fillId="0" borderId="0"/>
    <xf numFmtId="0" fontId="133" fillId="0" borderId="0">
      <alignment vertical="center"/>
    </xf>
    <xf numFmtId="0" fontId="133" fillId="0" borderId="0">
      <alignment vertical="center"/>
    </xf>
    <xf numFmtId="0" fontId="30" fillId="0" borderId="0"/>
    <xf numFmtId="0" fontId="72" fillId="47" borderId="139" applyNumberFormat="0" applyAlignment="0" applyProtection="0">
      <alignment vertical="center"/>
    </xf>
    <xf numFmtId="0" fontId="70" fillId="38" borderId="139" applyNumberFormat="0" applyAlignment="0" applyProtection="0">
      <alignment vertical="center"/>
    </xf>
    <xf numFmtId="0" fontId="133" fillId="27" borderId="140" applyNumberFormat="0" applyFont="0" applyAlignment="0" applyProtection="0">
      <alignment vertical="center"/>
    </xf>
    <xf numFmtId="0" fontId="71" fillId="47" borderId="141" applyNumberFormat="0" applyAlignment="0" applyProtection="0">
      <alignment vertical="center"/>
    </xf>
    <xf numFmtId="0" fontId="76" fillId="0" borderId="142" applyNumberFormat="0" applyFill="0" applyAlignment="0" applyProtection="0">
      <alignment vertical="center"/>
    </xf>
    <xf numFmtId="0" fontId="72" fillId="47" borderId="139" applyNumberFormat="0" applyAlignment="0" applyProtection="0"/>
    <xf numFmtId="167" fontId="133" fillId="0" borderId="0"/>
    <xf numFmtId="167" fontId="133" fillId="0" borderId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70" fillId="8" borderId="145" applyNumberFormat="0" applyAlignment="0" applyProtection="0"/>
    <xf numFmtId="0" fontId="71" fillId="21" borderId="146" applyNumberFormat="0" applyAlignment="0" applyProtection="0"/>
    <xf numFmtId="0" fontId="72" fillId="21" borderId="145" applyNumberFormat="0" applyAlignment="0" applyProtection="0"/>
    <xf numFmtId="0" fontId="76" fillId="0" borderId="147" applyNumberFormat="0" applyFill="0" applyAlignment="0" applyProtection="0"/>
    <xf numFmtId="0" fontId="7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71" fillId="21" borderId="146" applyNumberFormat="0" applyAlignment="0" applyProtection="0"/>
    <xf numFmtId="0" fontId="41" fillId="0" borderId="147" applyNumberFormat="0" applyFill="0" applyAlignment="0" applyProtection="0"/>
    <xf numFmtId="0" fontId="37" fillId="21" borderId="145" applyNumberFormat="0" applyAlignment="0" applyProtection="0"/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41" fillId="0" borderId="147" applyNumberFormat="0" applyFill="0" applyAlignment="0" applyProtection="0"/>
    <xf numFmtId="0" fontId="7" fillId="24" borderId="148" applyNumberFormat="0" applyFont="0" applyAlignment="0" applyProtection="0"/>
    <xf numFmtId="0" fontId="64" fillId="21" borderId="146" applyNumberFormat="0" applyAlignment="0" applyProtection="0">
      <alignment vertical="center"/>
    </xf>
    <xf numFmtId="0" fontId="35" fillId="8" borderId="145" applyNumberForma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64" fillId="21" borderId="146" applyNumberFormat="0" applyAlignment="0" applyProtection="0">
      <alignment vertical="center"/>
    </xf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66" fillId="0" borderId="147" applyNumberFormat="0" applyFill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36" fillId="21" borderId="146" applyNumberFormat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36" fillId="21" borderId="146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70" fillId="8" borderId="145" applyNumberFormat="0" applyAlignment="0" applyProtection="0"/>
    <xf numFmtId="0" fontId="71" fillId="21" borderId="146" applyNumberFormat="0" applyAlignment="0" applyProtection="0"/>
    <xf numFmtId="0" fontId="72" fillId="21" borderId="145" applyNumberFormat="0" applyAlignment="0" applyProtection="0"/>
    <xf numFmtId="0" fontId="37" fillId="21" borderId="145" applyNumberFormat="0" applyAlignment="0" applyProtection="0"/>
    <xf numFmtId="0" fontId="76" fillId="0" borderId="147" applyNumberFormat="0" applyFill="0" applyAlignment="0" applyProtection="0"/>
    <xf numFmtId="0" fontId="70" fillId="8" borderId="145" applyNumberFormat="0" applyAlignment="0" applyProtection="0"/>
    <xf numFmtId="0" fontId="76" fillId="0" borderId="147" applyNumberFormat="0" applyFill="0" applyAlignment="0" applyProtection="0"/>
    <xf numFmtId="0" fontId="7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36" fillId="21" borderId="146" applyNumberFormat="0" applyAlignment="0" applyProtection="0"/>
    <xf numFmtId="0" fontId="1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61" fillId="8" borderId="145" applyNumberFormat="0" applyAlignment="0" applyProtection="0">
      <alignment vertical="center"/>
    </xf>
    <xf numFmtId="0" fontId="72" fillId="21" borderId="145" applyNumberFormat="0" applyAlignment="0" applyProtection="0"/>
    <xf numFmtId="0" fontId="37" fillId="21" borderId="145" applyNumberFormat="0" applyAlignment="0" applyProtection="0"/>
    <xf numFmtId="0" fontId="54" fillId="21" borderId="145" applyNumberFormat="0" applyAlignment="0" applyProtection="0">
      <alignment vertical="center"/>
    </xf>
    <xf numFmtId="0" fontId="41" fillId="0" borderId="147" applyNumberFormat="0" applyFill="0" applyAlignment="0" applyProtection="0"/>
    <xf numFmtId="0" fontId="36" fillId="21" borderId="146" applyNumberFormat="0" applyAlignment="0" applyProtection="0"/>
    <xf numFmtId="0" fontId="1" fillId="24" borderId="148" applyNumberFormat="0" applyFont="0" applyAlignment="0" applyProtection="0"/>
    <xf numFmtId="0" fontId="61" fillId="8" borderId="145" applyNumberFormat="0" applyAlignment="0" applyProtection="0">
      <alignment vertical="center"/>
    </xf>
    <xf numFmtId="0" fontId="1" fillId="24" borderId="148" applyNumberFormat="0" applyFont="0" applyAlignment="0" applyProtection="0"/>
    <xf numFmtId="0" fontId="36" fillId="21" borderId="146" applyNumberFormat="0" applyAlignment="0" applyProtection="0"/>
    <xf numFmtId="0" fontId="51" fillId="24" borderId="148" applyNumberFormat="0" applyFont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70" fillId="8" borderId="145" applyNumberFormat="0" applyAlignment="0" applyProtection="0"/>
    <xf numFmtId="0" fontId="71" fillId="21" borderId="146" applyNumberFormat="0" applyAlignment="0" applyProtection="0"/>
    <xf numFmtId="0" fontId="72" fillId="21" borderId="145" applyNumberFormat="0" applyAlignment="0" applyProtection="0"/>
    <xf numFmtId="0" fontId="76" fillId="0" borderId="147" applyNumberFormat="0" applyFill="0" applyAlignment="0" applyProtection="0"/>
    <xf numFmtId="0" fontId="7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41" fillId="0" borderId="147" applyNumberFormat="0" applyFill="0" applyAlignment="0" applyProtection="0"/>
    <xf numFmtId="0" fontId="37" fillId="21" borderId="145" applyNumberFormat="0" applyAlignment="0" applyProtection="0"/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41" fillId="0" borderId="147" applyNumberFormat="0" applyFill="0" applyAlignment="0" applyProtection="0"/>
    <xf numFmtId="0" fontId="7" fillId="24" borderId="148" applyNumberFormat="0" applyFont="0" applyAlignment="0" applyProtection="0"/>
    <xf numFmtId="0" fontId="35" fillId="8" borderId="145" applyNumberForma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66" fillId="0" borderId="147" applyNumberFormat="0" applyFill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70" fillId="8" borderId="145" applyNumberFormat="0" applyAlignment="0" applyProtection="0"/>
    <xf numFmtId="0" fontId="71" fillId="21" borderId="146" applyNumberFormat="0" applyAlignment="0" applyProtection="0"/>
    <xf numFmtId="0" fontId="72" fillId="21" borderId="145" applyNumberFormat="0" applyAlignment="0" applyProtection="0"/>
    <xf numFmtId="0" fontId="37" fillId="21" borderId="145" applyNumberFormat="0" applyAlignment="0" applyProtection="0"/>
    <xf numFmtId="0" fontId="76" fillId="0" borderId="147" applyNumberFormat="0" applyFill="0" applyAlignment="0" applyProtection="0"/>
    <xf numFmtId="0" fontId="70" fillId="8" borderId="145" applyNumberFormat="0" applyAlignment="0" applyProtection="0"/>
    <xf numFmtId="0" fontId="76" fillId="0" borderId="147" applyNumberFormat="0" applyFill="0" applyAlignment="0" applyProtection="0"/>
    <xf numFmtId="0" fontId="7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1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61" fillId="8" borderId="145" applyNumberFormat="0" applyAlignment="0" applyProtection="0">
      <alignment vertical="center"/>
    </xf>
    <xf numFmtId="0" fontId="72" fillId="21" borderId="145" applyNumberFormat="0" applyAlignment="0" applyProtection="0"/>
    <xf numFmtId="0" fontId="37" fillId="21" borderId="145" applyNumberFormat="0" applyAlignment="0" applyProtection="0"/>
    <xf numFmtId="0" fontId="54" fillId="21" borderId="145" applyNumberFormat="0" applyAlignment="0" applyProtection="0">
      <alignment vertical="center"/>
    </xf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61" fillId="8" borderId="145" applyNumberForma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35" fillId="8" borderId="145" applyNumberFormat="0" applyAlignment="0" applyProtection="0"/>
    <xf numFmtId="4" fontId="86" fillId="27" borderId="149" applyNumberFormat="0" applyProtection="0">
      <alignment vertical="center"/>
    </xf>
    <xf numFmtId="0" fontId="2" fillId="28" borderId="149" applyNumberFormat="0" applyProtection="0">
      <alignment horizontal="left" vertical="top" indent="1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70" fillId="8" borderId="145" applyNumberFormat="0" applyAlignment="0" applyProtection="0"/>
    <xf numFmtId="0" fontId="71" fillId="21" borderId="146" applyNumberFormat="0" applyAlignment="0" applyProtection="0"/>
    <xf numFmtId="0" fontId="72" fillId="21" borderId="145" applyNumberFormat="0" applyAlignment="0" applyProtection="0"/>
    <xf numFmtId="0" fontId="76" fillId="0" borderId="147" applyNumberFormat="0" applyFill="0" applyAlignment="0" applyProtection="0"/>
    <xf numFmtId="0" fontId="7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71" fillId="21" borderId="146" applyNumberFormat="0" applyAlignment="0" applyProtection="0"/>
    <xf numFmtId="0" fontId="41" fillId="0" borderId="147" applyNumberFormat="0" applyFill="0" applyAlignment="0" applyProtection="0"/>
    <xf numFmtId="0" fontId="37" fillId="21" borderId="145" applyNumberFormat="0" applyAlignment="0" applyProtection="0"/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41" fillId="0" borderId="147" applyNumberFormat="0" applyFill="0" applyAlignment="0" applyProtection="0"/>
    <xf numFmtId="0" fontId="7" fillId="24" borderId="148" applyNumberFormat="0" applyFont="0" applyAlignment="0" applyProtection="0"/>
    <xf numFmtId="0" fontId="64" fillId="21" borderId="146" applyNumberFormat="0" applyAlignment="0" applyProtection="0">
      <alignment vertical="center"/>
    </xf>
    <xf numFmtId="0" fontId="35" fillId="8" borderId="145" applyNumberForma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64" fillId="21" borderId="146" applyNumberFormat="0" applyAlignment="0" applyProtection="0">
      <alignment vertical="center"/>
    </xf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66" fillId="0" borderId="147" applyNumberFormat="0" applyFill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36" fillId="21" borderId="146" applyNumberFormat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36" fillId="21" borderId="146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70" fillId="8" borderId="145" applyNumberFormat="0" applyAlignment="0" applyProtection="0"/>
    <xf numFmtId="0" fontId="71" fillId="21" borderId="146" applyNumberFormat="0" applyAlignment="0" applyProtection="0"/>
    <xf numFmtId="0" fontId="72" fillId="21" borderId="145" applyNumberFormat="0" applyAlignment="0" applyProtection="0"/>
    <xf numFmtId="0" fontId="37" fillId="21" borderId="145" applyNumberFormat="0" applyAlignment="0" applyProtection="0"/>
    <xf numFmtId="0" fontId="76" fillId="0" borderId="147" applyNumberFormat="0" applyFill="0" applyAlignment="0" applyProtection="0"/>
    <xf numFmtId="0" fontId="70" fillId="8" borderId="145" applyNumberFormat="0" applyAlignment="0" applyProtection="0"/>
    <xf numFmtId="0" fontId="76" fillId="0" borderId="147" applyNumberFormat="0" applyFill="0" applyAlignment="0" applyProtection="0"/>
    <xf numFmtId="0" fontId="7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36" fillId="21" borderId="146" applyNumberFormat="0" applyAlignment="0" applyProtection="0"/>
    <xf numFmtId="0" fontId="1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61" fillId="8" borderId="145" applyNumberFormat="0" applyAlignment="0" applyProtection="0">
      <alignment vertical="center"/>
    </xf>
    <xf numFmtId="0" fontId="72" fillId="21" borderId="145" applyNumberFormat="0" applyAlignment="0" applyProtection="0"/>
    <xf numFmtId="0" fontId="37" fillId="21" borderId="145" applyNumberFormat="0" applyAlignment="0" applyProtection="0"/>
    <xf numFmtId="0" fontId="54" fillId="21" borderId="145" applyNumberFormat="0" applyAlignment="0" applyProtection="0">
      <alignment vertical="center"/>
    </xf>
    <xf numFmtId="0" fontId="41" fillId="0" borderId="147" applyNumberFormat="0" applyFill="0" applyAlignment="0" applyProtection="0"/>
    <xf numFmtId="0" fontId="36" fillId="21" borderId="146" applyNumberFormat="0" applyAlignment="0" applyProtection="0"/>
    <xf numFmtId="0" fontId="1" fillId="24" borderId="148" applyNumberFormat="0" applyFont="0" applyAlignment="0" applyProtection="0"/>
    <xf numFmtId="0" fontId="61" fillId="8" borderId="145" applyNumberFormat="0" applyAlignment="0" applyProtection="0">
      <alignment vertical="center"/>
    </xf>
    <xf numFmtId="0" fontId="1" fillId="24" borderId="148" applyNumberFormat="0" applyFont="0" applyAlignment="0" applyProtection="0"/>
    <xf numFmtId="0" fontId="36" fillId="21" borderId="146" applyNumberFormat="0" applyAlignment="0" applyProtection="0"/>
    <xf numFmtId="0" fontId="51" fillId="24" borderId="148" applyNumberFormat="0" applyFont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70" fillId="8" borderId="145" applyNumberFormat="0" applyAlignment="0" applyProtection="0"/>
    <xf numFmtId="0" fontId="71" fillId="21" borderId="146" applyNumberFormat="0" applyAlignment="0" applyProtection="0"/>
    <xf numFmtId="0" fontId="72" fillId="21" borderId="145" applyNumberFormat="0" applyAlignment="0" applyProtection="0"/>
    <xf numFmtId="0" fontId="76" fillId="0" borderId="147" applyNumberFormat="0" applyFill="0" applyAlignment="0" applyProtection="0"/>
    <xf numFmtId="0" fontId="7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41" fillId="0" borderId="147" applyNumberFormat="0" applyFill="0" applyAlignment="0" applyProtection="0"/>
    <xf numFmtId="0" fontId="37" fillId="21" borderId="145" applyNumberFormat="0" applyAlignment="0" applyProtection="0"/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41" fillId="0" borderId="147" applyNumberFormat="0" applyFill="0" applyAlignment="0" applyProtection="0"/>
    <xf numFmtId="0" fontId="7" fillId="24" borderId="148" applyNumberFormat="0" applyFont="0" applyAlignment="0" applyProtection="0"/>
    <xf numFmtId="0" fontId="35" fillId="8" borderId="145" applyNumberForma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66" fillId="0" borderId="147" applyNumberFormat="0" applyFill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70" fillId="8" borderId="145" applyNumberFormat="0" applyAlignment="0" applyProtection="0"/>
    <xf numFmtId="0" fontId="71" fillId="21" borderId="146" applyNumberFormat="0" applyAlignment="0" applyProtection="0"/>
    <xf numFmtId="0" fontId="72" fillId="21" borderId="145" applyNumberFormat="0" applyAlignment="0" applyProtection="0"/>
    <xf numFmtId="0" fontId="37" fillId="21" borderId="145" applyNumberFormat="0" applyAlignment="0" applyProtection="0"/>
    <xf numFmtId="0" fontId="76" fillId="0" borderId="147" applyNumberFormat="0" applyFill="0" applyAlignment="0" applyProtection="0"/>
    <xf numFmtId="0" fontId="70" fillId="8" borderId="145" applyNumberFormat="0" applyAlignment="0" applyProtection="0"/>
    <xf numFmtId="0" fontId="76" fillId="0" borderId="147" applyNumberFormat="0" applyFill="0" applyAlignment="0" applyProtection="0"/>
    <xf numFmtId="0" fontId="7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1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61" fillId="8" borderId="145" applyNumberFormat="0" applyAlignment="0" applyProtection="0">
      <alignment vertical="center"/>
    </xf>
    <xf numFmtId="0" fontId="72" fillId="21" borderId="145" applyNumberFormat="0" applyAlignment="0" applyProtection="0"/>
    <xf numFmtId="0" fontId="37" fillId="21" borderId="145" applyNumberFormat="0" applyAlignment="0" applyProtection="0"/>
    <xf numFmtId="0" fontId="54" fillId="21" borderId="145" applyNumberFormat="0" applyAlignment="0" applyProtection="0">
      <alignment vertical="center"/>
    </xf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61" fillId="8" borderId="145" applyNumberForma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35" fillId="8" borderId="145" applyNumberFormat="0" applyAlignment="0" applyProtection="0"/>
    <xf numFmtId="4" fontId="86" fillId="27" borderId="149" applyNumberFormat="0" applyProtection="0">
      <alignment vertical="center"/>
    </xf>
    <xf numFmtId="0" fontId="2" fillId="28" borderId="149" applyNumberFormat="0" applyProtection="0">
      <alignment horizontal="left" vertical="top" indent="1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7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7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7" fillId="24" borderId="148" applyNumberFormat="0" applyFont="0" applyAlignment="0" applyProtection="0"/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7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7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7" fillId="24" borderId="148" applyNumberFormat="0" applyFont="0" applyAlignment="0" applyProtection="0"/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7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7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7" fillId="24" borderId="148" applyNumberFormat="0" applyFont="0" applyAlignment="0" applyProtection="0"/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7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7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7" fillId="24" borderId="148" applyNumberFormat="0" applyFont="0" applyAlignment="0" applyProtection="0"/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44" fontId="3" fillId="0" borderId="0" applyFont="0" applyFill="0" applyBorder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70" fillId="8" borderId="145" applyNumberFormat="0" applyAlignment="0" applyProtection="0"/>
    <xf numFmtId="0" fontId="71" fillId="21" borderId="146" applyNumberFormat="0" applyAlignment="0" applyProtection="0"/>
    <xf numFmtId="0" fontId="72" fillId="21" borderId="145" applyNumberFormat="0" applyAlignment="0" applyProtection="0"/>
    <xf numFmtId="0" fontId="76" fillId="0" borderId="147" applyNumberFormat="0" applyFill="0" applyAlignment="0" applyProtection="0"/>
    <xf numFmtId="0" fontId="7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71" fillId="21" borderId="146" applyNumberFormat="0" applyAlignment="0" applyProtection="0"/>
    <xf numFmtId="0" fontId="41" fillId="0" borderId="147" applyNumberFormat="0" applyFill="0" applyAlignment="0" applyProtection="0"/>
    <xf numFmtId="0" fontId="37" fillId="21" borderId="145" applyNumberFormat="0" applyAlignment="0" applyProtection="0"/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41" fillId="0" borderId="147" applyNumberFormat="0" applyFill="0" applyAlignment="0" applyProtection="0"/>
    <xf numFmtId="0" fontId="7" fillId="24" borderId="148" applyNumberFormat="0" applyFont="0" applyAlignment="0" applyProtection="0"/>
    <xf numFmtId="0" fontId="64" fillId="21" borderId="146" applyNumberFormat="0" applyAlignment="0" applyProtection="0">
      <alignment vertical="center"/>
    </xf>
    <xf numFmtId="0" fontId="35" fillId="8" borderId="145" applyNumberForma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64" fillId="21" borderId="146" applyNumberFormat="0" applyAlignment="0" applyProtection="0">
      <alignment vertical="center"/>
    </xf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66" fillId="0" borderId="147" applyNumberFormat="0" applyFill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36" fillId="21" borderId="146" applyNumberFormat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36" fillId="21" borderId="146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70" fillId="8" borderId="145" applyNumberFormat="0" applyAlignment="0" applyProtection="0"/>
    <xf numFmtId="0" fontId="71" fillId="21" borderId="146" applyNumberFormat="0" applyAlignment="0" applyProtection="0"/>
    <xf numFmtId="0" fontId="72" fillId="21" borderId="145" applyNumberFormat="0" applyAlignment="0" applyProtection="0"/>
    <xf numFmtId="0" fontId="37" fillId="21" borderId="145" applyNumberFormat="0" applyAlignment="0" applyProtection="0"/>
    <xf numFmtId="0" fontId="76" fillId="0" borderId="147" applyNumberFormat="0" applyFill="0" applyAlignment="0" applyProtection="0"/>
    <xf numFmtId="0" fontId="70" fillId="8" borderId="145" applyNumberFormat="0" applyAlignment="0" applyProtection="0"/>
    <xf numFmtId="0" fontId="76" fillId="0" borderId="147" applyNumberFormat="0" applyFill="0" applyAlignment="0" applyProtection="0"/>
    <xf numFmtId="0" fontId="7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36" fillId="21" borderId="146" applyNumberFormat="0" applyAlignment="0" applyProtection="0"/>
    <xf numFmtId="0" fontId="1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61" fillId="8" borderId="145" applyNumberFormat="0" applyAlignment="0" applyProtection="0">
      <alignment vertical="center"/>
    </xf>
    <xf numFmtId="0" fontId="72" fillId="21" borderId="145" applyNumberFormat="0" applyAlignment="0" applyProtection="0"/>
    <xf numFmtId="0" fontId="37" fillId="21" borderId="145" applyNumberFormat="0" applyAlignment="0" applyProtection="0"/>
    <xf numFmtId="0" fontId="54" fillId="21" borderId="145" applyNumberFormat="0" applyAlignment="0" applyProtection="0">
      <alignment vertical="center"/>
    </xf>
    <xf numFmtId="0" fontId="41" fillId="0" borderId="147" applyNumberFormat="0" applyFill="0" applyAlignment="0" applyProtection="0"/>
    <xf numFmtId="0" fontId="36" fillId="21" borderId="146" applyNumberFormat="0" applyAlignment="0" applyProtection="0"/>
    <xf numFmtId="0" fontId="1" fillId="24" borderId="148" applyNumberFormat="0" applyFont="0" applyAlignment="0" applyProtection="0"/>
    <xf numFmtId="0" fontId="61" fillId="8" borderId="145" applyNumberFormat="0" applyAlignment="0" applyProtection="0">
      <alignment vertical="center"/>
    </xf>
    <xf numFmtId="0" fontId="1" fillId="24" borderId="148" applyNumberFormat="0" applyFont="0" applyAlignment="0" applyProtection="0"/>
    <xf numFmtId="0" fontId="36" fillId="21" borderId="146" applyNumberFormat="0" applyAlignment="0" applyProtection="0"/>
    <xf numFmtId="0" fontId="51" fillId="24" borderId="148" applyNumberFormat="0" applyFont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70" fillId="8" borderId="145" applyNumberFormat="0" applyAlignment="0" applyProtection="0"/>
    <xf numFmtId="0" fontId="71" fillId="21" borderId="146" applyNumberFormat="0" applyAlignment="0" applyProtection="0"/>
    <xf numFmtId="0" fontId="72" fillId="21" borderId="145" applyNumberFormat="0" applyAlignment="0" applyProtection="0"/>
    <xf numFmtId="0" fontId="76" fillId="0" borderId="147" applyNumberFormat="0" applyFill="0" applyAlignment="0" applyProtection="0"/>
    <xf numFmtId="0" fontId="7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41" fillId="0" borderId="147" applyNumberFormat="0" applyFill="0" applyAlignment="0" applyProtection="0"/>
    <xf numFmtId="0" fontId="37" fillId="21" borderId="145" applyNumberFormat="0" applyAlignment="0" applyProtection="0"/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41" fillId="0" borderId="147" applyNumberFormat="0" applyFill="0" applyAlignment="0" applyProtection="0"/>
    <xf numFmtId="0" fontId="7" fillId="24" borderId="148" applyNumberFormat="0" applyFont="0" applyAlignment="0" applyProtection="0"/>
    <xf numFmtId="0" fontId="35" fillId="8" borderId="145" applyNumberForma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66" fillId="0" borderId="147" applyNumberFormat="0" applyFill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70" fillId="8" borderId="145" applyNumberFormat="0" applyAlignment="0" applyProtection="0"/>
    <xf numFmtId="0" fontId="71" fillId="21" borderId="146" applyNumberFormat="0" applyAlignment="0" applyProtection="0"/>
    <xf numFmtId="0" fontId="72" fillId="21" borderId="145" applyNumberFormat="0" applyAlignment="0" applyProtection="0"/>
    <xf numFmtId="0" fontId="37" fillId="21" borderId="145" applyNumberFormat="0" applyAlignment="0" applyProtection="0"/>
    <xf numFmtId="0" fontId="76" fillId="0" borderId="147" applyNumberFormat="0" applyFill="0" applyAlignment="0" applyProtection="0"/>
    <xf numFmtId="0" fontId="70" fillId="8" borderId="145" applyNumberFormat="0" applyAlignment="0" applyProtection="0"/>
    <xf numFmtId="0" fontId="76" fillId="0" borderId="147" applyNumberFormat="0" applyFill="0" applyAlignment="0" applyProtection="0"/>
    <xf numFmtId="0" fontId="7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1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61" fillId="8" borderId="145" applyNumberFormat="0" applyAlignment="0" applyProtection="0">
      <alignment vertical="center"/>
    </xf>
    <xf numFmtId="0" fontId="72" fillId="21" borderId="145" applyNumberFormat="0" applyAlignment="0" applyProtection="0"/>
    <xf numFmtId="0" fontId="37" fillId="21" borderId="145" applyNumberFormat="0" applyAlignment="0" applyProtection="0"/>
    <xf numFmtId="0" fontId="54" fillId="21" borderId="145" applyNumberFormat="0" applyAlignment="0" applyProtection="0">
      <alignment vertical="center"/>
    </xf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61" fillId="8" borderId="145" applyNumberForma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35" fillId="8" borderId="145" applyNumberFormat="0" applyAlignment="0" applyProtection="0"/>
    <xf numFmtId="4" fontId="86" fillId="27" borderId="149" applyNumberFormat="0" applyProtection="0">
      <alignment vertical="center"/>
    </xf>
    <xf numFmtId="0" fontId="2" fillId="28" borderId="149" applyNumberFormat="0" applyProtection="0">
      <alignment horizontal="left" vertical="top" indent="1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70" fillId="8" borderId="145" applyNumberFormat="0" applyAlignment="0" applyProtection="0"/>
    <xf numFmtId="0" fontId="71" fillId="21" borderId="146" applyNumberFormat="0" applyAlignment="0" applyProtection="0"/>
    <xf numFmtId="0" fontId="72" fillId="21" borderId="145" applyNumberFormat="0" applyAlignment="0" applyProtection="0"/>
    <xf numFmtId="0" fontId="76" fillId="0" borderId="147" applyNumberFormat="0" applyFill="0" applyAlignment="0" applyProtection="0"/>
    <xf numFmtId="0" fontId="7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71" fillId="21" borderId="146" applyNumberFormat="0" applyAlignment="0" applyProtection="0"/>
    <xf numFmtId="0" fontId="41" fillId="0" borderId="147" applyNumberFormat="0" applyFill="0" applyAlignment="0" applyProtection="0"/>
    <xf numFmtId="0" fontId="37" fillId="21" borderId="145" applyNumberFormat="0" applyAlignment="0" applyProtection="0"/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41" fillId="0" borderId="147" applyNumberFormat="0" applyFill="0" applyAlignment="0" applyProtection="0"/>
    <xf numFmtId="0" fontId="7" fillId="24" borderId="148" applyNumberFormat="0" applyFont="0" applyAlignment="0" applyProtection="0"/>
    <xf numFmtId="0" fontId="64" fillId="21" borderId="146" applyNumberFormat="0" applyAlignment="0" applyProtection="0">
      <alignment vertical="center"/>
    </xf>
    <xf numFmtId="0" fontId="35" fillId="8" borderId="145" applyNumberForma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64" fillId="21" borderId="146" applyNumberFormat="0" applyAlignment="0" applyProtection="0">
      <alignment vertical="center"/>
    </xf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66" fillId="0" borderId="147" applyNumberFormat="0" applyFill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36" fillId="21" borderId="146" applyNumberFormat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36" fillId="21" borderId="146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70" fillId="8" borderId="145" applyNumberFormat="0" applyAlignment="0" applyProtection="0"/>
    <xf numFmtId="0" fontId="71" fillId="21" borderId="146" applyNumberFormat="0" applyAlignment="0" applyProtection="0"/>
    <xf numFmtId="0" fontId="72" fillId="21" borderId="145" applyNumberFormat="0" applyAlignment="0" applyProtection="0"/>
    <xf numFmtId="0" fontId="37" fillId="21" borderId="145" applyNumberFormat="0" applyAlignment="0" applyProtection="0"/>
    <xf numFmtId="0" fontId="76" fillId="0" borderId="147" applyNumberFormat="0" applyFill="0" applyAlignment="0" applyProtection="0"/>
    <xf numFmtId="0" fontId="70" fillId="8" borderId="145" applyNumberFormat="0" applyAlignment="0" applyProtection="0"/>
    <xf numFmtId="0" fontId="76" fillId="0" borderId="147" applyNumberFormat="0" applyFill="0" applyAlignment="0" applyProtection="0"/>
    <xf numFmtId="0" fontId="7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36" fillId="21" borderId="146" applyNumberFormat="0" applyAlignment="0" applyProtection="0"/>
    <xf numFmtId="0" fontId="1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61" fillId="8" borderId="145" applyNumberFormat="0" applyAlignment="0" applyProtection="0">
      <alignment vertical="center"/>
    </xf>
    <xf numFmtId="0" fontId="72" fillId="21" borderId="145" applyNumberFormat="0" applyAlignment="0" applyProtection="0"/>
    <xf numFmtId="0" fontId="37" fillId="21" borderId="145" applyNumberFormat="0" applyAlignment="0" applyProtection="0"/>
    <xf numFmtId="0" fontId="54" fillId="21" borderId="145" applyNumberFormat="0" applyAlignment="0" applyProtection="0">
      <alignment vertical="center"/>
    </xf>
    <xf numFmtId="0" fontId="41" fillId="0" borderId="147" applyNumberFormat="0" applyFill="0" applyAlignment="0" applyProtection="0"/>
    <xf numFmtId="0" fontId="36" fillId="21" borderId="146" applyNumberFormat="0" applyAlignment="0" applyProtection="0"/>
    <xf numFmtId="0" fontId="1" fillId="24" borderId="148" applyNumberFormat="0" applyFont="0" applyAlignment="0" applyProtection="0"/>
    <xf numFmtId="0" fontId="61" fillId="8" borderId="145" applyNumberFormat="0" applyAlignment="0" applyProtection="0">
      <alignment vertical="center"/>
    </xf>
    <xf numFmtId="0" fontId="1" fillId="24" borderId="148" applyNumberFormat="0" applyFont="0" applyAlignment="0" applyProtection="0"/>
    <xf numFmtId="0" fontId="36" fillId="21" borderId="146" applyNumberFormat="0" applyAlignment="0" applyProtection="0"/>
    <xf numFmtId="0" fontId="51" fillId="24" borderId="148" applyNumberFormat="0" applyFont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70" fillId="8" borderId="145" applyNumberFormat="0" applyAlignment="0" applyProtection="0"/>
    <xf numFmtId="0" fontId="71" fillId="21" borderId="146" applyNumberFormat="0" applyAlignment="0" applyProtection="0"/>
    <xf numFmtId="0" fontId="72" fillId="21" borderId="145" applyNumberFormat="0" applyAlignment="0" applyProtection="0"/>
    <xf numFmtId="0" fontId="76" fillId="0" borderId="147" applyNumberFormat="0" applyFill="0" applyAlignment="0" applyProtection="0"/>
    <xf numFmtId="0" fontId="7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41" fillId="0" borderId="147" applyNumberFormat="0" applyFill="0" applyAlignment="0" applyProtection="0"/>
    <xf numFmtId="0" fontId="37" fillId="21" borderId="145" applyNumberFormat="0" applyAlignment="0" applyProtection="0"/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41" fillId="0" borderId="147" applyNumberFormat="0" applyFill="0" applyAlignment="0" applyProtection="0"/>
    <xf numFmtId="0" fontId="7" fillId="24" borderId="148" applyNumberFormat="0" applyFont="0" applyAlignment="0" applyProtection="0"/>
    <xf numFmtId="0" fontId="35" fillId="8" borderId="145" applyNumberForma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66" fillId="0" borderId="147" applyNumberFormat="0" applyFill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70" fillId="8" borderId="145" applyNumberFormat="0" applyAlignment="0" applyProtection="0"/>
    <xf numFmtId="0" fontId="71" fillId="21" borderId="146" applyNumberFormat="0" applyAlignment="0" applyProtection="0"/>
    <xf numFmtId="0" fontId="72" fillId="21" borderId="145" applyNumberFormat="0" applyAlignment="0" applyProtection="0"/>
    <xf numFmtId="0" fontId="37" fillId="21" borderId="145" applyNumberFormat="0" applyAlignment="0" applyProtection="0"/>
    <xf numFmtId="0" fontId="76" fillId="0" borderId="147" applyNumberFormat="0" applyFill="0" applyAlignment="0" applyProtection="0"/>
    <xf numFmtId="0" fontId="70" fillId="8" borderId="145" applyNumberFormat="0" applyAlignment="0" applyProtection="0"/>
    <xf numFmtId="0" fontId="76" fillId="0" borderId="147" applyNumberFormat="0" applyFill="0" applyAlignment="0" applyProtection="0"/>
    <xf numFmtId="0" fontId="7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1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61" fillId="8" borderId="145" applyNumberFormat="0" applyAlignment="0" applyProtection="0">
      <alignment vertical="center"/>
    </xf>
    <xf numFmtId="0" fontId="72" fillId="21" borderId="145" applyNumberFormat="0" applyAlignment="0" applyProtection="0"/>
    <xf numFmtId="0" fontId="37" fillId="21" borderId="145" applyNumberFormat="0" applyAlignment="0" applyProtection="0"/>
    <xf numFmtId="0" fontId="54" fillId="21" borderId="145" applyNumberFormat="0" applyAlignment="0" applyProtection="0">
      <alignment vertical="center"/>
    </xf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61" fillId="8" borderId="145" applyNumberForma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35" fillId="8" borderId="145" applyNumberFormat="0" applyAlignment="0" applyProtection="0"/>
    <xf numFmtId="4" fontId="86" fillId="27" borderId="149" applyNumberFormat="0" applyProtection="0">
      <alignment vertical="center"/>
    </xf>
    <xf numFmtId="0" fontId="2" fillId="28" borderId="149" applyNumberFormat="0" applyProtection="0">
      <alignment horizontal="left" vertical="top" indent="1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2" fillId="28" borderId="149" applyNumberFormat="0" applyProtection="0">
      <alignment horizontal="left" vertical="top" indent="1"/>
    </xf>
    <xf numFmtId="0" fontId="2" fillId="28" borderId="149" applyNumberFormat="0" applyProtection="0">
      <alignment horizontal="left" vertical="top" indent="1"/>
    </xf>
    <xf numFmtId="0" fontId="2" fillId="28" borderId="149" applyNumberFormat="0" applyProtection="0">
      <alignment horizontal="left" vertical="top" indent="1"/>
    </xf>
    <xf numFmtId="0" fontId="2" fillId="28" borderId="149" applyNumberFormat="0" applyProtection="0">
      <alignment horizontal="left" vertical="top" indent="1"/>
    </xf>
    <xf numFmtId="4" fontId="86" fillId="27" borderId="149" applyNumberFormat="0" applyProtection="0">
      <alignment vertical="center"/>
    </xf>
    <xf numFmtId="4" fontId="86" fillId="27" borderId="149" applyNumberFormat="0" applyProtection="0">
      <alignment vertical="center"/>
    </xf>
    <xf numFmtId="4" fontId="86" fillId="27" borderId="149" applyNumberFormat="0" applyProtection="0">
      <alignment vertical="center"/>
    </xf>
    <xf numFmtId="4" fontId="86" fillId="27" borderId="149" applyNumberForma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70" fillId="8" borderId="145" applyNumberFormat="0" applyAlignment="0" applyProtection="0"/>
    <xf numFmtId="0" fontId="70" fillId="8" borderId="145" applyNumberFormat="0" applyAlignment="0" applyProtection="0"/>
    <xf numFmtId="0" fontId="70" fillId="8" borderId="145" applyNumberFormat="0" applyAlignment="0" applyProtection="0"/>
    <xf numFmtId="0" fontId="70" fillId="8" borderId="145" applyNumberFormat="0" applyAlignment="0" applyProtection="0"/>
    <xf numFmtId="0" fontId="70" fillId="8" borderId="145" applyNumberFormat="0" applyAlignment="0" applyProtection="0"/>
    <xf numFmtId="0" fontId="70" fillId="8" borderId="145" applyNumberFormat="0" applyAlignment="0" applyProtection="0"/>
    <xf numFmtId="0" fontId="70" fillId="8" borderId="145" applyNumberFormat="0" applyAlignment="0" applyProtection="0"/>
    <xf numFmtId="0" fontId="70" fillId="8" borderId="145" applyNumberFormat="0" applyAlignment="0" applyProtection="0"/>
    <xf numFmtId="0" fontId="70" fillId="8" borderId="145" applyNumberFormat="0" applyAlignment="0" applyProtection="0"/>
    <xf numFmtId="0" fontId="70" fillId="8" borderId="145" applyNumberFormat="0" applyAlignment="0" applyProtection="0"/>
    <xf numFmtId="0" fontId="70" fillId="8" borderId="145" applyNumberFormat="0" applyAlignment="0" applyProtection="0"/>
    <xf numFmtId="0" fontId="70" fillId="8" borderId="145" applyNumberFormat="0" applyAlignment="0" applyProtection="0"/>
    <xf numFmtId="0" fontId="70" fillId="8" borderId="145" applyNumberFormat="0" applyAlignment="0" applyProtection="0"/>
    <xf numFmtId="0" fontId="70" fillId="8" borderId="145" applyNumberFormat="0" applyAlignment="0" applyProtection="0"/>
    <xf numFmtId="0" fontId="70" fillId="8" borderId="145" applyNumberFormat="0" applyAlignment="0" applyProtection="0"/>
    <xf numFmtId="0" fontId="70" fillId="8" borderId="145" applyNumberFormat="0" applyAlignment="0" applyProtection="0"/>
    <xf numFmtId="0" fontId="70" fillId="8" borderId="145" applyNumberFormat="0" applyAlignment="0" applyProtection="0"/>
    <xf numFmtId="0" fontId="70" fillId="8" borderId="145" applyNumberFormat="0" applyAlignment="0" applyProtection="0"/>
    <xf numFmtId="0" fontId="70" fillId="8" borderId="145" applyNumberFormat="0" applyAlignment="0" applyProtection="0"/>
    <xf numFmtId="0" fontId="70" fillId="8" borderId="145" applyNumberFormat="0" applyAlignment="0" applyProtection="0"/>
    <xf numFmtId="0" fontId="70" fillId="8" borderId="145" applyNumberFormat="0" applyAlignment="0" applyProtection="0"/>
    <xf numFmtId="0" fontId="70" fillId="8" borderId="145" applyNumberFormat="0" applyAlignment="0" applyProtection="0"/>
    <xf numFmtId="0" fontId="70" fillId="8" borderId="145" applyNumberFormat="0" applyAlignment="0" applyProtection="0"/>
    <xf numFmtId="0" fontId="70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71" fillId="21" borderId="146" applyNumberFormat="0" applyAlignment="0" applyProtection="0"/>
    <xf numFmtId="0" fontId="71" fillId="21" borderId="146" applyNumberFormat="0" applyAlignment="0" applyProtection="0"/>
    <xf numFmtId="0" fontId="71" fillId="21" borderId="146" applyNumberFormat="0" applyAlignment="0" applyProtection="0"/>
    <xf numFmtId="0" fontId="71" fillId="21" borderId="146" applyNumberFormat="0" applyAlignment="0" applyProtection="0"/>
    <xf numFmtId="0" fontId="71" fillId="21" borderId="146" applyNumberFormat="0" applyAlignment="0" applyProtection="0"/>
    <xf numFmtId="0" fontId="71" fillId="21" borderId="146" applyNumberFormat="0" applyAlignment="0" applyProtection="0"/>
    <xf numFmtId="0" fontId="71" fillId="21" borderId="146" applyNumberFormat="0" applyAlignment="0" applyProtection="0"/>
    <xf numFmtId="0" fontId="71" fillId="21" borderId="146" applyNumberFormat="0" applyAlignment="0" applyProtection="0"/>
    <xf numFmtId="0" fontId="71" fillId="21" borderId="146" applyNumberFormat="0" applyAlignment="0" applyProtection="0"/>
    <xf numFmtId="0" fontId="71" fillId="21" borderId="146" applyNumberFormat="0" applyAlignment="0" applyProtection="0"/>
    <xf numFmtId="0" fontId="71" fillId="21" borderId="146" applyNumberFormat="0" applyAlignment="0" applyProtection="0"/>
    <xf numFmtId="0" fontId="71" fillId="21" borderId="146" applyNumberFormat="0" applyAlignment="0" applyProtection="0"/>
    <xf numFmtId="0" fontId="71" fillId="21" borderId="146" applyNumberFormat="0" applyAlignment="0" applyProtection="0"/>
    <xf numFmtId="0" fontId="71" fillId="21" borderId="146" applyNumberFormat="0" applyAlignment="0" applyProtection="0"/>
    <xf numFmtId="0" fontId="71" fillId="21" borderId="146" applyNumberFormat="0" applyAlignment="0" applyProtection="0"/>
    <xf numFmtId="0" fontId="71" fillId="21" borderId="146" applyNumberFormat="0" applyAlignment="0" applyProtection="0"/>
    <xf numFmtId="0" fontId="71" fillId="21" borderId="146" applyNumberFormat="0" applyAlignment="0" applyProtection="0"/>
    <xf numFmtId="0" fontId="71" fillId="21" borderId="146" applyNumberFormat="0" applyAlignment="0" applyProtection="0"/>
    <xf numFmtId="0" fontId="71" fillId="21" borderId="146" applyNumberFormat="0" applyAlignment="0" applyProtection="0"/>
    <xf numFmtId="0" fontId="71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72" fillId="21" borderId="145" applyNumberFormat="0" applyAlignment="0" applyProtection="0"/>
    <xf numFmtId="0" fontId="72" fillId="21" borderId="145" applyNumberFormat="0" applyAlignment="0" applyProtection="0"/>
    <xf numFmtId="0" fontId="72" fillId="21" borderId="145" applyNumberFormat="0" applyAlignment="0" applyProtection="0"/>
    <xf numFmtId="0" fontId="72" fillId="21" borderId="145" applyNumberFormat="0" applyAlignment="0" applyProtection="0"/>
    <xf numFmtId="0" fontId="72" fillId="21" borderId="145" applyNumberFormat="0" applyAlignment="0" applyProtection="0"/>
    <xf numFmtId="0" fontId="72" fillId="21" borderId="145" applyNumberFormat="0" applyAlignment="0" applyProtection="0"/>
    <xf numFmtId="0" fontId="72" fillId="21" borderId="145" applyNumberFormat="0" applyAlignment="0" applyProtection="0"/>
    <xf numFmtId="0" fontId="72" fillId="21" borderId="145" applyNumberFormat="0" applyAlignment="0" applyProtection="0"/>
    <xf numFmtId="0" fontId="72" fillId="21" borderId="145" applyNumberFormat="0" applyAlignment="0" applyProtection="0"/>
    <xf numFmtId="0" fontId="72" fillId="21" borderId="145" applyNumberFormat="0" applyAlignment="0" applyProtection="0"/>
    <xf numFmtId="0" fontId="72" fillId="21" borderId="145" applyNumberFormat="0" applyAlignment="0" applyProtection="0"/>
    <xf numFmtId="0" fontId="72" fillId="21" borderId="145" applyNumberFormat="0" applyAlignment="0" applyProtection="0"/>
    <xf numFmtId="0" fontId="72" fillId="21" borderId="145" applyNumberFormat="0" applyAlignment="0" applyProtection="0"/>
    <xf numFmtId="0" fontId="72" fillId="21" borderId="145" applyNumberFormat="0" applyAlignment="0" applyProtection="0"/>
    <xf numFmtId="0" fontId="72" fillId="21" borderId="145" applyNumberFormat="0" applyAlignment="0" applyProtection="0"/>
    <xf numFmtId="0" fontId="72" fillId="21" borderId="145" applyNumberFormat="0" applyAlignment="0" applyProtection="0"/>
    <xf numFmtId="0" fontId="72" fillId="21" borderId="145" applyNumberFormat="0" applyAlignment="0" applyProtection="0"/>
    <xf numFmtId="0" fontId="72" fillId="21" borderId="145" applyNumberFormat="0" applyAlignment="0" applyProtection="0"/>
    <xf numFmtId="0" fontId="72" fillId="21" borderId="145" applyNumberFormat="0" applyAlignment="0" applyProtection="0"/>
    <xf numFmtId="0" fontId="72" fillId="21" borderId="145" applyNumberFormat="0" applyAlignment="0" applyProtection="0"/>
    <xf numFmtId="0" fontId="72" fillId="21" borderId="145" applyNumberFormat="0" applyAlignment="0" applyProtection="0"/>
    <xf numFmtId="0" fontId="72" fillId="21" borderId="145" applyNumberFormat="0" applyAlignment="0" applyProtection="0"/>
    <xf numFmtId="0" fontId="72" fillId="21" borderId="145" applyNumberFormat="0" applyAlignment="0" applyProtection="0"/>
    <xf numFmtId="0" fontId="72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76" fillId="0" borderId="147" applyNumberFormat="0" applyFill="0" applyAlignment="0" applyProtection="0"/>
    <xf numFmtId="0" fontId="76" fillId="0" borderId="147" applyNumberFormat="0" applyFill="0" applyAlignment="0" applyProtection="0"/>
    <xf numFmtId="0" fontId="76" fillId="0" borderId="147" applyNumberFormat="0" applyFill="0" applyAlignment="0" applyProtection="0"/>
    <xf numFmtId="0" fontId="76" fillId="0" borderId="147" applyNumberFormat="0" applyFill="0" applyAlignment="0" applyProtection="0"/>
    <xf numFmtId="0" fontId="76" fillId="0" borderId="147" applyNumberFormat="0" applyFill="0" applyAlignment="0" applyProtection="0"/>
    <xf numFmtId="0" fontId="76" fillId="0" borderId="147" applyNumberFormat="0" applyFill="0" applyAlignment="0" applyProtection="0"/>
    <xf numFmtId="0" fontId="76" fillId="0" borderId="147" applyNumberFormat="0" applyFill="0" applyAlignment="0" applyProtection="0"/>
    <xf numFmtId="0" fontId="76" fillId="0" borderId="147" applyNumberFormat="0" applyFill="0" applyAlignment="0" applyProtection="0"/>
    <xf numFmtId="0" fontId="76" fillId="0" borderId="147" applyNumberFormat="0" applyFill="0" applyAlignment="0" applyProtection="0"/>
    <xf numFmtId="0" fontId="76" fillId="0" borderId="147" applyNumberFormat="0" applyFill="0" applyAlignment="0" applyProtection="0"/>
    <xf numFmtId="0" fontId="76" fillId="0" borderId="147" applyNumberFormat="0" applyFill="0" applyAlignment="0" applyProtection="0"/>
    <xf numFmtId="0" fontId="76" fillId="0" borderId="147" applyNumberFormat="0" applyFill="0" applyAlignment="0" applyProtection="0"/>
    <xf numFmtId="0" fontId="76" fillId="0" borderId="147" applyNumberFormat="0" applyFill="0" applyAlignment="0" applyProtection="0"/>
    <xf numFmtId="0" fontId="76" fillId="0" borderId="147" applyNumberFormat="0" applyFill="0" applyAlignment="0" applyProtection="0"/>
    <xf numFmtId="0" fontId="76" fillId="0" borderId="147" applyNumberFormat="0" applyFill="0" applyAlignment="0" applyProtection="0"/>
    <xf numFmtId="0" fontId="76" fillId="0" borderId="147" applyNumberFormat="0" applyFill="0" applyAlignment="0" applyProtection="0"/>
    <xf numFmtId="0" fontId="76" fillId="0" borderId="147" applyNumberFormat="0" applyFill="0" applyAlignment="0" applyProtection="0"/>
    <xf numFmtId="0" fontId="76" fillId="0" borderId="147" applyNumberFormat="0" applyFill="0" applyAlignment="0" applyProtection="0"/>
    <xf numFmtId="0" fontId="76" fillId="0" borderId="147" applyNumberFormat="0" applyFill="0" applyAlignment="0" applyProtection="0"/>
    <xf numFmtId="0" fontId="76" fillId="0" borderId="147" applyNumberFormat="0" applyFill="0" applyAlignment="0" applyProtection="0"/>
    <xf numFmtId="0" fontId="76" fillId="0" borderId="147" applyNumberFormat="0" applyFill="0" applyAlignment="0" applyProtection="0"/>
    <xf numFmtId="0" fontId="76" fillId="0" borderId="147" applyNumberFormat="0" applyFill="0" applyAlignment="0" applyProtection="0"/>
    <xf numFmtId="0" fontId="76" fillId="0" borderId="147" applyNumberFormat="0" applyFill="0" applyAlignment="0" applyProtection="0"/>
    <xf numFmtId="0" fontId="76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7" fillId="24" borderId="148" applyNumberFormat="0" applyFont="0" applyAlignment="0" applyProtection="0"/>
    <xf numFmtId="0" fontId="7" fillId="24" borderId="148" applyNumberFormat="0" applyFont="0" applyAlignment="0" applyProtection="0"/>
    <xf numFmtId="0" fontId="7" fillId="24" borderId="148" applyNumberFormat="0" applyFont="0" applyAlignment="0" applyProtection="0"/>
    <xf numFmtId="0" fontId="7" fillId="24" borderId="148" applyNumberFormat="0" applyFont="0" applyAlignment="0" applyProtection="0"/>
    <xf numFmtId="0" fontId="7" fillId="24" borderId="148" applyNumberFormat="0" applyFont="0" applyAlignment="0" applyProtection="0"/>
    <xf numFmtId="0" fontId="7" fillId="24" borderId="148" applyNumberFormat="0" applyFont="0" applyAlignment="0" applyProtection="0"/>
    <xf numFmtId="0" fontId="7" fillId="24" borderId="148" applyNumberFormat="0" applyFont="0" applyAlignment="0" applyProtection="0"/>
    <xf numFmtId="0" fontId="7" fillId="24" borderId="148" applyNumberFormat="0" applyFont="0" applyAlignment="0" applyProtection="0"/>
    <xf numFmtId="0" fontId="7" fillId="24" borderId="148" applyNumberFormat="0" applyFont="0" applyAlignment="0" applyProtection="0"/>
    <xf numFmtId="0" fontId="7" fillId="24" borderId="148" applyNumberFormat="0" applyFont="0" applyAlignment="0" applyProtection="0"/>
    <xf numFmtId="0" fontId="7" fillId="24" borderId="148" applyNumberFormat="0" applyFont="0" applyAlignment="0" applyProtection="0"/>
    <xf numFmtId="0" fontId="7" fillId="24" borderId="148" applyNumberFormat="0" applyFont="0" applyAlignment="0" applyProtection="0"/>
    <xf numFmtId="0" fontId="7" fillId="24" borderId="148" applyNumberFormat="0" applyFont="0" applyAlignment="0" applyProtection="0"/>
    <xf numFmtId="0" fontId="7" fillId="24" borderId="148" applyNumberFormat="0" applyFont="0" applyAlignment="0" applyProtection="0"/>
    <xf numFmtId="0" fontId="7" fillId="24" borderId="148" applyNumberFormat="0" applyFont="0" applyAlignment="0" applyProtection="0"/>
    <xf numFmtId="0" fontId="7" fillId="24" borderId="148" applyNumberFormat="0" applyFont="0" applyAlignment="0" applyProtection="0"/>
    <xf numFmtId="0" fontId="7" fillId="24" borderId="148" applyNumberFormat="0" applyFont="0" applyAlignment="0" applyProtection="0"/>
    <xf numFmtId="0" fontId="7" fillId="24" borderId="148" applyNumberFormat="0" applyFont="0" applyAlignment="0" applyProtection="0"/>
    <xf numFmtId="0" fontId="7" fillId="24" borderId="148" applyNumberFormat="0" applyFont="0" applyAlignment="0" applyProtection="0"/>
    <xf numFmtId="0" fontId="7" fillId="24" borderId="148" applyNumberFormat="0" applyFont="0" applyAlignment="0" applyProtection="0"/>
    <xf numFmtId="0" fontId="7" fillId="24" borderId="148" applyNumberFormat="0" applyFont="0" applyAlignment="0" applyProtection="0"/>
    <xf numFmtId="0" fontId="7" fillId="24" borderId="148" applyNumberFormat="0" applyFont="0" applyAlignment="0" applyProtection="0"/>
    <xf numFmtId="0" fontId="7" fillId="24" borderId="148" applyNumberFormat="0" applyFont="0" applyAlignment="0" applyProtection="0"/>
    <xf numFmtId="0" fontId="7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70" fillId="8" borderId="145" applyNumberFormat="0" applyAlignment="0" applyProtection="0"/>
    <xf numFmtId="0" fontId="71" fillId="21" borderId="146" applyNumberFormat="0" applyAlignment="0" applyProtection="0"/>
    <xf numFmtId="0" fontId="72" fillId="21" borderId="145" applyNumberFormat="0" applyAlignment="0" applyProtection="0"/>
    <xf numFmtId="0" fontId="76" fillId="0" borderId="147" applyNumberFormat="0" applyFill="0" applyAlignment="0" applyProtection="0"/>
    <xf numFmtId="0" fontId="7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71" fillId="21" borderId="146" applyNumberFormat="0" applyAlignment="0" applyProtection="0"/>
    <xf numFmtId="0" fontId="41" fillId="0" borderId="147" applyNumberFormat="0" applyFill="0" applyAlignment="0" applyProtection="0"/>
    <xf numFmtId="0" fontId="37" fillId="21" borderId="145" applyNumberFormat="0" applyAlignment="0" applyProtection="0"/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41" fillId="0" borderId="147" applyNumberFormat="0" applyFill="0" applyAlignment="0" applyProtection="0"/>
    <xf numFmtId="0" fontId="7" fillId="24" borderId="148" applyNumberFormat="0" applyFont="0" applyAlignment="0" applyProtection="0"/>
    <xf numFmtId="0" fontId="64" fillId="21" borderId="146" applyNumberFormat="0" applyAlignment="0" applyProtection="0">
      <alignment vertical="center"/>
    </xf>
    <xf numFmtId="0" fontId="35" fillId="8" borderId="145" applyNumberForma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64" fillId="21" borderId="146" applyNumberFormat="0" applyAlignment="0" applyProtection="0">
      <alignment vertical="center"/>
    </xf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66" fillId="0" borderId="147" applyNumberFormat="0" applyFill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36" fillId="21" borderId="146" applyNumberFormat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36" fillId="21" borderId="146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70" fillId="8" borderId="145" applyNumberFormat="0" applyAlignment="0" applyProtection="0"/>
    <xf numFmtId="0" fontId="71" fillId="21" borderId="146" applyNumberFormat="0" applyAlignment="0" applyProtection="0"/>
    <xf numFmtId="0" fontId="72" fillId="21" borderId="145" applyNumberFormat="0" applyAlignment="0" applyProtection="0"/>
    <xf numFmtId="0" fontId="37" fillId="21" borderId="145" applyNumberFormat="0" applyAlignment="0" applyProtection="0"/>
    <xf numFmtId="0" fontId="76" fillId="0" borderId="147" applyNumberFormat="0" applyFill="0" applyAlignment="0" applyProtection="0"/>
    <xf numFmtId="0" fontId="70" fillId="8" borderId="145" applyNumberFormat="0" applyAlignment="0" applyProtection="0"/>
    <xf numFmtId="0" fontId="76" fillId="0" borderId="147" applyNumberFormat="0" applyFill="0" applyAlignment="0" applyProtection="0"/>
    <xf numFmtId="0" fontId="7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36" fillId="21" borderId="146" applyNumberFormat="0" applyAlignment="0" applyProtection="0"/>
    <xf numFmtId="0" fontId="1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61" fillId="8" borderId="145" applyNumberFormat="0" applyAlignment="0" applyProtection="0">
      <alignment vertical="center"/>
    </xf>
    <xf numFmtId="0" fontId="72" fillId="21" borderId="145" applyNumberFormat="0" applyAlignment="0" applyProtection="0"/>
    <xf numFmtId="0" fontId="37" fillId="21" borderId="145" applyNumberFormat="0" applyAlignment="0" applyProtection="0"/>
    <xf numFmtId="0" fontId="54" fillId="21" borderId="145" applyNumberFormat="0" applyAlignment="0" applyProtection="0">
      <alignment vertical="center"/>
    </xf>
    <xf numFmtId="0" fontId="41" fillId="0" borderId="147" applyNumberFormat="0" applyFill="0" applyAlignment="0" applyProtection="0"/>
    <xf numFmtId="0" fontId="36" fillId="21" borderId="146" applyNumberFormat="0" applyAlignment="0" applyProtection="0"/>
    <xf numFmtId="0" fontId="1" fillId="24" borderId="148" applyNumberFormat="0" applyFont="0" applyAlignment="0" applyProtection="0"/>
    <xf numFmtId="0" fontId="61" fillId="8" borderId="145" applyNumberFormat="0" applyAlignment="0" applyProtection="0">
      <alignment vertical="center"/>
    </xf>
    <xf numFmtId="0" fontId="1" fillId="24" borderId="148" applyNumberFormat="0" applyFont="0" applyAlignment="0" applyProtection="0"/>
    <xf numFmtId="0" fontId="36" fillId="21" borderId="146" applyNumberFormat="0" applyAlignment="0" applyProtection="0"/>
    <xf numFmtId="0" fontId="51" fillId="24" borderId="148" applyNumberFormat="0" applyFont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70" fillId="8" borderId="145" applyNumberFormat="0" applyAlignment="0" applyProtection="0"/>
    <xf numFmtId="0" fontId="71" fillId="21" borderId="146" applyNumberFormat="0" applyAlignment="0" applyProtection="0"/>
    <xf numFmtId="0" fontId="72" fillId="21" borderId="145" applyNumberFormat="0" applyAlignment="0" applyProtection="0"/>
    <xf numFmtId="0" fontId="76" fillId="0" borderId="147" applyNumberFormat="0" applyFill="0" applyAlignment="0" applyProtection="0"/>
    <xf numFmtId="0" fontId="7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41" fillId="0" borderId="147" applyNumberFormat="0" applyFill="0" applyAlignment="0" applyProtection="0"/>
    <xf numFmtId="0" fontId="37" fillId="21" borderId="145" applyNumberFormat="0" applyAlignment="0" applyProtection="0"/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41" fillId="0" borderId="147" applyNumberFormat="0" applyFill="0" applyAlignment="0" applyProtection="0"/>
    <xf numFmtId="0" fontId="7" fillId="24" borderId="148" applyNumberFormat="0" applyFont="0" applyAlignment="0" applyProtection="0"/>
    <xf numFmtId="0" fontId="35" fillId="8" borderId="145" applyNumberForma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66" fillId="0" borderId="147" applyNumberFormat="0" applyFill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70" fillId="8" borderId="145" applyNumberFormat="0" applyAlignment="0" applyProtection="0"/>
    <xf numFmtId="0" fontId="71" fillId="21" borderId="146" applyNumberFormat="0" applyAlignment="0" applyProtection="0"/>
    <xf numFmtId="0" fontId="72" fillId="21" borderId="145" applyNumberFormat="0" applyAlignment="0" applyProtection="0"/>
    <xf numFmtId="0" fontId="37" fillId="21" borderId="145" applyNumberFormat="0" applyAlignment="0" applyProtection="0"/>
    <xf numFmtId="0" fontId="76" fillId="0" borderId="147" applyNumberFormat="0" applyFill="0" applyAlignment="0" applyProtection="0"/>
    <xf numFmtId="0" fontId="70" fillId="8" borderId="145" applyNumberFormat="0" applyAlignment="0" applyProtection="0"/>
    <xf numFmtId="0" fontId="76" fillId="0" borderId="147" applyNumberFormat="0" applyFill="0" applyAlignment="0" applyProtection="0"/>
    <xf numFmtId="0" fontId="7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1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61" fillId="8" borderId="145" applyNumberFormat="0" applyAlignment="0" applyProtection="0">
      <alignment vertical="center"/>
    </xf>
    <xf numFmtId="0" fontId="72" fillId="21" borderId="145" applyNumberFormat="0" applyAlignment="0" applyProtection="0"/>
    <xf numFmtId="0" fontId="37" fillId="21" borderId="145" applyNumberFormat="0" applyAlignment="0" applyProtection="0"/>
    <xf numFmtId="0" fontId="54" fillId="21" borderId="145" applyNumberFormat="0" applyAlignment="0" applyProtection="0">
      <alignment vertical="center"/>
    </xf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61" fillId="8" borderId="145" applyNumberForma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35" fillId="8" borderId="145" applyNumberFormat="0" applyAlignment="0" applyProtection="0"/>
    <xf numFmtId="4" fontId="86" fillId="27" borderId="149" applyNumberFormat="0" applyProtection="0">
      <alignment vertical="center"/>
    </xf>
    <xf numFmtId="0" fontId="2" fillId="28" borderId="149" applyNumberFormat="0" applyProtection="0">
      <alignment horizontal="left" vertical="top" indent="1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70" fillId="8" borderId="145" applyNumberFormat="0" applyAlignment="0" applyProtection="0"/>
    <xf numFmtId="0" fontId="71" fillId="21" borderId="146" applyNumberFormat="0" applyAlignment="0" applyProtection="0"/>
    <xf numFmtId="0" fontId="72" fillId="21" borderId="145" applyNumberFormat="0" applyAlignment="0" applyProtection="0"/>
    <xf numFmtId="0" fontId="76" fillId="0" borderId="147" applyNumberFormat="0" applyFill="0" applyAlignment="0" applyProtection="0"/>
    <xf numFmtId="0" fontId="7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71" fillId="21" borderId="146" applyNumberFormat="0" applyAlignment="0" applyProtection="0"/>
    <xf numFmtId="0" fontId="41" fillId="0" borderId="147" applyNumberFormat="0" applyFill="0" applyAlignment="0" applyProtection="0"/>
    <xf numFmtId="0" fontId="37" fillId="21" borderId="145" applyNumberFormat="0" applyAlignment="0" applyProtection="0"/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41" fillId="0" borderId="147" applyNumberFormat="0" applyFill="0" applyAlignment="0" applyProtection="0"/>
    <xf numFmtId="0" fontId="7" fillId="24" borderId="148" applyNumberFormat="0" applyFont="0" applyAlignment="0" applyProtection="0"/>
    <xf numFmtId="0" fontId="64" fillId="21" borderId="146" applyNumberFormat="0" applyAlignment="0" applyProtection="0">
      <alignment vertical="center"/>
    </xf>
    <xf numFmtId="0" fontId="35" fillId="8" borderId="145" applyNumberForma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64" fillId="21" borderId="146" applyNumberFormat="0" applyAlignment="0" applyProtection="0">
      <alignment vertical="center"/>
    </xf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66" fillId="0" borderId="147" applyNumberFormat="0" applyFill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36" fillId="21" borderId="146" applyNumberFormat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36" fillId="21" borderId="146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70" fillId="8" borderId="145" applyNumberFormat="0" applyAlignment="0" applyProtection="0"/>
    <xf numFmtId="0" fontId="71" fillId="21" borderId="146" applyNumberFormat="0" applyAlignment="0" applyProtection="0"/>
    <xf numFmtId="0" fontId="72" fillId="21" borderId="145" applyNumberFormat="0" applyAlignment="0" applyProtection="0"/>
    <xf numFmtId="0" fontId="37" fillId="21" borderId="145" applyNumberFormat="0" applyAlignment="0" applyProtection="0"/>
    <xf numFmtId="0" fontId="76" fillId="0" borderId="147" applyNumberFormat="0" applyFill="0" applyAlignment="0" applyProtection="0"/>
    <xf numFmtId="0" fontId="70" fillId="8" borderId="145" applyNumberFormat="0" applyAlignment="0" applyProtection="0"/>
    <xf numFmtId="0" fontId="76" fillId="0" borderId="147" applyNumberFormat="0" applyFill="0" applyAlignment="0" applyProtection="0"/>
    <xf numFmtId="0" fontId="7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36" fillId="21" borderId="146" applyNumberFormat="0" applyAlignment="0" applyProtection="0"/>
    <xf numFmtId="0" fontId="1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61" fillId="8" borderId="145" applyNumberFormat="0" applyAlignment="0" applyProtection="0">
      <alignment vertical="center"/>
    </xf>
    <xf numFmtId="0" fontId="72" fillId="21" borderId="145" applyNumberFormat="0" applyAlignment="0" applyProtection="0"/>
    <xf numFmtId="0" fontId="37" fillId="21" borderId="145" applyNumberFormat="0" applyAlignment="0" applyProtection="0"/>
    <xf numFmtId="0" fontId="54" fillId="21" borderId="145" applyNumberFormat="0" applyAlignment="0" applyProtection="0">
      <alignment vertical="center"/>
    </xf>
    <xf numFmtId="0" fontId="41" fillId="0" borderId="147" applyNumberFormat="0" applyFill="0" applyAlignment="0" applyProtection="0"/>
    <xf numFmtId="0" fontId="36" fillId="21" borderId="146" applyNumberFormat="0" applyAlignment="0" applyProtection="0"/>
    <xf numFmtId="0" fontId="1" fillId="24" borderId="148" applyNumberFormat="0" applyFont="0" applyAlignment="0" applyProtection="0"/>
    <xf numFmtId="0" fontId="61" fillId="8" borderId="145" applyNumberFormat="0" applyAlignment="0" applyProtection="0">
      <alignment vertical="center"/>
    </xf>
    <xf numFmtId="0" fontId="1" fillId="24" borderId="148" applyNumberFormat="0" applyFont="0" applyAlignment="0" applyProtection="0"/>
    <xf numFmtId="0" fontId="36" fillId="21" borderId="146" applyNumberFormat="0" applyAlignment="0" applyProtection="0"/>
    <xf numFmtId="0" fontId="51" fillId="24" borderId="148" applyNumberFormat="0" applyFont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70" fillId="8" borderId="145" applyNumberFormat="0" applyAlignment="0" applyProtection="0"/>
    <xf numFmtId="0" fontId="71" fillId="21" borderId="146" applyNumberFormat="0" applyAlignment="0" applyProtection="0"/>
    <xf numFmtId="0" fontId="72" fillId="21" borderId="145" applyNumberFormat="0" applyAlignment="0" applyProtection="0"/>
    <xf numFmtId="0" fontId="76" fillId="0" borderId="147" applyNumberFormat="0" applyFill="0" applyAlignment="0" applyProtection="0"/>
    <xf numFmtId="0" fontId="7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41" fillId="0" borderId="147" applyNumberFormat="0" applyFill="0" applyAlignment="0" applyProtection="0"/>
    <xf numFmtId="0" fontId="37" fillId="21" borderId="145" applyNumberFormat="0" applyAlignment="0" applyProtection="0"/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41" fillId="0" borderId="147" applyNumberFormat="0" applyFill="0" applyAlignment="0" applyProtection="0"/>
    <xf numFmtId="0" fontId="7" fillId="24" borderId="148" applyNumberFormat="0" applyFont="0" applyAlignment="0" applyProtection="0"/>
    <xf numFmtId="0" fontId="35" fillId="8" borderId="145" applyNumberForma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1" fillId="24" borderId="148" applyNumberFormat="0" applyFont="0" applyAlignment="0" applyProtection="0"/>
    <xf numFmtId="0" fontId="66" fillId="0" borderId="147" applyNumberFormat="0" applyFill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70" fillId="8" borderId="145" applyNumberFormat="0" applyAlignment="0" applyProtection="0"/>
    <xf numFmtId="0" fontId="71" fillId="21" borderId="146" applyNumberFormat="0" applyAlignment="0" applyProtection="0"/>
    <xf numFmtId="0" fontId="72" fillId="21" borderId="145" applyNumberFormat="0" applyAlignment="0" applyProtection="0"/>
    <xf numFmtId="0" fontId="37" fillId="21" borderId="145" applyNumberFormat="0" applyAlignment="0" applyProtection="0"/>
    <xf numFmtId="0" fontId="76" fillId="0" borderId="147" applyNumberFormat="0" applyFill="0" applyAlignment="0" applyProtection="0"/>
    <xf numFmtId="0" fontId="70" fillId="8" borderId="145" applyNumberFormat="0" applyAlignment="0" applyProtection="0"/>
    <xf numFmtId="0" fontId="76" fillId="0" borderId="147" applyNumberFormat="0" applyFill="0" applyAlignment="0" applyProtection="0"/>
    <xf numFmtId="0" fontId="7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1" fillId="24" borderId="148" applyNumberFormat="0" applyFont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4" fillId="21" borderId="146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6" fillId="21" borderId="146" applyNumberFormat="0" applyAlignment="0" applyProtection="0"/>
    <xf numFmtId="0" fontId="36" fillId="21" borderId="146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61" fillId="8" borderId="145" applyNumberFormat="0" applyAlignment="0" applyProtection="0">
      <alignment vertical="center"/>
    </xf>
    <xf numFmtId="0" fontId="72" fillId="21" borderId="145" applyNumberFormat="0" applyAlignment="0" applyProtection="0"/>
    <xf numFmtId="0" fontId="37" fillId="21" borderId="145" applyNumberFormat="0" applyAlignment="0" applyProtection="0"/>
    <xf numFmtId="0" fontId="54" fillId="21" borderId="145" applyNumberFormat="0" applyAlignment="0" applyProtection="0">
      <alignment vertical="center"/>
    </xf>
    <xf numFmtId="0" fontId="41" fillId="0" borderId="147" applyNumberFormat="0" applyFill="0" applyAlignment="0" applyProtection="0"/>
    <xf numFmtId="0" fontId="1" fillId="24" borderId="148" applyNumberFormat="0" applyFont="0" applyAlignment="0" applyProtection="0"/>
    <xf numFmtId="0" fontId="61" fillId="8" borderId="145" applyNumberForma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35" fillId="8" borderId="145" applyNumberFormat="0" applyAlignment="0" applyProtection="0"/>
    <xf numFmtId="4" fontId="86" fillId="27" borderId="149" applyNumberFormat="0" applyProtection="0">
      <alignment vertical="center"/>
    </xf>
    <xf numFmtId="0" fontId="2" fillId="28" borderId="149" applyNumberFormat="0" applyProtection="0">
      <alignment horizontal="left" vertical="top" indent="1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66" fillId="0" borderId="147" applyNumberFormat="0" applyFill="0" applyAlignment="0" applyProtection="0">
      <alignment vertical="center"/>
    </xf>
    <xf numFmtId="0" fontId="70" fillId="8" borderId="145" applyNumberFormat="0" applyAlignment="0" applyProtection="0"/>
    <xf numFmtId="0" fontId="72" fillId="21" borderId="145" applyNumberFormat="0" applyAlignment="0" applyProtection="0"/>
    <xf numFmtId="0" fontId="76" fillId="0" borderId="147" applyNumberFormat="0" applyFill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37" fillId="21" borderId="145" applyNumberFormat="0" applyAlignment="0" applyProtection="0"/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41" fillId="0" borderId="147" applyNumberFormat="0" applyFill="0" applyAlignment="0" applyProtection="0"/>
    <xf numFmtId="0" fontId="35" fillId="8" borderId="145" applyNumberForma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37" fillId="21" borderId="145" applyNumberFormat="0" applyAlignment="0" applyProtection="0"/>
    <xf numFmtId="0" fontId="66" fillId="0" borderId="147" applyNumberFormat="0" applyFill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66" fillId="0" borderId="147" applyNumberFormat="0" applyFill="0" applyAlignment="0" applyProtection="0">
      <alignment vertical="center"/>
    </xf>
    <xf numFmtId="0" fontId="70" fillId="8" borderId="145" applyNumberFormat="0" applyAlignment="0" applyProtection="0"/>
    <xf numFmtId="0" fontId="72" fillId="21" borderId="145" applyNumberFormat="0" applyAlignment="0" applyProtection="0"/>
    <xf numFmtId="0" fontId="37" fillId="21" borderId="145" applyNumberFormat="0" applyAlignment="0" applyProtection="0"/>
    <xf numFmtId="0" fontId="76" fillId="0" borderId="147" applyNumberFormat="0" applyFill="0" applyAlignment="0" applyProtection="0"/>
    <xf numFmtId="0" fontId="70" fillId="8" borderId="145" applyNumberFormat="0" applyAlignment="0" applyProtection="0"/>
    <xf numFmtId="0" fontId="76" fillId="0" borderId="147" applyNumberFormat="0" applyFill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72" fillId="21" borderId="145" applyNumberFormat="0" applyAlignment="0" applyProtection="0"/>
    <xf numFmtId="0" fontId="37" fillId="21" borderId="145" applyNumberFormat="0" applyAlignment="0" applyProtection="0"/>
    <xf numFmtId="0" fontId="54" fillId="21" borderId="145" applyNumberFormat="0" applyAlignment="0" applyProtection="0">
      <alignment vertical="center"/>
    </xf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66" fillId="0" borderId="147" applyNumberFormat="0" applyFill="0" applyAlignment="0" applyProtection="0">
      <alignment vertical="center"/>
    </xf>
    <xf numFmtId="0" fontId="70" fillId="8" borderId="145" applyNumberFormat="0" applyAlignment="0" applyProtection="0"/>
    <xf numFmtId="0" fontId="72" fillId="21" borderId="145" applyNumberFormat="0" applyAlignment="0" applyProtection="0"/>
    <xf numFmtId="0" fontId="76" fillId="0" borderId="147" applyNumberFormat="0" applyFill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37" fillId="21" borderId="145" applyNumberFormat="0" applyAlignment="0" applyProtection="0"/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41" fillId="0" borderId="147" applyNumberFormat="0" applyFill="0" applyAlignment="0" applyProtection="0"/>
    <xf numFmtId="0" fontId="35" fillId="8" borderId="145" applyNumberForma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37" fillId="21" borderId="145" applyNumberFormat="0" applyAlignment="0" applyProtection="0"/>
    <xf numFmtId="0" fontId="66" fillId="0" borderId="147" applyNumberFormat="0" applyFill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66" fillId="0" borderId="147" applyNumberFormat="0" applyFill="0" applyAlignment="0" applyProtection="0">
      <alignment vertical="center"/>
    </xf>
    <xf numFmtId="0" fontId="70" fillId="8" borderId="145" applyNumberFormat="0" applyAlignment="0" applyProtection="0"/>
    <xf numFmtId="0" fontId="72" fillId="21" borderId="145" applyNumberFormat="0" applyAlignment="0" applyProtection="0"/>
    <xf numFmtId="0" fontId="37" fillId="21" borderId="145" applyNumberFormat="0" applyAlignment="0" applyProtection="0"/>
    <xf numFmtId="0" fontId="76" fillId="0" borderId="147" applyNumberFormat="0" applyFill="0" applyAlignment="0" applyProtection="0"/>
    <xf numFmtId="0" fontId="70" fillId="8" borderId="145" applyNumberFormat="0" applyAlignment="0" applyProtection="0"/>
    <xf numFmtId="0" fontId="76" fillId="0" borderId="147" applyNumberFormat="0" applyFill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72" fillId="21" borderId="145" applyNumberFormat="0" applyAlignment="0" applyProtection="0"/>
    <xf numFmtId="0" fontId="37" fillId="21" borderId="145" applyNumberFormat="0" applyAlignment="0" applyProtection="0"/>
    <xf numFmtId="0" fontId="54" fillId="21" borderId="145" applyNumberFormat="0" applyAlignment="0" applyProtection="0">
      <alignment vertical="center"/>
    </xf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66" fillId="0" borderId="147" applyNumberFormat="0" applyFill="0" applyAlignment="0" applyProtection="0">
      <alignment vertical="center"/>
    </xf>
    <xf numFmtId="0" fontId="70" fillId="8" borderId="145" applyNumberFormat="0" applyAlignment="0" applyProtection="0"/>
    <xf numFmtId="0" fontId="72" fillId="21" borderId="145" applyNumberFormat="0" applyAlignment="0" applyProtection="0"/>
    <xf numFmtId="0" fontId="76" fillId="0" borderId="147" applyNumberFormat="0" applyFill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37" fillId="21" borderId="145" applyNumberFormat="0" applyAlignment="0" applyProtection="0"/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41" fillId="0" borderId="147" applyNumberFormat="0" applyFill="0" applyAlignment="0" applyProtection="0"/>
    <xf numFmtId="0" fontId="35" fillId="8" borderId="145" applyNumberForma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37" fillId="21" borderId="145" applyNumberFormat="0" applyAlignment="0" applyProtection="0"/>
    <xf numFmtId="0" fontId="66" fillId="0" borderId="147" applyNumberFormat="0" applyFill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66" fillId="0" borderId="147" applyNumberFormat="0" applyFill="0" applyAlignment="0" applyProtection="0">
      <alignment vertical="center"/>
    </xf>
    <xf numFmtId="0" fontId="70" fillId="8" borderId="145" applyNumberFormat="0" applyAlignment="0" applyProtection="0"/>
    <xf numFmtId="0" fontId="72" fillId="21" borderId="145" applyNumberFormat="0" applyAlignment="0" applyProtection="0"/>
    <xf numFmtId="0" fontId="37" fillId="21" borderId="145" applyNumberFormat="0" applyAlignment="0" applyProtection="0"/>
    <xf numFmtId="0" fontId="76" fillId="0" borderId="147" applyNumberFormat="0" applyFill="0" applyAlignment="0" applyProtection="0"/>
    <xf numFmtId="0" fontId="70" fillId="8" borderId="145" applyNumberFormat="0" applyAlignment="0" applyProtection="0"/>
    <xf numFmtId="0" fontId="76" fillId="0" borderId="147" applyNumberFormat="0" applyFill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72" fillId="21" borderId="145" applyNumberFormat="0" applyAlignment="0" applyProtection="0"/>
    <xf numFmtId="0" fontId="37" fillId="21" borderId="145" applyNumberFormat="0" applyAlignment="0" applyProtection="0"/>
    <xf numFmtId="0" fontId="54" fillId="21" borderId="145" applyNumberFormat="0" applyAlignment="0" applyProtection="0">
      <alignment vertical="center"/>
    </xf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66" fillId="0" borderId="147" applyNumberFormat="0" applyFill="0" applyAlignment="0" applyProtection="0">
      <alignment vertical="center"/>
    </xf>
    <xf numFmtId="0" fontId="70" fillId="8" borderId="145" applyNumberFormat="0" applyAlignment="0" applyProtection="0"/>
    <xf numFmtId="0" fontId="72" fillId="21" borderId="145" applyNumberFormat="0" applyAlignment="0" applyProtection="0"/>
    <xf numFmtId="0" fontId="76" fillId="0" borderId="147" applyNumberFormat="0" applyFill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37" fillId="21" borderId="145" applyNumberFormat="0" applyAlignment="0" applyProtection="0"/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41" fillId="0" borderId="147" applyNumberFormat="0" applyFill="0" applyAlignment="0" applyProtection="0"/>
    <xf numFmtId="0" fontId="35" fillId="8" borderId="145" applyNumberFormat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37" fillId="21" borderId="145" applyNumberFormat="0" applyAlignment="0" applyProtection="0"/>
    <xf numFmtId="0" fontId="66" fillId="0" borderId="147" applyNumberFormat="0" applyFill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35" fillId="8" borderId="145" applyNumberFormat="0" applyAlignment="0" applyProtection="0"/>
    <xf numFmtId="0" fontId="37" fillId="21" borderId="145" applyNumberFormat="0" applyAlignment="0" applyProtection="0"/>
    <xf numFmtId="0" fontId="66" fillId="0" borderId="147" applyNumberFormat="0" applyFill="0" applyAlignment="0" applyProtection="0">
      <alignment vertical="center"/>
    </xf>
    <xf numFmtId="0" fontId="70" fillId="8" borderId="145" applyNumberFormat="0" applyAlignment="0" applyProtection="0"/>
    <xf numFmtId="0" fontId="72" fillId="21" borderId="145" applyNumberFormat="0" applyAlignment="0" applyProtection="0"/>
    <xf numFmtId="0" fontId="37" fillId="21" borderId="145" applyNumberFormat="0" applyAlignment="0" applyProtection="0"/>
    <xf numFmtId="0" fontId="76" fillId="0" borderId="147" applyNumberFormat="0" applyFill="0" applyAlignment="0" applyProtection="0"/>
    <xf numFmtId="0" fontId="70" fillId="8" borderId="145" applyNumberFormat="0" applyAlignment="0" applyProtection="0"/>
    <xf numFmtId="0" fontId="76" fillId="0" borderId="147" applyNumberFormat="0" applyFill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54" fillId="21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1" fillId="8" borderId="145" applyNumberFormat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66" fillId="0" borderId="147" applyNumberFormat="0" applyFill="0" applyAlignment="0" applyProtection="0">
      <alignment vertical="center"/>
    </xf>
    <xf numFmtId="0" fontId="35" fillId="8" borderId="145" applyNumberFormat="0" applyAlignment="0" applyProtection="0"/>
    <xf numFmtId="0" fontId="35" fillId="8" borderId="145" applyNumberFormat="0" applyAlignment="0" applyProtection="0"/>
    <xf numFmtId="0" fontId="37" fillId="21" borderId="145" applyNumberFormat="0" applyAlignment="0" applyProtection="0"/>
    <xf numFmtId="0" fontId="37" fillId="21" borderId="145" applyNumberFormat="0" applyAlignment="0" applyProtection="0"/>
    <xf numFmtId="0" fontId="41" fillId="0" borderId="147" applyNumberFormat="0" applyFill="0" applyAlignment="0" applyProtection="0"/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72" fillId="21" borderId="145" applyNumberFormat="0" applyAlignment="0" applyProtection="0"/>
    <xf numFmtId="0" fontId="37" fillId="21" borderId="145" applyNumberFormat="0" applyAlignment="0" applyProtection="0"/>
    <xf numFmtId="0" fontId="54" fillId="21" borderId="145" applyNumberFormat="0" applyAlignment="0" applyProtection="0">
      <alignment vertical="center"/>
    </xf>
    <xf numFmtId="0" fontId="41" fillId="0" borderId="147" applyNumberFormat="0" applyFill="0" applyAlignment="0" applyProtection="0"/>
    <xf numFmtId="0" fontId="61" fillId="8" borderId="145" applyNumberFormat="0" applyAlignment="0" applyProtection="0">
      <alignment vertical="center"/>
    </xf>
    <xf numFmtId="0" fontId="35" fillId="8" borderId="145" applyNumberFormat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7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7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7" fillId="24" borderId="148" applyNumberFormat="0" applyFont="0" applyAlignment="0" applyProtection="0"/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7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7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7" fillId="24" borderId="148" applyNumberFormat="0" applyFont="0" applyAlignment="0" applyProtection="0"/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7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7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7" fillId="24" borderId="148" applyNumberFormat="0" applyFont="0" applyAlignment="0" applyProtection="0"/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7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7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7" fillId="24" borderId="148" applyNumberFormat="0" applyFont="0" applyAlignment="0" applyProtection="0"/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0" fontId="51" fillId="24" borderId="148" applyNumberFormat="0" applyFont="0" applyAlignment="0" applyProtection="0">
      <alignment vertical="center"/>
    </xf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1" fillId="24" borderId="148" applyNumberFormat="0" applyFont="0" applyAlignment="0" applyProtection="0"/>
    <xf numFmtId="0" fontId="51" fillId="24" borderId="148" applyNumberFormat="0" applyFont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70" fillId="8" borderId="152" applyNumberFormat="0" applyAlignment="0" applyProtection="0"/>
    <xf numFmtId="0" fontId="71" fillId="21" borderId="153" applyNumberFormat="0" applyAlignment="0" applyProtection="0"/>
    <xf numFmtId="0" fontId="72" fillId="21" borderId="152" applyNumberFormat="0" applyAlignment="0" applyProtection="0"/>
    <xf numFmtId="0" fontId="76" fillId="0" borderId="154" applyNumberFormat="0" applyFill="0" applyAlignment="0" applyProtection="0"/>
    <xf numFmtId="0" fontId="7" fillId="24" borderId="155" applyNumberFormat="0" applyFont="0" applyAlignment="0" applyProtection="0"/>
    <xf numFmtId="0" fontId="41" fillId="0" borderId="154" applyNumberFormat="0" applyFill="0" applyAlignment="0" applyProtection="0"/>
    <xf numFmtId="0" fontId="61" fillId="8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71" fillId="21" borderId="153" applyNumberFormat="0" applyAlignment="0" applyProtection="0"/>
    <xf numFmtId="0" fontId="41" fillId="0" borderId="154" applyNumberFormat="0" applyFill="0" applyAlignment="0" applyProtection="0"/>
    <xf numFmtId="0" fontId="37" fillId="21" borderId="152" applyNumberFormat="0" applyAlignment="0" applyProtection="0"/>
    <xf numFmtId="0" fontId="66" fillId="0" borderId="154" applyNumberFormat="0" applyFill="0" applyAlignment="0" applyProtection="0">
      <alignment vertical="center"/>
    </xf>
    <xf numFmtId="0" fontId="1" fillId="24" borderId="155" applyNumberFormat="0" applyFont="0" applyAlignment="0" applyProtection="0"/>
    <xf numFmtId="0" fontId="35" fillId="8" borderId="152" applyNumberFormat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35" fillId="8" borderId="152" applyNumberFormat="0" applyAlignment="0" applyProtection="0"/>
    <xf numFmtId="0" fontId="41" fillId="0" borderId="154" applyNumberFormat="0" applyFill="0" applyAlignment="0" applyProtection="0"/>
    <xf numFmtId="0" fontId="7" fillId="24" borderId="155" applyNumberFormat="0" applyFont="0" applyAlignment="0" applyProtection="0"/>
    <xf numFmtId="0" fontId="64" fillId="21" borderId="153" applyNumberFormat="0" applyAlignment="0" applyProtection="0">
      <alignment vertical="center"/>
    </xf>
    <xf numFmtId="0" fontId="35" fillId="8" borderId="152" applyNumberFormat="0" applyAlignment="0" applyProtection="0"/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64" fillId="21" borderId="153" applyNumberFormat="0" applyAlignment="0" applyProtection="0">
      <alignment vertical="center"/>
    </xf>
    <xf numFmtId="0" fontId="37" fillId="21" borderId="152" applyNumberFormat="0" applyAlignment="0" applyProtection="0"/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1" fillId="24" borderId="155" applyNumberFormat="0" applyFont="0" applyAlignment="0" applyProtection="0"/>
    <xf numFmtId="0" fontId="66" fillId="0" borderId="154" applyNumberFormat="0" applyFill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36" fillId="21" borderId="153" applyNumberFormat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36" fillId="21" borderId="153" applyNumberFormat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70" fillId="8" borderId="152" applyNumberFormat="0" applyAlignment="0" applyProtection="0"/>
    <xf numFmtId="0" fontId="71" fillId="21" borderId="153" applyNumberFormat="0" applyAlignment="0" applyProtection="0"/>
    <xf numFmtId="0" fontId="72" fillId="21" borderId="152" applyNumberFormat="0" applyAlignment="0" applyProtection="0"/>
    <xf numFmtId="0" fontId="37" fillId="21" borderId="152" applyNumberFormat="0" applyAlignment="0" applyProtection="0"/>
    <xf numFmtId="0" fontId="76" fillId="0" borderId="154" applyNumberFormat="0" applyFill="0" applyAlignment="0" applyProtection="0"/>
    <xf numFmtId="0" fontId="70" fillId="8" borderId="152" applyNumberFormat="0" applyAlignment="0" applyProtection="0"/>
    <xf numFmtId="0" fontId="76" fillId="0" borderId="154" applyNumberFormat="0" applyFill="0" applyAlignment="0" applyProtection="0"/>
    <xf numFmtId="0" fontId="7" fillId="24" borderId="155" applyNumberFormat="0" applyFont="0" applyAlignment="0" applyProtection="0"/>
    <xf numFmtId="0" fontId="41" fillId="0" borderId="154" applyNumberFormat="0" applyFill="0" applyAlignment="0" applyProtection="0"/>
    <xf numFmtId="0" fontId="61" fillId="8" borderId="152" applyNumberFormat="0" applyAlignment="0" applyProtection="0">
      <alignment vertical="center"/>
    </xf>
    <xf numFmtId="0" fontId="36" fillId="21" borderId="153" applyNumberFormat="0" applyAlignment="0" applyProtection="0"/>
    <xf numFmtId="0" fontId="1" fillId="24" borderId="155" applyNumberFormat="0" applyFont="0" applyAlignment="0" applyProtection="0"/>
    <xf numFmtId="0" fontId="41" fillId="0" borderId="154" applyNumberFormat="0" applyFill="0" applyAlignment="0" applyProtection="0"/>
    <xf numFmtId="0" fontId="61" fillId="8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61" fillId="8" borderId="152" applyNumberFormat="0" applyAlignment="0" applyProtection="0">
      <alignment vertical="center"/>
    </xf>
    <xf numFmtId="0" fontId="72" fillId="21" borderId="152" applyNumberFormat="0" applyAlignment="0" applyProtection="0"/>
    <xf numFmtId="0" fontId="37" fillId="21" borderId="152" applyNumberFormat="0" applyAlignment="0" applyProtection="0"/>
    <xf numFmtId="0" fontId="54" fillId="21" borderId="152" applyNumberFormat="0" applyAlignment="0" applyProtection="0">
      <alignment vertical="center"/>
    </xf>
    <xf numFmtId="0" fontId="41" fillId="0" borderId="154" applyNumberFormat="0" applyFill="0" applyAlignment="0" applyProtection="0"/>
    <xf numFmtId="0" fontId="36" fillId="21" borderId="153" applyNumberFormat="0" applyAlignment="0" applyProtection="0"/>
    <xf numFmtId="0" fontId="1" fillId="24" borderId="155" applyNumberFormat="0" applyFont="0" applyAlignment="0" applyProtection="0"/>
    <xf numFmtId="0" fontId="61" fillId="8" borderId="152" applyNumberFormat="0" applyAlignment="0" applyProtection="0">
      <alignment vertical="center"/>
    </xf>
    <xf numFmtId="0" fontId="1" fillId="24" borderId="155" applyNumberFormat="0" applyFont="0" applyAlignment="0" applyProtection="0"/>
    <xf numFmtId="0" fontId="36" fillId="21" borderId="153" applyNumberFormat="0" applyAlignment="0" applyProtection="0"/>
    <xf numFmtId="0" fontId="51" fillId="24" borderId="155" applyNumberFormat="0" applyFont="0" applyAlignment="0" applyProtection="0">
      <alignment vertical="center"/>
    </xf>
    <xf numFmtId="0" fontId="35" fillId="8" borderId="152" applyNumberFormat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70" fillId="8" borderId="152" applyNumberFormat="0" applyAlignment="0" applyProtection="0"/>
    <xf numFmtId="0" fontId="71" fillId="21" borderId="153" applyNumberFormat="0" applyAlignment="0" applyProtection="0"/>
    <xf numFmtId="0" fontId="72" fillId="21" borderId="152" applyNumberFormat="0" applyAlignment="0" applyProtection="0"/>
    <xf numFmtId="0" fontId="76" fillId="0" borderId="154" applyNumberFormat="0" applyFill="0" applyAlignment="0" applyProtection="0"/>
    <xf numFmtId="0" fontId="7" fillId="24" borderId="155" applyNumberFormat="0" applyFont="0" applyAlignment="0" applyProtection="0"/>
    <xf numFmtId="0" fontId="41" fillId="0" borderId="154" applyNumberFormat="0" applyFill="0" applyAlignment="0" applyProtection="0"/>
    <xf numFmtId="0" fontId="61" fillId="8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41" fillId="0" borderId="154" applyNumberFormat="0" applyFill="0" applyAlignment="0" applyProtection="0"/>
    <xf numFmtId="0" fontId="37" fillId="21" borderId="152" applyNumberFormat="0" applyAlignment="0" applyProtection="0"/>
    <xf numFmtId="0" fontId="66" fillId="0" borderId="154" applyNumberFormat="0" applyFill="0" applyAlignment="0" applyProtection="0">
      <alignment vertical="center"/>
    </xf>
    <xf numFmtId="0" fontId="1" fillId="24" borderId="155" applyNumberFormat="0" applyFont="0" applyAlignment="0" applyProtection="0"/>
    <xf numFmtId="0" fontId="35" fillId="8" borderId="152" applyNumberFormat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35" fillId="8" borderId="152" applyNumberFormat="0" applyAlignment="0" applyProtection="0"/>
    <xf numFmtId="0" fontId="41" fillId="0" borderId="154" applyNumberFormat="0" applyFill="0" applyAlignment="0" applyProtection="0"/>
    <xf numFmtId="0" fontId="7" fillId="24" borderId="155" applyNumberFormat="0" applyFont="0" applyAlignment="0" applyProtection="0"/>
    <xf numFmtId="0" fontId="35" fillId="8" borderId="152" applyNumberFormat="0" applyAlignment="0" applyProtection="0"/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37" fillId="21" borderId="152" applyNumberFormat="0" applyAlignment="0" applyProtection="0"/>
    <xf numFmtId="0" fontId="51" fillId="24" borderId="155" applyNumberFormat="0" applyFon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1" fillId="24" borderId="155" applyNumberFormat="0" applyFont="0" applyAlignment="0" applyProtection="0"/>
    <xf numFmtId="0" fontId="66" fillId="0" borderId="154" applyNumberFormat="0" applyFill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70" fillId="8" borderId="152" applyNumberFormat="0" applyAlignment="0" applyProtection="0"/>
    <xf numFmtId="0" fontId="71" fillId="21" borderId="153" applyNumberFormat="0" applyAlignment="0" applyProtection="0"/>
    <xf numFmtId="0" fontId="72" fillId="21" borderId="152" applyNumberFormat="0" applyAlignment="0" applyProtection="0"/>
    <xf numFmtId="0" fontId="37" fillId="21" borderId="152" applyNumberFormat="0" applyAlignment="0" applyProtection="0"/>
    <xf numFmtId="0" fontId="76" fillId="0" borderId="154" applyNumberFormat="0" applyFill="0" applyAlignment="0" applyProtection="0"/>
    <xf numFmtId="0" fontId="70" fillId="8" borderId="152" applyNumberFormat="0" applyAlignment="0" applyProtection="0"/>
    <xf numFmtId="0" fontId="76" fillId="0" borderId="154" applyNumberFormat="0" applyFill="0" applyAlignment="0" applyProtection="0"/>
    <xf numFmtId="0" fontId="7" fillId="24" borderId="155" applyNumberFormat="0" applyFont="0" applyAlignment="0" applyProtection="0"/>
    <xf numFmtId="0" fontId="41" fillId="0" borderId="154" applyNumberFormat="0" applyFill="0" applyAlignment="0" applyProtection="0"/>
    <xf numFmtId="0" fontId="61" fillId="8" borderId="152" applyNumberFormat="0" applyAlignment="0" applyProtection="0">
      <alignment vertical="center"/>
    </xf>
    <xf numFmtId="0" fontId="1" fillId="24" borderId="155" applyNumberFormat="0" applyFont="0" applyAlignment="0" applyProtection="0"/>
    <xf numFmtId="0" fontId="41" fillId="0" borderId="154" applyNumberFormat="0" applyFill="0" applyAlignment="0" applyProtection="0"/>
    <xf numFmtId="0" fontId="61" fillId="8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61" fillId="8" borderId="152" applyNumberFormat="0" applyAlignment="0" applyProtection="0">
      <alignment vertical="center"/>
    </xf>
    <xf numFmtId="0" fontId="72" fillId="21" borderId="152" applyNumberFormat="0" applyAlignment="0" applyProtection="0"/>
    <xf numFmtId="0" fontId="37" fillId="21" borderId="152" applyNumberFormat="0" applyAlignment="0" applyProtection="0"/>
    <xf numFmtId="0" fontId="54" fillId="21" borderId="152" applyNumberFormat="0" applyAlignment="0" applyProtection="0">
      <alignment vertical="center"/>
    </xf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61" fillId="8" borderId="152" applyNumberFormat="0" applyAlignment="0" applyProtection="0">
      <alignment vertical="center"/>
    </xf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35" fillId="8" borderId="152" applyNumberFormat="0" applyAlignment="0" applyProtection="0"/>
    <xf numFmtId="4" fontId="86" fillId="27" borderId="156" applyNumberFormat="0" applyProtection="0">
      <alignment vertical="center"/>
    </xf>
    <xf numFmtId="0" fontId="2" fillId="28" borderId="156" applyNumberFormat="0" applyProtection="0">
      <alignment horizontal="left" vertical="top" indent="1"/>
    </xf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70" fillId="8" borderId="152" applyNumberFormat="0" applyAlignment="0" applyProtection="0"/>
    <xf numFmtId="0" fontId="71" fillId="21" borderId="153" applyNumberFormat="0" applyAlignment="0" applyProtection="0"/>
    <xf numFmtId="0" fontId="72" fillId="21" borderId="152" applyNumberFormat="0" applyAlignment="0" applyProtection="0"/>
    <xf numFmtId="0" fontId="76" fillId="0" borderId="154" applyNumberFormat="0" applyFill="0" applyAlignment="0" applyProtection="0"/>
    <xf numFmtId="0" fontId="7" fillId="24" borderId="155" applyNumberFormat="0" applyFont="0" applyAlignment="0" applyProtection="0"/>
    <xf numFmtId="0" fontId="41" fillId="0" borderId="154" applyNumberFormat="0" applyFill="0" applyAlignment="0" applyProtection="0"/>
    <xf numFmtId="0" fontId="61" fillId="8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71" fillId="21" borderId="153" applyNumberFormat="0" applyAlignment="0" applyProtection="0"/>
    <xf numFmtId="0" fontId="41" fillId="0" borderId="154" applyNumberFormat="0" applyFill="0" applyAlignment="0" applyProtection="0"/>
    <xf numFmtId="0" fontId="37" fillId="21" borderId="152" applyNumberFormat="0" applyAlignment="0" applyProtection="0"/>
    <xf numFmtId="0" fontId="66" fillId="0" borderId="154" applyNumberFormat="0" applyFill="0" applyAlignment="0" applyProtection="0">
      <alignment vertical="center"/>
    </xf>
    <xf numFmtId="0" fontId="1" fillId="24" borderId="155" applyNumberFormat="0" applyFont="0" applyAlignment="0" applyProtection="0"/>
    <xf numFmtId="0" fontId="35" fillId="8" borderId="152" applyNumberFormat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35" fillId="8" borderId="152" applyNumberFormat="0" applyAlignment="0" applyProtection="0"/>
    <xf numFmtId="0" fontId="41" fillId="0" borderId="154" applyNumberFormat="0" applyFill="0" applyAlignment="0" applyProtection="0"/>
    <xf numFmtId="0" fontId="7" fillId="24" borderId="155" applyNumberFormat="0" applyFont="0" applyAlignment="0" applyProtection="0"/>
    <xf numFmtId="0" fontId="64" fillId="21" borderId="153" applyNumberFormat="0" applyAlignment="0" applyProtection="0">
      <alignment vertical="center"/>
    </xf>
    <xf numFmtId="0" fontId="35" fillId="8" borderId="152" applyNumberFormat="0" applyAlignment="0" applyProtection="0"/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64" fillId="21" borderId="153" applyNumberFormat="0" applyAlignment="0" applyProtection="0">
      <alignment vertical="center"/>
    </xf>
    <xf numFmtId="0" fontId="37" fillId="21" borderId="152" applyNumberFormat="0" applyAlignment="0" applyProtection="0"/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1" fillId="24" borderId="155" applyNumberFormat="0" applyFont="0" applyAlignment="0" applyProtection="0"/>
    <xf numFmtId="0" fontId="66" fillId="0" borderId="154" applyNumberFormat="0" applyFill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36" fillId="21" borderId="153" applyNumberFormat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36" fillId="21" borderId="153" applyNumberFormat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70" fillId="8" borderId="152" applyNumberFormat="0" applyAlignment="0" applyProtection="0"/>
    <xf numFmtId="0" fontId="71" fillId="21" borderId="153" applyNumberFormat="0" applyAlignment="0" applyProtection="0"/>
    <xf numFmtId="0" fontId="72" fillId="21" borderId="152" applyNumberFormat="0" applyAlignment="0" applyProtection="0"/>
    <xf numFmtId="0" fontId="37" fillId="21" borderId="152" applyNumberFormat="0" applyAlignment="0" applyProtection="0"/>
    <xf numFmtId="0" fontId="76" fillId="0" borderId="154" applyNumberFormat="0" applyFill="0" applyAlignment="0" applyProtection="0"/>
    <xf numFmtId="0" fontId="70" fillId="8" borderId="152" applyNumberFormat="0" applyAlignment="0" applyProtection="0"/>
    <xf numFmtId="0" fontId="76" fillId="0" borderId="154" applyNumberFormat="0" applyFill="0" applyAlignment="0" applyProtection="0"/>
    <xf numFmtId="0" fontId="7" fillId="24" borderId="155" applyNumberFormat="0" applyFont="0" applyAlignment="0" applyProtection="0"/>
    <xf numFmtId="0" fontId="41" fillId="0" borderId="154" applyNumberFormat="0" applyFill="0" applyAlignment="0" applyProtection="0"/>
    <xf numFmtId="0" fontId="61" fillId="8" borderId="152" applyNumberFormat="0" applyAlignment="0" applyProtection="0">
      <alignment vertical="center"/>
    </xf>
    <xf numFmtId="0" fontId="36" fillId="21" borderId="153" applyNumberFormat="0" applyAlignment="0" applyProtection="0"/>
    <xf numFmtId="0" fontId="1" fillId="24" borderId="155" applyNumberFormat="0" applyFont="0" applyAlignment="0" applyProtection="0"/>
    <xf numFmtId="0" fontId="41" fillId="0" borderId="154" applyNumberFormat="0" applyFill="0" applyAlignment="0" applyProtection="0"/>
    <xf numFmtId="0" fontId="61" fillId="8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61" fillId="8" borderId="152" applyNumberFormat="0" applyAlignment="0" applyProtection="0">
      <alignment vertical="center"/>
    </xf>
    <xf numFmtId="0" fontId="72" fillId="21" borderId="152" applyNumberFormat="0" applyAlignment="0" applyProtection="0"/>
    <xf numFmtId="0" fontId="37" fillId="21" borderId="152" applyNumberFormat="0" applyAlignment="0" applyProtection="0"/>
    <xf numFmtId="0" fontId="54" fillId="21" borderId="152" applyNumberFormat="0" applyAlignment="0" applyProtection="0">
      <alignment vertical="center"/>
    </xf>
    <xf numFmtId="0" fontId="41" fillId="0" borderId="154" applyNumberFormat="0" applyFill="0" applyAlignment="0" applyProtection="0"/>
    <xf numFmtId="0" fontId="36" fillId="21" borderId="153" applyNumberFormat="0" applyAlignment="0" applyProtection="0"/>
    <xf numFmtId="0" fontId="1" fillId="24" borderId="155" applyNumberFormat="0" applyFont="0" applyAlignment="0" applyProtection="0"/>
    <xf numFmtId="0" fontId="61" fillId="8" borderId="152" applyNumberFormat="0" applyAlignment="0" applyProtection="0">
      <alignment vertical="center"/>
    </xf>
    <xf numFmtId="0" fontId="1" fillId="24" borderId="155" applyNumberFormat="0" applyFont="0" applyAlignment="0" applyProtection="0"/>
    <xf numFmtId="0" fontId="36" fillId="21" borderId="153" applyNumberFormat="0" applyAlignment="0" applyProtection="0"/>
    <xf numFmtId="0" fontId="51" fillId="24" borderId="155" applyNumberFormat="0" applyFont="0" applyAlignment="0" applyProtection="0">
      <alignment vertical="center"/>
    </xf>
    <xf numFmtId="0" fontId="35" fillId="8" borderId="152" applyNumberFormat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70" fillId="8" borderId="152" applyNumberFormat="0" applyAlignment="0" applyProtection="0"/>
    <xf numFmtId="0" fontId="71" fillId="21" borderId="153" applyNumberFormat="0" applyAlignment="0" applyProtection="0"/>
    <xf numFmtId="0" fontId="72" fillId="21" borderId="152" applyNumberFormat="0" applyAlignment="0" applyProtection="0"/>
    <xf numFmtId="0" fontId="76" fillId="0" borderId="154" applyNumberFormat="0" applyFill="0" applyAlignment="0" applyProtection="0"/>
    <xf numFmtId="0" fontId="7" fillId="24" borderId="155" applyNumberFormat="0" applyFont="0" applyAlignment="0" applyProtection="0"/>
    <xf numFmtId="0" fontId="41" fillId="0" borderId="154" applyNumberFormat="0" applyFill="0" applyAlignment="0" applyProtection="0"/>
    <xf numFmtId="0" fontId="61" fillId="8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41" fillId="0" borderId="154" applyNumberFormat="0" applyFill="0" applyAlignment="0" applyProtection="0"/>
    <xf numFmtId="0" fontId="37" fillId="21" borderId="152" applyNumberFormat="0" applyAlignment="0" applyProtection="0"/>
    <xf numFmtId="0" fontId="66" fillId="0" borderId="154" applyNumberFormat="0" applyFill="0" applyAlignment="0" applyProtection="0">
      <alignment vertical="center"/>
    </xf>
    <xf numFmtId="0" fontId="1" fillId="24" borderId="155" applyNumberFormat="0" applyFont="0" applyAlignment="0" applyProtection="0"/>
    <xf numFmtId="0" fontId="35" fillId="8" borderId="152" applyNumberFormat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35" fillId="8" borderId="152" applyNumberFormat="0" applyAlignment="0" applyProtection="0"/>
    <xf numFmtId="0" fontId="41" fillId="0" borderId="154" applyNumberFormat="0" applyFill="0" applyAlignment="0" applyProtection="0"/>
    <xf numFmtId="0" fontId="7" fillId="24" borderId="155" applyNumberFormat="0" applyFont="0" applyAlignment="0" applyProtection="0"/>
    <xf numFmtId="0" fontId="35" fillId="8" borderId="152" applyNumberFormat="0" applyAlignment="0" applyProtection="0"/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37" fillId="21" borderId="152" applyNumberFormat="0" applyAlignment="0" applyProtection="0"/>
    <xf numFmtId="0" fontId="51" fillId="24" borderId="155" applyNumberFormat="0" applyFon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1" fillId="24" borderId="155" applyNumberFormat="0" applyFont="0" applyAlignment="0" applyProtection="0"/>
    <xf numFmtId="0" fontId="66" fillId="0" borderId="154" applyNumberFormat="0" applyFill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70" fillId="8" borderId="152" applyNumberFormat="0" applyAlignment="0" applyProtection="0"/>
    <xf numFmtId="0" fontId="71" fillId="21" borderId="153" applyNumberFormat="0" applyAlignment="0" applyProtection="0"/>
    <xf numFmtId="0" fontId="72" fillId="21" borderId="152" applyNumberFormat="0" applyAlignment="0" applyProtection="0"/>
    <xf numFmtId="0" fontId="37" fillId="21" borderId="152" applyNumberFormat="0" applyAlignment="0" applyProtection="0"/>
    <xf numFmtId="0" fontId="76" fillId="0" borderId="154" applyNumberFormat="0" applyFill="0" applyAlignment="0" applyProtection="0"/>
    <xf numFmtId="0" fontId="70" fillId="8" borderId="152" applyNumberFormat="0" applyAlignment="0" applyProtection="0"/>
    <xf numFmtId="0" fontId="76" fillId="0" borderId="154" applyNumberFormat="0" applyFill="0" applyAlignment="0" applyProtection="0"/>
    <xf numFmtId="0" fontId="7" fillId="24" borderId="155" applyNumberFormat="0" applyFont="0" applyAlignment="0" applyProtection="0"/>
    <xf numFmtId="0" fontId="41" fillId="0" borderId="154" applyNumberFormat="0" applyFill="0" applyAlignment="0" applyProtection="0"/>
    <xf numFmtId="0" fontId="61" fillId="8" borderId="152" applyNumberFormat="0" applyAlignment="0" applyProtection="0">
      <alignment vertical="center"/>
    </xf>
    <xf numFmtId="0" fontId="1" fillId="24" borderId="155" applyNumberFormat="0" applyFont="0" applyAlignment="0" applyProtection="0"/>
    <xf numFmtId="0" fontId="41" fillId="0" borderId="154" applyNumberFormat="0" applyFill="0" applyAlignment="0" applyProtection="0"/>
    <xf numFmtId="0" fontId="61" fillId="8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61" fillId="8" borderId="152" applyNumberFormat="0" applyAlignment="0" applyProtection="0">
      <alignment vertical="center"/>
    </xf>
    <xf numFmtId="0" fontId="72" fillId="21" borderId="152" applyNumberFormat="0" applyAlignment="0" applyProtection="0"/>
    <xf numFmtId="0" fontId="37" fillId="21" borderId="152" applyNumberFormat="0" applyAlignment="0" applyProtection="0"/>
    <xf numFmtId="0" fontId="54" fillId="21" borderId="152" applyNumberFormat="0" applyAlignment="0" applyProtection="0">
      <alignment vertical="center"/>
    </xf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61" fillId="8" borderId="152" applyNumberFormat="0" applyAlignment="0" applyProtection="0">
      <alignment vertical="center"/>
    </xf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35" fillId="8" borderId="152" applyNumberFormat="0" applyAlignment="0" applyProtection="0"/>
    <xf numFmtId="4" fontId="86" fillId="27" borderId="156" applyNumberFormat="0" applyProtection="0">
      <alignment vertical="center"/>
    </xf>
    <xf numFmtId="0" fontId="2" fillId="28" borderId="156" applyNumberFormat="0" applyProtection="0">
      <alignment horizontal="left" vertical="top" indent="1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7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7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7" fillId="24" borderId="155" applyNumberFormat="0" applyFont="0" applyAlignment="0" applyProtection="0"/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7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7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7" fillId="24" borderId="155" applyNumberFormat="0" applyFont="0" applyAlignment="0" applyProtection="0"/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7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7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7" fillId="24" borderId="155" applyNumberFormat="0" applyFont="0" applyAlignment="0" applyProtection="0"/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7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7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7" fillId="24" borderId="155" applyNumberFormat="0" applyFont="0" applyAlignment="0" applyProtection="0"/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44" fontId="3" fillId="0" borderId="0" applyFont="0" applyFill="0" applyBorder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70" fillId="8" borderId="152" applyNumberFormat="0" applyAlignment="0" applyProtection="0"/>
    <xf numFmtId="0" fontId="71" fillId="21" borderId="153" applyNumberFormat="0" applyAlignment="0" applyProtection="0"/>
    <xf numFmtId="0" fontId="72" fillId="21" borderId="152" applyNumberFormat="0" applyAlignment="0" applyProtection="0"/>
    <xf numFmtId="0" fontId="76" fillId="0" borderId="154" applyNumberFormat="0" applyFill="0" applyAlignment="0" applyProtection="0"/>
    <xf numFmtId="0" fontId="7" fillId="24" borderId="155" applyNumberFormat="0" applyFont="0" applyAlignment="0" applyProtection="0"/>
    <xf numFmtId="0" fontId="41" fillId="0" borderId="154" applyNumberFormat="0" applyFill="0" applyAlignment="0" applyProtection="0"/>
    <xf numFmtId="0" fontId="61" fillId="8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71" fillId="21" borderId="153" applyNumberFormat="0" applyAlignment="0" applyProtection="0"/>
    <xf numFmtId="0" fontId="41" fillId="0" borderId="154" applyNumberFormat="0" applyFill="0" applyAlignment="0" applyProtection="0"/>
    <xf numFmtId="0" fontId="37" fillId="21" borderId="152" applyNumberFormat="0" applyAlignment="0" applyProtection="0"/>
    <xf numFmtId="0" fontId="66" fillId="0" borderId="154" applyNumberFormat="0" applyFill="0" applyAlignment="0" applyProtection="0">
      <alignment vertical="center"/>
    </xf>
    <xf numFmtId="0" fontId="1" fillId="24" borderId="155" applyNumberFormat="0" applyFont="0" applyAlignment="0" applyProtection="0"/>
    <xf numFmtId="0" fontId="35" fillId="8" borderId="152" applyNumberFormat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35" fillId="8" borderId="152" applyNumberFormat="0" applyAlignment="0" applyProtection="0"/>
    <xf numFmtId="0" fontId="41" fillId="0" borderId="154" applyNumberFormat="0" applyFill="0" applyAlignment="0" applyProtection="0"/>
    <xf numFmtId="0" fontId="7" fillId="24" borderId="155" applyNumberFormat="0" applyFont="0" applyAlignment="0" applyProtection="0"/>
    <xf numFmtId="0" fontId="64" fillId="21" borderId="153" applyNumberFormat="0" applyAlignment="0" applyProtection="0">
      <alignment vertical="center"/>
    </xf>
    <xf numFmtId="0" fontId="35" fillId="8" borderId="152" applyNumberFormat="0" applyAlignment="0" applyProtection="0"/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64" fillId="21" borderId="153" applyNumberFormat="0" applyAlignment="0" applyProtection="0">
      <alignment vertical="center"/>
    </xf>
    <xf numFmtId="0" fontId="37" fillId="21" borderId="152" applyNumberFormat="0" applyAlignment="0" applyProtection="0"/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1" fillId="24" borderId="155" applyNumberFormat="0" applyFont="0" applyAlignment="0" applyProtection="0"/>
    <xf numFmtId="0" fontId="66" fillId="0" borderId="154" applyNumberFormat="0" applyFill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36" fillId="21" borderId="153" applyNumberFormat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36" fillId="21" borderId="153" applyNumberFormat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70" fillId="8" borderId="152" applyNumberFormat="0" applyAlignment="0" applyProtection="0"/>
    <xf numFmtId="0" fontId="71" fillId="21" borderId="153" applyNumberFormat="0" applyAlignment="0" applyProtection="0"/>
    <xf numFmtId="0" fontId="72" fillId="21" borderId="152" applyNumberFormat="0" applyAlignment="0" applyProtection="0"/>
    <xf numFmtId="0" fontId="37" fillId="21" borderId="152" applyNumberFormat="0" applyAlignment="0" applyProtection="0"/>
    <xf numFmtId="0" fontId="76" fillId="0" borderId="154" applyNumberFormat="0" applyFill="0" applyAlignment="0" applyProtection="0"/>
    <xf numFmtId="0" fontId="70" fillId="8" borderId="152" applyNumberFormat="0" applyAlignment="0" applyProtection="0"/>
    <xf numFmtId="0" fontId="76" fillId="0" borderId="154" applyNumberFormat="0" applyFill="0" applyAlignment="0" applyProtection="0"/>
    <xf numFmtId="0" fontId="7" fillId="24" borderId="155" applyNumberFormat="0" applyFont="0" applyAlignment="0" applyProtection="0"/>
    <xf numFmtId="0" fontId="41" fillId="0" borderId="154" applyNumberFormat="0" applyFill="0" applyAlignment="0" applyProtection="0"/>
    <xf numFmtId="0" fontId="61" fillId="8" borderId="152" applyNumberFormat="0" applyAlignment="0" applyProtection="0">
      <alignment vertical="center"/>
    </xf>
    <xf numFmtId="0" fontId="36" fillId="21" borderId="153" applyNumberFormat="0" applyAlignment="0" applyProtection="0"/>
    <xf numFmtId="0" fontId="1" fillId="24" borderId="155" applyNumberFormat="0" applyFont="0" applyAlignment="0" applyProtection="0"/>
    <xf numFmtId="0" fontId="41" fillId="0" borderId="154" applyNumberFormat="0" applyFill="0" applyAlignment="0" applyProtection="0"/>
    <xf numFmtId="0" fontId="61" fillId="8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61" fillId="8" borderId="152" applyNumberFormat="0" applyAlignment="0" applyProtection="0">
      <alignment vertical="center"/>
    </xf>
    <xf numFmtId="0" fontId="72" fillId="21" borderId="152" applyNumberFormat="0" applyAlignment="0" applyProtection="0"/>
    <xf numFmtId="0" fontId="37" fillId="21" borderId="152" applyNumberFormat="0" applyAlignment="0" applyProtection="0"/>
    <xf numFmtId="0" fontId="54" fillId="21" borderId="152" applyNumberFormat="0" applyAlignment="0" applyProtection="0">
      <alignment vertical="center"/>
    </xf>
    <xf numFmtId="0" fontId="41" fillId="0" borderId="154" applyNumberFormat="0" applyFill="0" applyAlignment="0" applyProtection="0"/>
    <xf numFmtId="0" fontId="36" fillId="21" borderId="153" applyNumberFormat="0" applyAlignment="0" applyProtection="0"/>
    <xf numFmtId="0" fontId="1" fillId="24" borderId="155" applyNumberFormat="0" applyFont="0" applyAlignment="0" applyProtection="0"/>
    <xf numFmtId="0" fontId="61" fillId="8" borderId="152" applyNumberFormat="0" applyAlignment="0" applyProtection="0">
      <alignment vertical="center"/>
    </xf>
    <xf numFmtId="0" fontId="1" fillId="24" borderId="155" applyNumberFormat="0" applyFont="0" applyAlignment="0" applyProtection="0"/>
    <xf numFmtId="0" fontId="36" fillId="21" borderId="153" applyNumberFormat="0" applyAlignment="0" applyProtection="0"/>
    <xf numFmtId="0" fontId="51" fillId="24" borderId="155" applyNumberFormat="0" applyFont="0" applyAlignment="0" applyProtection="0">
      <alignment vertical="center"/>
    </xf>
    <xf numFmtId="0" fontId="35" fillId="8" borderId="152" applyNumberFormat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70" fillId="8" borderId="152" applyNumberFormat="0" applyAlignment="0" applyProtection="0"/>
    <xf numFmtId="0" fontId="71" fillId="21" borderId="153" applyNumberFormat="0" applyAlignment="0" applyProtection="0"/>
    <xf numFmtId="0" fontId="72" fillId="21" borderId="152" applyNumberFormat="0" applyAlignment="0" applyProtection="0"/>
    <xf numFmtId="0" fontId="76" fillId="0" borderId="154" applyNumberFormat="0" applyFill="0" applyAlignment="0" applyProtection="0"/>
    <xf numFmtId="0" fontId="7" fillId="24" borderId="155" applyNumberFormat="0" applyFont="0" applyAlignment="0" applyProtection="0"/>
    <xf numFmtId="0" fontId="41" fillId="0" borderId="154" applyNumberFormat="0" applyFill="0" applyAlignment="0" applyProtection="0"/>
    <xf numFmtId="0" fontId="61" fillId="8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41" fillId="0" borderId="154" applyNumberFormat="0" applyFill="0" applyAlignment="0" applyProtection="0"/>
    <xf numFmtId="0" fontId="37" fillId="21" borderId="152" applyNumberFormat="0" applyAlignment="0" applyProtection="0"/>
    <xf numFmtId="0" fontId="66" fillId="0" borderId="154" applyNumberFormat="0" applyFill="0" applyAlignment="0" applyProtection="0">
      <alignment vertical="center"/>
    </xf>
    <xf numFmtId="0" fontId="1" fillId="24" borderId="155" applyNumberFormat="0" applyFont="0" applyAlignment="0" applyProtection="0"/>
    <xf numFmtId="0" fontId="35" fillId="8" borderId="152" applyNumberFormat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35" fillId="8" borderId="152" applyNumberFormat="0" applyAlignment="0" applyProtection="0"/>
    <xf numFmtId="0" fontId="41" fillId="0" borderId="154" applyNumberFormat="0" applyFill="0" applyAlignment="0" applyProtection="0"/>
    <xf numFmtId="0" fontId="7" fillId="24" borderId="155" applyNumberFormat="0" applyFont="0" applyAlignment="0" applyProtection="0"/>
    <xf numFmtId="0" fontId="35" fillId="8" borderId="152" applyNumberFormat="0" applyAlignment="0" applyProtection="0"/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37" fillId="21" borderId="152" applyNumberFormat="0" applyAlignment="0" applyProtection="0"/>
    <xf numFmtId="0" fontId="51" fillId="24" borderId="155" applyNumberFormat="0" applyFon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1" fillId="24" borderId="155" applyNumberFormat="0" applyFont="0" applyAlignment="0" applyProtection="0"/>
    <xf numFmtId="0" fontId="66" fillId="0" borderId="154" applyNumberFormat="0" applyFill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70" fillId="8" borderId="152" applyNumberFormat="0" applyAlignment="0" applyProtection="0"/>
    <xf numFmtId="0" fontId="71" fillId="21" borderId="153" applyNumberFormat="0" applyAlignment="0" applyProtection="0"/>
    <xf numFmtId="0" fontId="72" fillId="21" borderId="152" applyNumberFormat="0" applyAlignment="0" applyProtection="0"/>
    <xf numFmtId="0" fontId="37" fillId="21" borderId="152" applyNumberFormat="0" applyAlignment="0" applyProtection="0"/>
    <xf numFmtId="0" fontId="76" fillId="0" borderId="154" applyNumberFormat="0" applyFill="0" applyAlignment="0" applyProtection="0"/>
    <xf numFmtId="0" fontId="70" fillId="8" borderId="152" applyNumberFormat="0" applyAlignment="0" applyProtection="0"/>
    <xf numFmtId="0" fontId="76" fillId="0" borderId="154" applyNumberFormat="0" applyFill="0" applyAlignment="0" applyProtection="0"/>
    <xf numFmtId="0" fontId="7" fillId="24" borderId="155" applyNumberFormat="0" applyFont="0" applyAlignment="0" applyProtection="0"/>
    <xf numFmtId="0" fontId="41" fillId="0" borderId="154" applyNumberFormat="0" applyFill="0" applyAlignment="0" applyProtection="0"/>
    <xf numFmtId="0" fontId="61" fillId="8" borderId="152" applyNumberFormat="0" applyAlignment="0" applyProtection="0">
      <alignment vertical="center"/>
    </xf>
    <xf numFmtId="0" fontId="1" fillId="24" borderId="155" applyNumberFormat="0" applyFont="0" applyAlignment="0" applyProtection="0"/>
    <xf numFmtId="0" fontId="41" fillId="0" borderId="154" applyNumberFormat="0" applyFill="0" applyAlignment="0" applyProtection="0"/>
    <xf numFmtId="0" fontId="61" fillId="8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61" fillId="8" borderId="152" applyNumberFormat="0" applyAlignment="0" applyProtection="0">
      <alignment vertical="center"/>
    </xf>
    <xf numFmtId="0" fontId="72" fillId="21" borderId="152" applyNumberFormat="0" applyAlignment="0" applyProtection="0"/>
    <xf numFmtId="0" fontId="37" fillId="21" borderId="152" applyNumberFormat="0" applyAlignment="0" applyProtection="0"/>
    <xf numFmtId="0" fontId="54" fillId="21" borderId="152" applyNumberFormat="0" applyAlignment="0" applyProtection="0">
      <alignment vertical="center"/>
    </xf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61" fillId="8" borderId="152" applyNumberFormat="0" applyAlignment="0" applyProtection="0">
      <alignment vertical="center"/>
    </xf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35" fillId="8" borderId="152" applyNumberFormat="0" applyAlignment="0" applyProtection="0"/>
    <xf numFmtId="4" fontId="86" fillId="27" borderId="156" applyNumberFormat="0" applyProtection="0">
      <alignment vertical="center"/>
    </xf>
    <xf numFmtId="0" fontId="2" fillId="28" borderId="156" applyNumberFormat="0" applyProtection="0">
      <alignment horizontal="left" vertical="top" indent="1"/>
    </xf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70" fillId="8" borderId="152" applyNumberFormat="0" applyAlignment="0" applyProtection="0"/>
    <xf numFmtId="0" fontId="71" fillId="21" borderId="153" applyNumberFormat="0" applyAlignment="0" applyProtection="0"/>
    <xf numFmtId="0" fontId="72" fillId="21" borderId="152" applyNumberFormat="0" applyAlignment="0" applyProtection="0"/>
    <xf numFmtId="0" fontId="76" fillId="0" borderId="154" applyNumberFormat="0" applyFill="0" applyAlignment="0" applyProtection="0"/>
    <xf numFmtId="0" fontId="7" fillId="24" borderId="155" applyNumberFormat="0" applyFont="0" applyAlignment="0" applyProtection="0"/>
    <xf numFmtId="0" fontId="41" fillId="0" borderId="154" applyNumberFormat="0" applyFill="0" applyAlignment="0" applyProtection="0"/>
    <xf numFmtId="0" fontId="61" fillId="8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71" fillId="21" borderId="153" applyNumberFormat="0" applyAlignment="0" applyProtection="0"/>
    <xf numFmtId="0" fontId="41" fillId="0" borderId="154" applyNumberFormat="0" applyFill="0" applyAlignment="0" applyProtection="0"/>
    <xf numFmtId="0" fontId="37" fillId="21" borderId="152" applyNumberFormat="0" applyAlignment="0" applyProtection="0"/>
    <xf numFmtId="0" fontId="66" fillId="0" borderId="154" applyNumberFormat="0" applyFill="0" applyAlignment="0" applyProtection="0">
      <alignment vertical="center"/>
    </xf>
    <xf numFmtId="0" fontId="1" fillId="24" borderId="155" applyNumberFormat="0" applyFont="0" applyAlignment="0" applyProtection="0"/>
    <xf numFmtId="0" fontId="35" fillId="8" borderId="152" applyNumberFormat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35" fillId="8" borderId="152" applyNumberFormat="0" applyAlignment="0" applyProtection="0"/>
    <xf numFmtId="0" fontId="41" fillId="0" borderId="154" applyNumberFormat="0" applyFill="0" applyAlignment="0" applyProtection="0"/>
    <xf numFmtId="0" fontId="7" fillId="24" borderId="155" applyNumberFormat="0" applyFont="0" applyAlignment="0" applyProtection="0"/>
    <xf numFmtId="0" fontId="64" fillId="21" borderId="153" applyNumberFormat="0" applyAlignment="0" applyProtection="0">
      <alignment vertical="center"/>
    </xf>
    <xf numFmtId="0" fontId="35" fillId="8" borderId="152" applyNumberFormat="0" applyAlignment="0" applyProtection="0"/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64" fillId="21" borderId="153" applyNumberFormat="0" applyAlignment="0" applyProtection="0">
      <alignment vertical="center"/>
    </xf>
    <xf numFmtId="0" fontId="37" fillId="21" borderId="152" applyNumberFormat="0" applyAlignment="0" applyProtection="0"/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1" fillId="24" borderId="155" applyNumberFormat="0" applyFont="0" applyAlignment="0" applyProtection="0"/>
    <xf numFmtId="0" fontId="66" fillId="0" borderId="154" applyNumberFormat="0" applyFill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36" fillId="21" borderId="153" applyNumberFormat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36" fillId="21" borderId="153" applyNumberFormat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70" fillId="8" borderId="152" applyNumberFormat="0" applyAlignment="0" applyProtection="0"/>
    <xf numFmtId="0" fontId="71" fillId="21" borderId="153" applyNumberFormat="0" applyAlignment="0" applyProtection="0"/>
    <xf numFmtId="0" fontId="72" fillId="21" borderId="152" applyNumberFormat="0" applyAlignment="0" applyProtection="0"/>
    <xf numFmtId="0" fontId="37" fillId="21" borderId="152" applyNumberFormat="0" applyAlignment="0" applyProtection="0"/>
    <xf numFmtId="0" fontId="76" fillId="0" borderId="154" applyNumberFormat="0" applyFill="0" applyAlignment="0" applyProtection="0"/>
    <xf numFmtId="0" fontId="70" fillId="8" borderId="152" applyNumberFormat="0" applyAlignment="0" applyProtection="0"/>
    <xf numFmtId="0" fontId="76" fillId="0" borderId="154" applyNumberFormat="0" applyFill="0" applyAlignment="0" applyProtection="0"/>
    <xf numFmtId="0" fontId="7" fillId="24" borderId="155" applyNumberFormat="0" applyFont="0" applyAlignment="0" applyProtection="0"/>
    <xf numFmtId="0" fontId="41" fillId="0" borderId="154" applyNumberFormat="0" applyFill="0" applyAlignment="0" applyProtection="0"/>
    <xf numFmtId="0" fontId="61" fillId="8" borderId="152" applyNumberFormat="0" applyAlignment="0" applyProtection="0">
      <alignment vertical="center"/>
    </xf>
    <xf numFmtId="0" fontId="36" fillId="21" borderId="153" applyNumberFormat="0" applyAlignment="0" applyProtection="0"/>
    <xf numFmtId="0" fontId="1" fillId="24" borderId="155" applyNumberFormat="0" applyFont="0" applyAlignment="0" applyProtection="0"/>
    <xf numFmtId="0" fontId="41" fillId="0" borderId="154" applyNumberFormat="0" applyFill="0" applyAlignment="0" applyProtection="0"/>
    <xf numFmtId="0" fontId="61" fillId="8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61" fillId="8" borderId="152" applyNumberFormat="0" applyAlignment="0" applyProtection="0">
      <alignment vertical="center"/>
    </xf>
    <xf numFmtId="0" fontId="72" fillId="21" borderId="152" applyNumberFormat="0" applyAlignment="0" applyProtection="0"/>
    <xf numFmtId="0" fontId="37" fillId="21" borderId="152" applyNumberFormat="0" applyAlignment="0" applyProtection="0"/>
    <xf numFmtId="0" fontId="54" fillId="21" borderId="152" applyNumberFormat="0" applyAlignment="0" applyProtection="0">
      <alignment vertical="center"/>
    </xf>
    <xf numFmtId="0" fontId="41" fillId="0" borderId="154" applyNumberFormat="0" applyFill="0" applyAlignment="0" applyProtection="0"/>
    <xf numFmtId="0" fontId="36" fillId="21" borderId="153" applyNumberFormat="0" applyAlignment="0" applyProtection="0"/>
    <xf numFmtId="0" fontId="1" fillId="24" borderId="155" applyNumberFormat="0" applyFont="0" applyAlignment="0" applyProtection="0"/>
    <xf numFmtId="0" fontId="61" fillId="8" borderId="152" applyNumberFormat="0" applyAlignment="0" applyProtection="0">
      <alignment vertical="center"/>
    </xf>
    <xf numFmtId="0" fontId="1" fillId="24" borderId="155" applyNumberFormat="0" applyFont="0" applyAlignment="0" applyProtection="0"/>
    <xf numFmtId="0" fontId="36" fillId="21" borderId="153" applyNumberFormat="0" applyAlignment="0" applyProtection="0"/>
    <xf numFmtId="0" fontId="51" fillId="24" borderId="155" applyNumberFormat="0" applyFont="0" applyAlignment="0" applyProtection="0">
      <alignment vertical="center"/>
    </xf>
    <xf numFmtId="0" fontId="35" fillId="8" borderId="152" applyNumberFormat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70" fillId="8" borderId="152" applyNumberFormat="0" applyAlignment="0" applyProtection="0"/>
    <xf numFmtId="0" fontId="71" fillId="21" borderId="153" applyNumberFormat="0" applyAlignment="0" applyProtection="0"/>
    <xf numFmtId="0" fontId="72" fillId="21" borderId="152" applyNumberFormat="0" applyAlignment="0" applyProtection="0"/>
    <xf numFmtId="0" fontId="76" fillId="0" borderId="154" applyNumberFormat="0" applyFill="0" applyAlignment="0" applyProtection="0"/>
    <xf numFmtId="0" fontId="7" fillId="24" borderId="155" applyNumberFormat="0" applyFont="0" applyAlignment="0" applyProtection="0"/>
    <xf numFmtId="0" fontId="41" fillId="0" borderId="154" applyNumberFormat="0" applyFill="0" applyAlignment="0" applyProtection="0"/>
    <xf numFmtId="0" fontId="61" fillId="8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41" fillId="0" borderId="154" applyNumberFormat="0" applyFill="0" applyAlignment="0" applyProtection="0"/>
    <xf numFmtId="0" fontId="37" fillId="21" borderId="152" applyNumberFormat="0" applyAlignment="0" applyProtection="0"/>
    <xf numFmtId="0" fontId="66" fillId="0" borderId="154" applyNumberFormat="0" applyFill="0" applyAlignment="0" applyProtection="0">
      <alignment vertical="center"/>
    </xf>
    <xf numFmtId="0" fontId="1" fillId="24" borderId="155" applyNumberFormat="0" applyFont="0" applyAlignment="0" applyProtection="0"/>
    <xf numFmtId="0" fontId="35" fillId="8" borderId="152" applyNumberFormat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35" fillId="8" borderId="152" applyNumberFormat="0" applyAlignment="0" applyProtection="0"/>
    <xf numFmtId="0" fontId="41" fillId="0" borderId="154" applyNumberFormat="0" applyFill="0" applyAlignment="0" applyProtection="0"/>
    <xf numFmtId="0" fontId="7" fillId="24" borderId="155" applyNumberFormat="0" applyFont="0" applyAlignment="0" applyProtection="0"/>
    <xf numFmtId="0" fontId="35" fillId="8" borderId="152" applyNumberFormat="0" applyAlignment="0" applyProtection="0"/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37" fillId="21" borderId="152" applyNumberFormat="0" applyAlignment="0" applyProtection="0"/>
    <xf numFmtId="0" fontId="51" fillId="24" borderId="155" applyNumberFormat="0" applyFon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1" fillId="24" borderId="155" applyNumberFormat="0" applyFont="0" applyAlignment="0" applyProtection="0"/>
    <xf numFmtId="0" fontId="66" fillId="0" borderId="154" applyNumberFormat="0" applyFill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1" fillId="24" borderId="155" applyNumberFormat="0" applyFont="0" applyAlignment="0" applyProtection="0"/>
    <xf numFmtId="0" fontId="54" fillId="21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35" fillId="8" borderId="152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70" fillId="8" borderId="152" applyNumberFormat="0" applyAlignment="0" applyProtection="0"/>
    <xf numFmtId="0" fontId="71" fillId="21" borderId="153" applyNumberFormat="0" applyAlignment="0" applyProtection="0"/>
    <xf numFmtId="0" fontId="72" fillId="21" borderId="152" applyNumberFormat="0" applyAlignment="0" applyProtection="0"/>
    <xf numFmtId="0" fontId="37" fillId="21" borderId="152" applyNumberFormat="0" applyAlignment="0" applyProtection="0"/>
    <xf numFmtId="0" fontId="76" fillId="0" borderId="154" applyNumberFormat="0" applyFill="0" applyAlignment="0" applyProtection="0"/>
    <xf numFmtId="0" fontId="70" fillId="8" borderId="152" applyNumberFormat="0" applyAlignment="0" applyProtection="0"/>
    <xf numFmtId="0" fontId="76" fillId="0" borderId="154" applyNumberFormat="0" applyFill="0" applyAlignment="0" applyProtection="0"/>
    <xf numFmtId="0" fontId="7" fillId="24" borderId="155" applyNumberFormat="0" applyFont="0" applyAlignment="0" applyProtection="0"/>
    <xf numFmtId="0" fontId="41" fillId="0" borderId="154" applyNumberFormat="0" applyFill="0" applyAlignment="0" applyProtection="0"/>
    <xf numFmtId="0" fontId="61" fillId="8" borderId="152" applyNumberFormat="0" applyAlignment="0" applyProtection="0">
      <alignment vertical="center"/>
    </xf>
    <xf numFmtId="0" fontId="1" fillId="24" borderId="155" applyNumberFormat="0" applyFont="0" applyAlignment="0" applyProtection="0"/>
    <xf numFmtId="0" fontId="41" fillId="0" borderId="154" applyNumberFormat="0" applyFill="0" applyAlignment="0" applyProtection="0"/>
    <xf numFmtId="0" fontId="61" fillId="8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54" fillId="21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61" fillId="8" borderId="152" applyNumberForma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51" fillId="24" borderId="155" applyNumberFormat="0" applyFon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4" fillId="21" borderId="153" applyNumberFormat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66" fillId="0" borderId="154" applyNumberFormat="0" applyFill="0" applyAlignment="0" applyProtection="0">
      <alignment vertical="center"/>
    </xf>
    <xf numFmtId="0" fontId="35" fillId="8" borderId="152" applyNumberFormat="0" applyAlignment="0" applyProtection="0"/>
    <xf numFmtId="0" fontId="35" fillId="8" borderId="152" applyNumberFormat="0" applyAlignment="0" applyProtection="0"/>
    <xf numFmtId="0" fontId="36" fillId="21" borderId="153" applyNumberFormat="0" applyAlignment="0" applyProtection="0"/>
    <xf numFmtId="0" fontId="36" fillId="21" borderId="153" applyNumberFormat="0" applyAlignment="0" applyProtection="0"/>
    <xf numFmtId="0" fontId="37" fillId="21" borderId="152" applyNumberFormat="0" applyAlignment="0" applyProtection="0"/>
    <xf numFmtId="0" fontId="37" fillId="21" borderId="152" applyNumberFormat="0" applyAlignment="0" applyProtection="0"/>
    <xf numFmtId="0" fontId="41" fillId="0" borderId="154" applyNumberFormat="0" applyFill="0" applyAlignment="0" applyProtection="0"/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1" fillId="24" borderId="155" applyNumberFormat="0" applyFont="0" applyAlignment="0" applyProtection="0"/>
    <xf numFmtId="0" fontId="61" fillId="8" borderId="152" applyNumberFormat="0" applyAlignment="0" applyProtection="0">
      <alignment vertical="center"/>
    </xf>
    <xf numFmtId="0" fontId="72" fillId="21" borderId="152" applyNumberFormat="0" applyAlignment="0" applyProtection="0"/>
    <xf numFmtId="0" fontId="37" fillId="21" borderId="152" applyNumberFormat="0" applyAlignment="0" applyProtection="0"/>
    <xf numFmtId="0" fontId="54" fillId="21" borderId="152" applyNumberFormat="0" applyAlignment="0" applyProtection="0">
      <alignment vertical="center"/>
    </xf>
    <xf numFmtId="0" fontId="41" fillId="0" borderId="154" applyNumberFormat="0" applyFill="0" applyAlignment="0" applyProtection="0"/>
    <xf numFmtId="0" fontId="1" fillId="24" borderId="155" applyNumberFormat="0" applyFont="0" applyAlignment="0" applyProtection="0"/>
    <xf numFmtId="0" fontId="61" fillId="8" borderId="152" applyNumberFormat="0" applyAlignment="0" applyProtection="0">
      <alignment vertical="center"/>
    </xf>
    <xf numFmtId="0" fontId="1" fillId="24" borderId="155" applyNumberFormat="0" applyFont="0" applyAlignment="0" applyProtection="0"/>
    <xf numFmtId="0" fontId="51" fillId="24" borderId="155" applyNumberFormat="0" applyFont="0" applyAlignment="0" applyProtection="0">
      <alignment vertical="center"/>
    </xf>
    <xf numFmtId="0" fontId="35" fillId="8" borderId="152" applyNumberFormat="0" applyAlignment="0" applyProtection="0"/>
    <xf numFmtId="4" fontId="86" fillId="27" borderId="156" applyNumberFormat="0" applyProtection="0">
      <alignment vertical="center"/>
    </xf>
    <xf numFmtId="0" fontId="2" fillId="28" borderId="156" applyNumberFormat="0" applyProtection="0">
      <alignment horizontal="left" vertical="top" indent="1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" fillId="0" borderId="0"/>
    <xf numFmtId="0" fontId="149" fillId="0" borderId="0"/>
    <xf numFmtId="0" fontId="150" fillId="0" borderId="0">
      <alignment vertical="center"/>
    </xf>
    <xf numFmtId="0" fontId="3" fillId="0" borderId="0"/>
    <xf numFmtId="0" fontId="1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35" fillId="8" borderId="163" applyNumberFormat="0" applyAlignment="0" applyProtection="0"/>
    <xf numFmtId="0" fontId="36" fillId="21" borderId="164" applyNumberFormat="0" applyAlignment="0" applyProtection="0"/>
    <xf numFmtId="0" fontId="37" fillId="21" borderId="163" applyNumberFormat="0" applyAlignment="0" applyProtection="0"/>
    <xf numFmtId="0" fontId="41" fillId="0" borderId="165" applyNumberFormat="0" applyFill="0" applyAlignment="0" applyProtection="0"/>
    <xf numFmtId="0" fontId="1" fillId="24" borderId="166" applyNumberFormat="0" applyFont="0" applyAlignment="0" applyProtection="0"/>
    <xf numFmtId="0" fontId="54" fillId="21" borderId="163" applyNumberFormat="0" applyAlignment="0" applyProtection="0">
      <alignment vertical="center"/>
    </xf>
    <xf numFmtId="0" fontId="61" fillId="8" borderId="163" applyNumberFormat="0" applyAlignment="0" applyProtection="0">
      <alignment vertical="center"/>
    </xf>
    <xf numFmtId="0" fontId="51" fillId="24" borderId="166" applyNumberFormat="0" applyFont="0" applyAlignment="0" applyProtection="0">
      <alignment vertical="center"/>
    </xf>
    <xf numFmtId="0" fontId="64" fillId="21" borderId="164" applyNumberFormat="0" applyAlignment="0" applyProtection="0">
      <alignment vertical="center"/>
    </xf>
    <xf numFmtId="0" fontId="66" fillId="0" borderId="165" applyNumberFormat="0" applyFill="0" applyAlignment="0" applyProtection="0">
      <alignment vertical="center"/>
    </xf>
    <xf numFmtId="0" fontId="35" fillId="8" borderId="163" applyNumberFormat="0" applyAlignment="0" applyProtection="0"/>
    <xf numFmtId="0" fontId="36" fillId="21" borderId="164" applyNumberFormat="0" applyAlignment="0" applyProtection="0"/>
    <xf numFmtId="0" fontId="37" fillId="21" borderId="163" applyNumberFormat="0" applyAlignment="0" applyProtection="0"/>
    <xf numFmtId="0" fontId="41" fillId="0" borderId="165" applyNumberFormat="0" applyFill="0" applyAlignment="0" applyProtection="0"/>
    <xf numFmtId="0" fontId="1" fillId="24" borderId="166" applyNumberFormat="0" applyFont="0" applyAlignment="0" applyProtection="0"/>
    <xf numFmtId="0" fontId="54" fillId="21" borderId="163" applyNumberFormat="0" applyAlignment="0" applyProtection="0">
      <alignment vertical="center"/>
    </xf>
    <xf numFmtId="0" fontId="61" fillId="8" borderId="163" applyNumberFormat="0" applyAlignment="0" applyProtection="0">
      <alignment vertical="center"/>
    </xf>
    <xf numFmtId="0" fontId="51" fillId="24" borderId="166" applyNumberFormat="0" applyFont="0" applyAlignment="0" applyProtection="0">
      <alignment vertical="center"/>
    </xf>
    <xf numFmtId="0" fontId="64" fillId="21" borderId="164" applyNumberFormat="0" applyAlignment="0" applyProtection="0">
      <alignment vertical="center"/>
    </xf>
    <xf numFmtId="0" fontId="66" fillId="0" borderId="165" applyNumberFormat="0" applyFill="0" applyAlignment="0" applyProtection="0">
      <alignment vertical="center"/>
    </xf>
    <xf numFmtId="0" fontId="1" fillId="24" borderId="166" applyNumberFormat="0" applyFont="0" applyAlignment="0" applyProtection="0"/>
    <xf numFmtId="0" fontId="54" fillId="21" borderId="163" applyNumberFormat="0" applyAlignment="0" applyProtection="0">
      <alignment vertical="center"/>
    </xf>
    <xf numFmtId="0" fontId="35" fillId="8" borderId="163" applyNumberFormat="0" applyAlignment="0" applyProtection="0"/>
    <xf numFmtId="0" fontId="36" fillId="21" borderId="164" applyNumberFormat="0" applyAlignment="0" applyProtection="0"/>
    <xf numFmtId="0" fontId="37" fillId="21" borderId="163" applyNumberFormat="0" applyAlignment="0" applyProtection="0"/>
    <xf numFmtId="0" fontId="51" fillId="24" borderId="166" applyNumberFormat="0" applyFont="0" applyAlignment="0" applyProtection="0">
      <alignment vertical="center"/>
    </xf>
    <xf numFmtId="0" fontId="64" fillId="21" borderId="164" applyNumberFormat="0" applyAlignment="0" applyProtection="0">
      <alignment vertical="center"/>
    </xf>
    <xf numFmtId="0" fontId="66" fillId="0" borderId="165" applyNumberFormat="0" applyFill="0" applyAlignment="0" applyProtection="0">
      <alignment vertical="center"/>
    </xf>
    <xf numFmtId="0" fontId="70" fillId="8" borderId="163" applyNumberFormat="0" applyAlignment="0" applyProtection="0"/>
    <xf numFmtId="0" fontId="71" fillId="21" borderId="164" applyNumberFormat="0" applyAlignment="0" applyProtection="0"/>
    <xf numFmtId="0" fontId="72" fillId="21" borderId="163" applyNumberFormat="0" applyAlignment="0" applyProtection="0"/>
    <xf numFmtId="0" fontId="76" fillId="0" borderId="165" applyNumberFormat="0" applyFill="0" applyAlignment="0" applyProtection="0"/>
    <xf numFmtId="0" fontId="7" fillId="24" borderId="166" applyNumberFormat="0" applyFont="0" applyAlignment="0" applyProtection="0"/>
    <xf numFmtId="0" fontId="41" fillId="0" borderId="165" applyNumberFormat="0" applyFill="0" applyAlignment="0" applyProtection="0"/>
    <xf numFmtId="0" fontId="61" fillId="8" borderId="163" applyNumberFormat="0" applyAlignment="0" applyProtection="0">
      <alignment vertical="center"/>
    </xf>
    <xf numFmtId="0" fontId="54" fillId="21" borderId="163" applyNumberFormat="0" applyAlignment="0" applyProtection="0">
      <alignment vertical="center"/>
    </xf>
    <xf numFmtId="0" fontId="54" fillId="21" borderId="163" applyNumberFormat="0" applyAlignment="0" applyProtection="0">
      <alignment vertical="center"/>
    </xf>
    <xf numFmtId="0" fontId="61" fillId="8" borderId="163" applyNumberFormat="0" applyAlignment="0" applyProtection="0">
      <alignment vertical="center"/>
    </xf>
    <xf numFmtId="0" fontId="61" fillId="8" borderId="163" applyNumberFormat="0" applyAlignment="0" applyProtection="0">
      <alignment vertical="center"/>
    </xf>
    <xf numFmtId="0" fontId="51" fillId="24" borderId="166" applyNumberFormat="0" applyFont="0" applyAlignment="0" applyProtection="0">
      <alignment vertical="center"/>
    </xf>
    <xf numFmtId="0" fontId="51" fillId="24" borderId="166" applyNumberFormat="0" applyFont="0" applyAlignment="0" applyProtection="0">
      <alignment vertical="center"/>
    </xf>
    <xf numFmtId="0" fontId="64" fillId="21" borderId="164" applyNumberFormat="0" applyAlignment="0" applyProtection="0">
      <alignment vertical="center"/>
    </xf>
    <xf numFmtId="0" fontId="64" fillId="21" borderId="164" applyNumberFormat="0" applyAlignment="0" applyProtection="0">
      <alignment vertical="center"/>
    </xf>
    <xf numFmtId="0" fontId="66" fillId="0" borderId="165" applyNumberFormat="0" applyFill="0" applyAlignment="0" applyProtection="0">
      <alignment vertical="center"/>
    </xf>
    <xf numFmtId="0" fontId="66" fillId="0" borderId="165" applyNumberFormat="0" applyFill="0" applyAlignment="0" applyProtection="0">
      <alignment vertical="center"/>
    </xf>
    <xf numFmtId="0" fontId="35" fillId="8" borderId="163" applyNumberFormat="0" applyAlignment="0" applyProtection="0"/>
    <xf numFmtId="0" fontId="35" fillId="8" borderId="163" applyNumberFormat="0" applyAlignment="0" applyProtection="0"/>
    <xf numFmtId="0" fontId="36" fillId="21" borderId="164" applyNumberFormat="0" applyAlignment="0" applyProtection="0"/>
    <xf numFmtId="0" fontId="36" fillId="21" borderId="164" applyNumberFormat="0" applyAlignment="0" applyProtection="0"/>
    <xf numFmtId="0" fontId="37" fillId="21" borderId="163" applyNumberFormat="0" applyAlignment="0" applyProtection="0"/>
    <xf numFmtId="0" fontId="37" fillId="21" borderId="163" applyNumberFormat="0" applyAlignment="0" applyProtection="0"/>
    <xf numFmtId="0" fontId="41" fillId="0" borderId="165" applyNumberFormat="0" applyFill="0" applyAlignment="0" applyProtection="0"/>
    <xf numFmtId="0" fontId="41" fillId="0" borderId="165" applyNumberFormat="0" applyFill="0" applyAlignment="0" applyProtection="0"/>
    <xf numFmtId="0" fontId="1" fillId="24" borderId="166" applyNumberFormat="0" applyFont="0" applyAlignment="0" applyProtection="0"/>
    <xf numFmtId="0" fontId="1" fillId="24" borderId="166" applyNumberFormat="0" applyFont="0" applyAlignment="0" applyProtection="0"/>
    <xf numFmtId="0" fontId="71" fillId="21" borderId="164" applyNumberFormat="0" applyAlignment="0" applyProtection="0"/>
    <xf numFmtId="0" fontId="41" fillId="0" borderId="165" applyNumberFormat="0" applyFill="0" applyAlignment="0" applyProtection="0"/>
    <xf numFmtId="0" fontId="37" fillId="21" borderId="163" applyNumberFormat="0" applyAlignment="0" applyProtection="0"/>
    <xf numFmtId="0" fontId="66" fillId="0" borderId="165" applyNumberFormat="0" applyFill="0" applyAlignment="0" applyProtection="0">
      <alignment vertical="center"/>
    </xf>
    <xf numFmtId="0" fontId="1" fillId="24" borderId="166" applyNumberFormat="0" applyFont="0" applyAlignment="0" applyProtection="0"/>
    <xf numFmtId="0" fontId="35" fillId="8" borderId="163" applyNumberFormat="0" applyAlignment="0" applyProtection="0"/>
    <xf numFmtId="0" fontId="35" fillId="8" borderId="163" applyNumberFormat="0" applyAlignment="0" applyProtection="0"/>
    <xf numFmtId="0" fontId="36" fillId="21" borderId="164" applyNumberFormat="0" applyAlignment="0" applyProtection="0"/>
    <xf numFmtId="0" fontId="37" fillId="21" borderId="163" applyNumberFormat="0" applyAlignment="0" applyProtection="0"/>
    <xf numFmtId="0" fontId="41" fillId="0" borderId="165" applyNumberFormat="0" applyFill="0" applyAlignment="0" applyProtection="0"/>
    <xf numFmtId="0" fontId="1" fillId="24" borderId="166" applyNumberFormat="0" applyFont="0" applyAlignment="0" applyProtection="0"/>
    <xf numFmtId="0" fontId="54" fillId="21" borderId="163" applyNumberFormat="0" applyAlignment="0" applyProtection="0">
      <alignment vertical="center"/>
    </xf>
    <xf numFmtId="0" fontId="35" fillId="8" borderId="163" applyNumberFormat="0" applyAlignment="0" applyProtection="0"/>
    <xf numFmtId="0" fontId="41" fillId="0" borderId="165" applyNumberFormat="0" applyFill="0" applyAlignment="0" applyProtection="0"/>
    <xf numFmtId="0" fontId="7" fillId="24" borderId="166" applyNumberFormat="0" applyFont="0" applyAlignment="0" applyProtection="0"/>
    <xf numFmtId="0" fontId="64" fillId="21" borderId="164" applyNumberFormat="0" applyAlignment="0" applyProtection="0">
      <alignment vertical="center"/>
    </xf>
    <xf numFmtId="0" fontId="35" fillId="8" borderId="163" applyNumberFormat="0" applyAlignment="0" applyProtection="0"/>
    <xf numFmtId="0" fontId="54" fillId="21" borderId="163" applyNumberFormat="0" applyAlignment="0" applyProtection="0">
      <alignment vertical="center"/>
    </xf>
    <xf numFmtId="0" fontId="61" fillId="8" borderId="163" applyNumberFormat="0" applyAlignment="0" applyProtection="0">
      <alignment vertical="center"/>
    </xf>
    <xf numFmtId="0" fontId="54" fillId="21" borderId="163" applyNumberFormat="0" applyAlignment="0" applyProtection="0">
      <alignment vertical="center"/>
    </xf>
    <xf numFmtId="0" fontId="66" fillId="0" borderId="165" applyNumberFormat="0" applyFill="0" applyAlignment="0" applyProtection="0">
      <alignment vertical="center"/>
    </xf>
    <xf numFmtId="0" fontId="35" fillId="8" borderId="163" applyNumberFormat="0" applyAlignment="0" applyProtection="0"/>
    <xf numFmtId="0" fontId="37" fillId="21" borderId="163" applyNumberFormat="0" applyAlignment="0" applyProtection="0"/>
    <xf numFmtId="0" fontId="41" fillId="0" borderId="165" applyNumberFormat="0" applyFill="0" applyAlignment="0" applyProtection="0"/>
    <xf numFmtId="0" fontId="64" fillId="21" borderId="164" applyNumberFormat="0" applyAlignment="0" applyProtection="0">
      <alignment vertical="center"/>
    </xf>
    <xf numFmtId="0" fontId="37" fillId="21" borderId="163" applyNumberFormat="0" applyAlignment="0" applyProtection="0"/>
    <xf numFmtId="0" fontId="51" fillId="24" borderId="166" applyNumberFormat="0" applyFont="0" applyAlignment="0" applyProtection="0">
      <alignment vertical="center"/>
    </xf>
    <xf numFmtId="0" fontId="64" fillId="21" borderId="164" applyNumberFormat="0" applyAlignment="0" applyProtection="0">
      <alignment vertical="center"/>
    </xf>
    <xf numFmtId="0" fontId="66" fillId="0" borderId="165" applyNumberFormat="0" applyFill="0" applyAlignment="0" applyProtection="0">
      <alignment vertical="center"/>
    </xf>
    <xf numFmtId="0" fontId="54" fillId="21" borderId="163" applyNumberFormat="0" applyAlignment="0" applyProtection="0">
      <alignment vertical="center"/>
    </xf>
    <xf numFmtId="0" fontId="61" fillId="8" borderId="163" applyNumberFormat="0" applyAlignment="0" applyProtection="0">
      <alignment vertical="center"/>
    </xf>
    <xf numFmtId="0" fontId="51" fillId="24" borderId="166" applyNumberFormat="0" applyFont="0" applyAlignment="0" applyProtection="0">
      <alignment vertical="center"/>
    </xf>
    <xf numFmtId="0" fontId="51" fillId="24" borderId="166" applyNumberFormat="0" applyFont="0" applyAlignment="0" applyProtection="0">
      <alignment vertical="center"/>
    </xf>
    <xf numFmtId="0" fontId="61" fillId="8" borderId="163" applyNumberFormat="0" applyAlignment="0" applyProtection="0">
      <alignment vertical="center"/>
    </xf>
    <xf numFmtId="0" fontId="64" fillId="21" borderId="164" applyNumberFormat="0" applyAlignment="0" applyProtection="0">
      <alignment vertical="center"/>
    </xf>
    <xf numFmtId="0" fontId="64" fillId="21" borderId="164" applyNumberFormat="0" applyAlignment="0" applyProtection="0">
      <alignment vertical="center"/>
    </xf>
    <xf numFmtId="0" fontId="51" fillId="24" borderId="166" applyNumberFormat="0" applyFont="0" applyAlignment="0" applyProtection="0">
      <alignment vertical="center"/>
    </xf>
    <xf numFmtId="0" fontId="64" fillId="21" borderId="164" applyNumberFormat="0" applyAlignment="0" applyProtection="0">
      <alignment vertical="center"/>
    </xf>
    <xf numFmtId="0" fontId="66" fillId="0" borderId="165" applyNumberFormat="0" applyFill="0" applyAlignment="0" applyProtection="0">
      <alignment vertical="center"/>
    </xf>
    <xf numFmtId="0" fontId="66" fillId="0" borderId="165" applyNumberFormat="0" applyFill="0" applyAlignment="0" applyProtection="0">
      <alignment vertical="center"/>
    </xf>
    <xf numFmtId="0" fontId="35" fillId="8" borderId="163" applyNumberFormat="0" applyAlignment="0" applyProtection="0"/>
    <xf numFmtId="0" fontId="36" fillId="21" borderId="164" applyNumberFormat="0" applyAlignment="0" applyProtection="0"/>
    <xf numFmtId="0" fontId="37" fillId="21" borderId="163" applyNumberFormat="0" applyAlignment="0" applyProtection="0"/>
    <xf numFmtId="0" fontId="41" fillId="0" borderId="165" applyNumberFormat="0" applyFill="0" applyAlignment="0" applyProtection="0"/>
    <xf numFmtId="0" fontId="1" fillId="24" borderId="166" applyNumberFormat="0" applyFont="0" applyAlignment="0" applyProtection="0"/>
    <xf numFmtId="0" fontId="54" fillId="21" borderId="163" applyNumberFormat="0" applyAlignment="0" applyProtection="0">
      <alignment vertical="center"/>
    </xf>
    <xf numFmtId="0" fontId="61" fillId="8" borderId="163" applyNumberFormat="0" applyAlignment="0" applyProtection="0">
      <alignment vertical="center"/>
    </xf>
    <xf numFmtId="0" fontId="51" fillId="24" borderId="166" applyNumberFormat="0" applyFont="0" applyAlignment="0" applyProtection="0">
      <alignment vertical="center"/>
    </xf>
    <xf numFmtId="0" fontId="64" fillId="21" borderId="164" applyNumberFormat="0" applyAlignment="0" applyProtection="0">
      <alignment vertical="center"/>
    </xf>
    <xf numFmtId="0" fontId="66" fillId="0" borderId="165" applyNumberFormat="0" applyFill="0" applyAlignment="0" applyProtection="0">
      <alignment vertical="center"/>
    </xf>
    <xf numFmtId="0" fontId="1" fillId="24" borderId="166" applyNumberFormat="0" applyFont="0" applyAlignment="0" applyProtection="0"/>
    <xf numFmtId="0" fontId="66" fillId="0" borderId="165" applyNumberFormat="0" applyFill="0" applyAlignment="0" applyProtection="0">
      <alignment vertical="center"/>
    </xf>
    <xf numFmtId="0" fontId="51" fillId="24" borderId="166" applyNumberFormat="0" applyFont="0" applyAlignment="0" applyProtection="0">
      <alignment vertical="center"/>
    </xf>
    <xf numFmtId="0" fontId="36" fillId="21" borderId="164" applyNumberFormat="0" applyAlignment="0" applyProtection="0"/>
    <xf numFmtId="0" fontId="1" fillId="24" borderId="166" applyNumberFormat="0" applyFont="0" applyAlignment="0" applyProtection="0"/>
    <xf numFmtId="0" fontId="54" fillId="21" borderId="163" applyNumberFormat="0" applyAlignment="0" applyProtection="0">
      <alignment vertical="center"/>
    </xf>
    <xf numFmtId="0" fontId="54" fillId="21" borderId="163" applyNumberFormat="0" applyAlignment="0" applyProtection="0">
      <alignment vertical="center"/>
    </xf>
    <xf numFmtId="0" fontId="36" fillId="21" borderId="164" applyNumberFormat="0" applyAlignment="0" applyProtection="0"/>
    <xf numFmtId="0" fontId="35" fillId="8" borderId="163" applyNumberFormat="0" applyAlignment="0" applyProtection="0"/>
    <xf numFmtId="0" fontId="36" fillId="21" borderId="164" applyNumberFormat="0" applyAlignment="0" applyProtection="0"/>
    <xf numFmtId="0" fontId="37" fillId="21" borderId="163" applyNumberFormat="0" applyAlignment="0" applyProtection="0"/>
    <xf numFmtId="0" fontId="51" fillId="24" borderId="166" applyNumberFormat="0" applyFont="0" applyAlignment="0" applyProtection="0">
      <alignment vertical="center"/>
    </xf>
    <xf numFmtId="0" fontId="64" fillId="21" borderId="164" applyNumberFormat="0" applyAlignment="0" applyProtection="0">
      <alignment vertical="center"/>
    </xf>
    <xf numFmtId="0" fontId="66" fillId="0" borderId="165" applyNumberFormat="0" applyFill="0" applyAlignment="0" applyProtection="0">
      <alignment vertical="center"/>
    </xf>
    <xf numFmtId="0" fontId="70" fillId="8" borderId="163" applyNumberFormat="0" applyAlignment="0" applyProtection="0"/>
    <xf numFmtId="0" fontId="71" fillId="21" borderId="164" applyNumberFormat="0" applyAlignment="0" applyProtection="0"/>
    <xf numFmtId="0" fontId="72" fillId="21" borderId="163" applyNumberFormat="0" applyAlignment="0" applyProtection="0"/>
    <xf numFmtId="0" fontId="37" fillId="21" borderId="163" applyNumberFormat="0" applyAlignment="0" applyProtection="0"/>
    <xf numFmtId="0" fontId="76" fillId="0" borderId="165" applyNumberFormat="0" applyFill="0" applyAlignment="0" applyProtection="0"/>
    <xf numFmtId="0" fontId="70" fillId="8" borderId="163" applyNumberFormat="0" applyAlignment="0" applyProtection="0"/>
    <xf numFmtId="0" fontId="76" fillId="0" borderId="165" applyNumberFormat="0" applyFill="0" applyAlignment="0" applyProtection="0"/>
    <xf numFmtId="0" fontId="7" fillId="24" borderId="166" applyNumberFormat="0" applyFont="0" applyAlignment="0" applyProtection="0"/>
    <xf numFmtId="0" fontId="41" fillId="0" borderId="165" applyNumberFormat="0" applyFill="0" applyAlignment="0" applyProtection="0"/>
    <xf numFmtId="0" fontId="61" fillId="8" borderId="163" applyNumberFormat="0" applyAlignment="0" applyProtection="0">
      <alignment vertical="center"/>
    </xf>
    <xf numFmtId="0" fontId="36" fillId="21" borderId="164" applyNumberFormat="0" applyAlignment="0" applyProtection="0"/>
    <xf numFmtId="0" fontId="1" fillId="24" borderId="166" applyNumberFormat="0" applyFont="0" applyAlignment="0" applyProtection="0"/>
    <xf numFmtId="0" fontId="41" fillId="0" borderId="165" applyNumberFormat="0" applyFill="0" applyAlignment="0" applyProtection="0"/>
    <xf numFmtId="0" fontId="61" fillId="8" borderId="163" applyNumberFormat="0" applyAlignment="0" applyProtection="0">
      <alignment vertical="center"/>
    </xf>
    <xf numFmtId="0" fontId="54" fillId="21" borderId="163" applyNumberFormat="0" applyAlignment="0" applyProtection="0">
      <alignment vertical="center"/>
    </xf>
    <xf numFmtId="0" fontId="54" fillId="21" borderId="163" applyNumberFormat="0" applyAlignment="0" applyProtection="0">
      <alignment vertical="center"/>
    </xf>
    <xf numFmtId="0" fontId="61" fillId="8" borderId="163" applyNumberFormat="0" applyAlignment="0" applyProtection="0">
      <alignment vertical="center"/>
    </xf>
    <xf numFmtId="0" fontId="61" fillId="8" borderId="163" applyNumberFormat="0" applyAlignment="0" applyProtection="0">
      <alignment vertical="center"/>
    </xf>
    <xf numFmtId="0" fontId="51" fillId="24" borderId="166" applyNumberFormat="0" applyFont="0" applyAlignment="0" applyProtection="0">
      <alignment vertical="center"/>
    </xf>
    <xf numFmtId="0" fontId="51" fillId="24" borderId="166" applyNumberFormat="0" applyFont="0" applyAlignment="0" applyProtection="0">
      <alignment vertical="center"/>
    </xf>
    <xf numFmtId="0" fontId="64" fillId="21" borderId="164" applyNumberFormat="0" applyAlignment="0" applyProtection="0">
      <alignment vertical="center"/>
    </xf>
    <xf numFmtId="0" fontId="64" fillId="21" borderId="164" applyNumberFormat="0" applyAlignment="0" applyProtection="0">
      <alignment vertical="center"/>
    </xf>
    <xf numFmtId="0" fontId="66" fillId="0" borderId="165" applyNumberFormat="0" applyFill="0" applyAlignment="0" applyProtection="0">
      <alignment vertical="center"/>
    </xf>
    <xf numFmtId="0" fontId="66" fillId="0" borderId="165" applyNumberFormat="0" applyFill="0" applyAlignment="0" applyProtection="0">
      <alignment vertical="center"/>
    </xf>
    <xf numFmtId="0" fontId="35" fillId="8" borderId="163" applyNumberFormat="0" applyAlignment="0" applyProtection="0"/>
    <xf numFmtId="0" fontId="35" fillId="8" borderId="163" applyNumberFormat="0" applyAlignment="0" applyProtection="0"/>
    <xf numFmtId="0" fontId="36" fillId="21" borderId="164" applyNumberFormat="0" applyAlignment="0" applyProtection="0"/>
    <xf numFmtId="0" fontId="36" fillId="21" borderId="164" applyNumberFormat="0" applyAlignment="0" applyProtection="0"/>
    <xf numFmtId="0" fontId="37" fillId="21" borderId="163" applyNumberFormat="0" applyAlignment="0" applyProtection="0"/>
    <xf numFmtId="0" fontId="37" fillId="21" borderId="163" applyNumberFormat="0" applyAlignment="0" applyProtection="0"/>
    <xf numFmtId="0" fontId="41" fillId="0" borderId="165" applyNumberFormat="0" applyFill="0" applyAlignment="0" applyProtection="0"/>
    <xf numFmtId="0" fontId="41" fillId="0" borderId="165" applyNumberFormat="0" applyFill="0" applyAlignment="0" applyProtection="0"/>
    <xf numFmtId="0" fontId="1" fillId="24" borderId="166" applyNumberFormat="0" applyFont="0" applyAlignment="0" applyProtection="0"/>
    <xf numFmtId="0" fontId="1" fillId="24" borderId="166" applyNumberFormat="0" applyFont="0" applyAlignment="0" applyProtection="0"/>
    <xf numFmtId="0" fontId="61" fillId="8" borderId="163" applyNumberFormat="0" applyAlignment="0" applyProtection="0">
      <alignment vertical="center"/>
    </xf>
    <xf numFmtId="0" fontId="72" fillId="21" borderId="163" applyNumberFormat="0" applyAlignment="0" applyProtection="0"/>
    <xf numFmtId="0" fontId="37" fillId="21" borderId="163" applyNumberFormat="0" applyAlignment="0" applyProtection="0"/>
    <xf numFmtId="0" fontId="54" fillId="21" borderId="163" applyNumberFormat="0" applyAlignment="0" applyProtection="0">
      <alignment vertical="center"/>
    </xf>
    <xf numFmtId="0" fontId="41" fillId="0" borderId="165" applyNumberFormat="0" applyFill="0" applyAlignment="0" applyProtection="0"/>
    <xf numFmtId="0" fontId="36" fillId="21" borderId="164" applyNumberFormat="0" applyAlignment="0" applyProtection="0"/>
    <xf numFmtId="0" fontId="1" fillId="24" borderId="166" applyNumberFormat="0" applyFont="0" applyAlignment="0" applyProtection="0"/>
    <xf numFmtId="0" fontId="61" fillId="8" borderId="163" applyNumberFormat="0" applyAlignment="0" applyProtection="0">
      <alignment vertical="center"/>
    </xf>
    <xf numFmtId="0" fontId="1" fillId="24" borderId="166" applyNumberFormat="0" applyFont="0" applyAlignment="0" applyProtection="0"/>
    <xf numFmtId="0" fontId="36" fillId="21" borderId="164" applyNumberFormat="0" applyAlignment="0" applyProtection="0"/>
    <xf numFmtId="0" fontId="51" fillId="24" borderId="166" applyNumberFormat="0" applyFont="0" applyAlignment="0" applyProtection="0">
      <alignment vertical="center"/>
    </xf>
    <xf numFmtId="0" fontId="35" fillId="8" borderId="163" applyNumberFormat="0" applyAlignment="0" applyProtection="0"/>
    <xf numFmtId="0" fontId="90" fillId="0" borderId="0">
      <alignment vertical="center"/>
    </xf>
    <xf numFmtId="0" fontId="90" fillId="0" borderId="0"/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/>
    <xf numFmtId="0" fontId="90" fillId="0" borderId="0">
      <alignment vertical="center"/>
    </xf>
    <xf numFmtId="0" fontId="51" fillId="0" borderId="0">
      <alignment vertical="center"/>
    </xf>
    <xf numFmtId="0" fontId="160" fillId="56" borderId="0">
      <alignment horizontal="left" vertical="center"/>
    </xf>
    <xf numFmtId="0" fontId="90" fillId="0" borderId="0"/>
  </cellStyleXfs>
  <cellXfs count="720">
    <xf numFmtId="0" fontId="0" fillId="0" borderId="0" xfId="0"/>
    <xf numFmtId="49" fontId="9" fillId="0" borderId="0" xfId="0" applyNumberFormat="1" applyFont="1"/>
    <xf numFmtId="49" fontId="9" fillId="0" borderId="17" xfId="0" applyNumberFormat="1" applyFont="1" applyBorder="1" applyAlignment="1">
      <alignment horizontal="left" vertical="center"/>
    </xf>
    <xf numFmtId="49" fontId="11" fillId="0" borderId="20" xfId="0" applyNumberFormat="1" applyFont="1" applyBorder="1" applyAlignment="1">
      <alignment horizontal="left"/>
    </xf>
    <xf numFmtId="49" fontId="9" fillId="0" borderId="21" xfId="0" applyNumberFormat="1" applyFont="1" applyBorder="1" applyAlignment="1">
      <alignment horizontal="left" wrapText="1"/>
    </xf>
    <xf numFmtId="49" fontId="9" fillId="0" borderId="25" xfId="0" applyNumberFormat="1" applyFont="1" applyBorder="1" applyAlignment="1">
      <alignment horizontal="left" wrapText="1"/>
    </xf>
    <xf numFmtId="49" fontId="9" fillId="0" borderId="0" xfId="0" applyNumberFormat="1" applyFont="1" applyAlignment="1">
      <alignment horizontal="left" wrapText="1"/>
    </xf>
    <xf numFmtId="49" fontId="9" fillId="0" borderId="26" xfId="0" applyNumberFormat="1" applyFont="1" applyBorder="1" applyAlignment="1">
      <alignment horizontal="left" wrapText="1"/>
    </xf>
    <xf numFmtId="49" fontId="9" fillId="0" borderId="37" xfId="0" applyNumberFormat="1" applyFont="1" applyBorder="1" applyAlignment="1">
      <alignment horizontal="left" vertical="center"/>
    </xf>
    <xf numFmtId="49" fontId="9" fillId="0" borderId="43" xfId="0" applyNumberFormat="1" applyFont="1" applyBorder="1" applyAlignment="1">
      <alignment horizontal="left" vertical="center"/>
    </xf>
    <xf numFmtId="0" fontId="9" fillId="0" borderId="45" xfId="0" applyFont="1" applyBorder="1" applyAlignment="1">
      <alignment horizontal="left" vertical="center"/>
    </xf>
    <xf numFmtId="0" fontId="9" fillId="0" borderId="47" xfId="0" applyFont="1" applyBorder="1" applyAlignment="1">
      <alignment horizontal="left" vertical="center"/>
    </xf>
    <xf numFmtId="49" fontId="9" fillId="0" borderId="45" xfId="0" applyNumberFormat="1" applyFont="1" applyBorder="1" applyAlignment="1">
      <alignment horizontal="left" vertical="center"/>
    </xf>
    <xf numFmtId="49" fontId="9" fillId="0" borderId="48" xfId="0" applyNumberFormat="1" applyFont="1" applyBorder="1"/>
    <xf numFmtId="49" fontId="9" fillId="0" borderId="47" xfId="0" applyNumberFormat="1" applyFont="1" applyBorder="1" applyAlignment="1">
      <alignment horizontal="left" vertical="center"/>
    </xf>
    <xf numFmtId="49" fontId="9" fillId="0" borderId="23" xfId="0" applyNumberFormat="1" applyFont="1" applyBorder="1"/>
    <xf numFmtId="49" fontId="9" fillId="0" borderId="50" xfId="0" applyNumberFormat="1" applyFont="1" applyBorder="1"/>
    <xf numFmtId="49" fontId="9" fillId="0" borderId="20" xfId="0" applyNumberFormat="1" applyFont="1" applyBorder="1" applyAlignment="1">
      <alignment vertical="center"/>
    </xf>
    <xf numFmtId="49" fontId="9" fillId="0" borderId="21" xfId="0" applyNumberFormat="1" applyFont="1" applyBorder="1" applyAlignment="1">
      <alignment vertical="center"/>
    </xf>
    <xf numFmtId="49" fontId="9" fillId="0" borderId="17" xfId="0" applyNumberFormat="1" applyFont="1" applyBorder="1" applyAlignment="1">
      <alignment vertical="center"/>
    </xf>
    <xf numFmtId="0" fontId="9" fillId="0" borderId="15" xfId="0" applyFont="1" applyBorder="1"/>
    <xf numFmtId="0" fontId="9" fillId="0" borderId="29" xfId="0" applyFont="1" applyBorder="1"/>
    <xf numFmtId="0" fontId="9" fillId="0" borderId="30" xfId="0" applyFont="1" applyBorder="1"/>
    <xf numFmtId="0" fontId="13" fillId="0" borderId="31" xfId="0" applyFont="1" applyBorder="1"/>
    <xf numFmtId="0" fontId="13" fillId="0" borderId="32" xfId="0" applyFont="1" applyBorder="1"/>
    <xf numFmtId="0" fontId="13" fillId="0" borderId="9" xfId="0" applyFont="1" applyBorder="1"/>
    <xf numFmtId="0" fontId="9" fillId="0" borderId="13" xfId="0" applyFont="1" applyBorder="1"/>
    <xf numFmtId="0" fontId="9" fillId="0" borderId="55" xfId="0" applyFont="1" applyBorder="1"/>
    <xf numFmtId="0" fontId="9" fillId="0" borderId="1" xfId="0" applyFont="1" applyBorder="1"/>
    <xf numFmtId="0" fontId="9" fillId="0" borderId="63" xfId="0" applyFont="1" applyBorder="1"/>
    <xf numFmtId="0" fontId="9" fillId="0" borderId="67" xfId="0" applyFont="1" applyBorder="1"/>
    <xf numFmtId="0" fontId="9" fillId="0" borderId="17" xfId="0" applyFont="1" applyBorder="1" applyAlignment="1">
      <alignment horizontal="left" vertical="center"/>
    </xf>
    <xf numFmtId="0" fontId="9" fillId="0" borderId="27" xfId="0" applyFont="1" applyBorder="1" applyAlignment="1">
      <alignment horizontal="left" vertical="center"/>
    </xf>
    <xf numFmtId="0" fontId="9" fillId="0" borderId="70" xfId="0" applyFont="1" applyBorder="1" applyAlignment="1">
      <alignment horizontal="left" vertical="center"/>
    </xf>
    <xf numFmtId="49" fontId="9" fillId="0" borderId="0" xfId="0" applyNumberFormat="1" applyFont="1" applyAlignment="1">
      <alignment horizontal="right"/>
    </xf>
    <xf numFmtId="0" fontId="9" fillId="0" borderId="71" xfId="0" applyFont="1" applyBorder="1"/>
    <xf numFmtId="0" fontId="10" fillId="0" borderId="21" xfId="0" applyFont="1" applyBorder="1"/>
    <xf numFmtId="0" fontId="9" fillId="0" borderId="20" xfId="0" applyFont="1" applyBorder="1"/>
    <xf numFmtId="0" fontId="9" fillId="0" borderId="8" xfId="0" applyFont="1" applyBorder="1" applyAlignment="1">
      <alignment vertical="justify"/>
    </xf>
    <xf numFmtId="0" fontId="9" fillId="0" borderId="73" xfId="0" applyFont="1" applyBorder="1" applyAlignment="1">
      <alignment vertical="justify"/>
    </xf>
    <xf numFmtId="0" fontId="9" fillId="0" borderId="0" xfId="0" applyFont="1" applyAlignment="1">
      <alignment vertical="justify"/>
    </xf>
    <xf numFmtId="49" fontId="9" fillId="0" borderId="0" xfId="0" applyNumberFormat="1" applyFont="1" applyAlignment="1">
      <alignment vertical="justify"/>
    </xf>
    <xf numFmtId="0" fontId="9" fillId="0" borderId="11" xfId="0" applyFont="1" applyBorder="1" applyAlignment="1">
      <alignment vertical="justify"/>
    </xf>
    <xf numFmtId="0" fontId="10" fillId="0" borderId="76" xfId="0" applyFont="1" applyBorder="1" applyAlignment="1">
      <alignment vertical="justify"/>
    </xf>
    <xf numFmtId="0" fontId="9" fillId="0" borderId="77" xfId="0" applyFont="1" applyBorder="1" applyAlignment="1">
      <alignment vertical="justify"/>
    </xf>
    <xf numFmtId="0" fontId="9" fillId="0" borderId="25" xfId="0" applyFont="1" applyBorder="1" applyAlignment="1">
      <alignment vertical="center"/>
    </xf>
    <xf numFmtId="49" fontId="9" fillId="0" borderId="0" xfId="0" applyNumberFormat="1" applyFont="1" applyAlignment="1">
      <alignment vertical="center" wrapText="1"/>
    </xf>
    <xf numFmtId="0" fontId="9" fillId="0" borderId="25" xfId="0" applyFont="1" applyBorder="1" applyAlignment="1">
      <alignment vertical="center" wrapText="1"/>
    </xf>
    <xf numFmtId="49" fontId="10" fillId="0" borderId="0" xfId="0" applyNumberFormat="1" applyFont="1"/>
    <xf numFmtId="0" fontId="13" fillId="0" borderId="0" xfId="0" applyFont="1"/>
    <xf numFmtId="0" fontId="10" fillId="0" borderId="83" xfId="0" applyFont="1" applyBorder="1"/>
    <xf numFmtId="0" fontId="9" fillId="0" borderId="53" xfId="0" applyFont="1" applyBorder="1"/>
    <xf numFmtId="0" fontId="17" fillId="0" borderId="0" xfId="0" applyFont="1"/>
    <xf numFmtId="0" fontId="17" fillId="0" borderId="26" xfId="0" applyFont="1" applyBorder="1"/>
    <xf numFmtId="0" fontId="10" fillId="0" borderId="84" xfId="0" applyFont="1" applyBorder="1"/>
    <xf numFmtId="0" fontId="17" fillId="0" borderId="16" xfId="0" applyFont="1" applyBorder="1"/>
    <xf numFmtId="0" fontId="17" fillId="0" borderId="69" xfId="0" applyFont="1" applyBorder="1"/>
    <xf numFmtId="0" fontId="9" fillId="0" borderId="0" xfId="0" applyFont="1"/>
    <xf numFmtId="49" fontId="17" fillId="0" borderId="0" xfId="0" applyNumberFormat="1" applyFont="1"/>
    <xf numFmtId="44" fontId="9" fillId="0" borderId="0" xfId="11" applyFont="1" applyBorder="1"/>
    <xf numFmtId="44" fontId="17" fillId="0" borderId="0" xfId="11" applyFont="1" applyBorder="1"/>
    <xf numFmtId="0" fontId="2" fillId="0" borderId="15" xfId="0" applyFont="1" applyBorder="1" applyAlignment="1">
      <alignment horizontal="left" vertical="center"/>
    </xf>
    <xf numFmtId="0" fontId="2" fillId="0" borderId="41" xfId="0" applyFont="1" applyBorder="1" applyAlignment="1">
      <alignment horizontal="left" vertical="center"/>
    </xf>
    <xf numFmtId="0" fontId="20" fillId="0" borderId="0" xfId="0" applyFont="1"/>
    <xf numFmtId="0" fontId="28" fillId="0" borderId="0" xfId="2" applyFont="1"/>
    <xf numFmtId="0" fontId="20" fillId="0" borderId="11" xfId="0" applyFont="1" applyBorder="1"/>
    <xf numFmtId="0" fontId="20" fillId="0" borderId="12" xfId="0" applyFont="1" applyBorder="1"/>
    <xf numFmtId="0" fontId="20" fillId="0" borderId="0" xfId="0" applyFont="1" applyAlignment="1">
      <alignment vertical="center"/>
    </xf>
    <xf numFmtId="0" fontId="19" fillId="0" borderId="15" xfId="0" applyFont="1" applyBorder="1"/>
    <xf numFmtId="0" fontId="19" fillId="0" borderId="29" xfId="0" applyFont="1" applyBorder="1"/>
    <xf numFmtId="49" fontId="19" fillId="0" borderId="0" xfId="0" applyNumberFormat="1" applyFont="1"/>
    <xf numFmtId="0" fontId="19" fillId="0" borderId="30" xfId="0" applyFont="1" applyBorder="1"/>
    <xf numFmtId="0" fontId="19" fillId="0" borderId="15" xfId="0" applyFont="1" applyBorder="1" applyAlignment="1">
      <alignment horizontal="center"/>
    </xf>
    <xf numFmtId="0" fontId="98" fillId="2" borderId="0" xfId="0" applyFont="1" applyFill="1" applyAlignment="1">
      <alignment horizontal="left" vertical="top" wrapText="1"/>
    </xf>
    <xf numFmtId="0" fontId="98" fillId="2" borderId="0" xfId="0" applyFont="1" applyFill="1" applyAlignment="1">
      <alignment horizontal="left" vertical="top"/>
    </xf>
    <xf numFmtId="2" fontId="98" fillId="2" borderId="0" xfId="0" applyNumberFormat="1" applyFont="1" applyFill="1" applyAlignment="1">
      <alignment horizontal="left" vertical="top"/>
    </xf>
    <xf numFmtId="165" fontId="98" fillId="2" borderId="0" xfId="0" applyNumberFormat="1" applyFont="1" applyFill="1" applyAlignment="1">
      <alignment horizontal="left" vertical="top" wrapText="1"/>
    </xf>
    <xf numFmtId="49" fontId="98" fillId="2" borderId="0" xfId="0" applyNumberFormat="1" applyFont="1" applyFill="1" applyAlignment="1">
      <alignment horizontal="left" vertical="top"/>
    </xf>
    <xf numFmtId="0" fontId="114" fillId="0" borderId="0" xfId="0" applyFont="1"/>
    <xf numFmtId="0" fontId="110" fillId="0" borderId="0" xfId="0" applyFont="1"/>
    <xf numFmtId="0" fontId="111" fillId="0" borderId="0" xfId="0" applyFont="1"/>
    <xf numFmtId="0" fontId="98" fillId="2" borderId="0" xfId="0" applyFont="1" applyFill="1" applyAlignment="1">
      <alignment horizontal="center" vertical="center"/>
    </xf>
    <xf numFmtId="1" fontId="98" fillId="2" borderId="0" xfId="0" applyNumberFormat="1" applyFont="1" applyFill="1" applyAlignment="1">
      <alignment horizontal="left" vertical="top"/>
    </xf>
    <xf numFmtId="0" fontId="98" fillId="0" borderId="0" xfId="0" applyFont="1" applyAlignment="1">
      <alignment horizontal="left" vertical="top" wrapText="1"/>
    </xf>
    <xf numFmtId="164" fontId="98" fillId="0" borderId="0" xfId="0" applyNumberFormat="1" applyFont="1" applyAlignment="1">
      <alignment horizontal="left" vertical="top"/>
    </xf>
    <xf numFmtId="165" fontId="98" fillId="0" borderId="0" xfId="0" applyNumberFormat="1" applyFont="1" applyAlignment="1">
      <alignment horizontal="left" vertical="top" wrapText="1"/>
    </xf>
    <xf numFmtId="1" fontId="98" fillId="0" borderId="0" xfId="0" applyNumberFormat="1" applyFont="1" applyAlignment="1">
      <alignment horizontal="left" vertical="top"/>
    </xf>
    <xf numFmtId="164" fontId="98" fillId="0" borderId="0" xfId="0" applyNumberFormat="1" applyFont="1" applyAlignment="1">
      <alignment horizontal="left" vertical="top" wrapText="1"/>
    </xf>
    <xf numFmtId="2" fontId="98" fillId="0" borderId="0" xfId="0" applyNumberFormat="1" applyFont="1" applyAlignment="1">
      <alignment horizontal="left" vertical="top" wrapText="1"/>
    </xf>
    <xf numFmtId="164" fontId="98" fillId="0" borderId="0" xfId="0" applyNumberFormat="1" applyFont="1" applyAlignment="1">
      <alignment horizontal="center" vertical="center"/>
    </xf>
    <xf numFmtId="0" fontId="127" fillId="30" borderId="0" xfId="0" applyFont="1" applyFill="1" applyAlignment="1">
      <alignment vertical="top" wrapText="1"/>
    </xf>
    <xf numFmtId="0" fontId="126" fillId="30" borderId="0" xfId="0" applyFont="1" applyFill="1" applyAlignment="1">
      <alignment vertical="top" wrapText="1"/>
    </xf>
    <xf numFmtId="14" fontId="126" fillId="2" borderId="0" xfId="0" applyNumberFormat="1" applyFont="1" applyFill="1" applyAlignment="1">
      <alignment horizontal="left" vertical="top" wrapText="1"/>
    </xf>
    <xf numFmtId="0" fontId="127" fillId="31" borderId="133" xfId="0" applyFont="1" applyFill="1" applyBorder="1" applyAlignment="1">
      <alignment vertical="top" wrapText="1"/>
    </xf>
    <xf numFmtId="14" fontId="127" fillId="31" borderId="123" xfId="0" applyNumberFormat="1" applyFont="1" applyFill="1" applyBorder="1" applyAlignment="1">
      <alignment horizontal="left" vertical="top" wrapText="1"/>
    </xf>
    <xf numFmtId="14" fontId="0" fillId="0" borderId="0" xfId="0" applyNumberFormat="1"/>
    <xf numFmtId="0" fontId="128" fillId="0" borderId="0" xfId="0" applyFont="1" applyAlignment="1">
      <alignment horizontal="left" vertical="top" wrapText="1"/>
    </xf>
    <xf numFmtId="0" fontId="128" fillId="0" borderId="0" xfId="0" applyFont="1" applyAlignment="1">
      <alignment horizontal="left" vertical="top"/>
    </xf>
    <xf numFmtId="14" fontId="128" fillId="0" borderId="0" xfId="0" applyNumberFormat="1" applyFont="1" applyAlignment="1">
      <alignment horizontal="left" vertical="top" wrapText="1"/>
    </xf>
    <xf numFmtId="0" fontId="131" fillId="0" borderId="0" xfId="0" applyFont="1" applyAlignment="1">
      <alignment horizontal="left" vertical="top" wrapText="1"/>
    </xf>
    <xf numFmtId="164" fontId="131" fillId="0" borderId="0" xfId="0" applyNumberFormat="1" applyFont="1" applyAlignment="1">
      <alignment horizontal="left" vertical="top"/>
    </xf>
    <xf numFmtId="0" fontId="131" fillId="0" borderId="0" xfId="0" applyFont="1" applyAlignment="1">
      <alignment horizontal="left" vertical="top"/>
    </xf>
    <xf numFmtId="49" fontId="131" fillId="0" borderId="0" xfId="0" applyNumberFormat="1" applyFont="1" applyAlignment="1">
      <alignment horizontal="left" vertical="top" wrapText="1"/>
    </xf>
    <xf numFmtId="14" fontId="131" fillId="0" borderId="0" xfId="0" applyNumberFormat="1" applyFont="1" applyAlignment="1">
      <alignment horizontal="left" vertical="top"/>
    </xf>
    <xf numFmtId="2" fontId="131" fillId="0" borderId="0" xfId="0" applyNumberFormat="1" applyFont="1" applyAlignment="1">
      <alignment horizontal="left" vertical="top"/>
    </xf>
    <xf numFmtId="165" fontId="131" fillId="0" borderId="0" xfId="0" applyNumberFormat="1" applyFont="1" applyAlignment="1">
      <alignment horizontal="left" vertical="top" wrapText="1"/>
    </xf>
    <xf numFmtId="0" fontId="131" fillId="0" borderId="0" xfId="0" applyFont="1" applyAlignment="1">
      <alignment horizontal="center" vertical="center"/>
    </xf>
    <xf numFmtId="1" fontId="131" fillId="0" borderId="0" xfId="0" applyNumberFormat="1" applyFont="1" applyAlignment="1">
      <alignment horizontal="left" vertical="top"/>
    </xf>
    <xf numFmtId="164" fontId="131" fillId="0" borderId="0" xfId="0" applyNumberFormat="1" applyFont="1" applyAlignment="1">
      <alignment horizontal="left" vertical="top" wrapText="1"/>
    </xf>
    <xf numFmtId="14" fontId="131" fillId="0" borderId="0" xfId="0" applyNumberFormat="1" applyFont="1" applyAlignment="1">
      <alignment horizontal="left" vertical="top" wrapText="1"/>
    </xf>
    <xf numFmtId="2" fontId="131" fillId="0" borderId="0" xfId="0" applyNumberFormat="1" applyFont="1" applyAlignment="1">
      <alignment horizontal="left" vertical="top" wrapText="1"/>
    </xf>
    <xf numFmtId="164" fontId="131" fillId="0" borderId="0" xfId="0" applyNumberFormat="1" applyFont="1" applyAlignment="1">
      <alignment horizontal="center" vertical="center"/>
    </xf>
    <xf numFmtId="166" fontId="131" fillId="0" borderId="0" xfId="0" applyNumberFormat="1" applyFont="1" applyAlignment="1">
      <alignment horizontal="left" vertical="top"/>
    </xf>
    <xf numFmtId="0" fontId="132" fillId="0" borderId="0" xfId="0" applyFont="1" applyAlignment="1">
      <alignment horizontal="left" vertical="top" wrapText="1"/>
    </xf>
    <xf numFmtId="0" fontId="131" fillId="0" borderId="0" xfId="0" applyFont="1" applyAlignment="1">
      <alignment vertical="top" wrapText="1"/>
    </xf>
    <xf numFmtId="0" fontId="131" fillId="0" borderId="0" xfId="0" applyFont="1" applyAlignment="1">
      <alignment horizontal="left"/>
    </xf>
    <xf numFmtId="0" fontId="131" fillId="0" borderId="0" xfId="0" applyFont="1" applyAlignment="1">
      <alignment horizontal="left" wrapText="1"/>
    </xf>
    <xf numFmtId="14" fontId="130" fillId="0" borderId="0" xfId="0" applyNumberFormat="1" applyFont="1" applyAlignment="1">
      <alignment horizontal="left" vertical="top" wrapText="1"/>
    </xf>
    <xf numFmtId="164" fontId="130" fillId="0" borderId="0" xfId="0" applyNumberFormat="1" applyFont="1" applyAlignment="1">
      <alignment horizontal="left" vertical="top"/>
    </xf>
    <xf numFmtId="164" fontId="130" fillId="0" borderId="0" xfId="0" applyNumberFormat="1" applyFont="1" applyAlignment="1">
      <alignment vertical="top" wrapText="1"/>
    </xf>
    <xf numFmtId="0" fontId="130" fillId="0" borderId="0" xfId="0" applyFont="1" applyAlignment="1">
      <alignment vertical="top" wrapText="1"/>
    </xf>
    <xf numFmtId="164" fontId="130" fillId="0" borderId="0" xfId="0" applyNumberFormat="1" applyFont="1" applyAlignment="1">
      <alignment horizontal="left" vertical="top" wrapText="1"/>
    </xf>
    <xf numFmtId="0" fontId="130" fillId="0" borderId="0" xfId="0" applyFont="1"/>
    <xf numFmtId="0" fontId="130" fillId="0" borderId="0" xfId="0" applyFont="1" applyAlignment="1">
      <alignment horizontal="left" vertical="top" wrapText="1"/>
    </xf>
    <xf numFmtId="1" fontId="130" fillId="0" borderId="0" xfId="0" applyNumberFormat="1" applyFont="1" applyAlignment="1">
      <alignment horizontal="left" vertical="top" wrapText="1"/>
    </xf>
    <xf numFmtId="0" fontId="131" fillId="0" borderId="0" xfId="0" applyFont="1" applyAlignment="1">
      <alignment horizontal="center" vertical="center" wrapText="1"/>
    </xf>
    <xf numFmtId="0" fontId="131" fillId="0" borderId="3" xfId="0" applyFont="1" applyBorder="1" applyAlignment="1">
      <alignment horizontal="left"/>
    </xf>
    <xf numFmtId="164" fontId="131" fillId="0" borderId="3" xfId="0" applyNumberFormat="1" applyFont="1" applyBorder="1" applyAlignment="1">
      <alignment horizontal="left" vertical="top" wrapText="1"/>
    </xf>
    <xf numFmtId="164" fontId="99" fillId="0" borderId="4" xfId="0" applyNumberFormat="1" applyFont="1" applyBorder="1" applyAlignment="1">
      <alignment horizontal="left" vertical="top"/>
    </xf>
    <xf numFmtId="164" fontId="98" fillId="0" borderId="4" xfId="0" applyNumberFormat="1" applyFont="1" applyBorder="1" applyAlignment="1">
      <alignment horizontal="left" vertical="top" wrapText="1"/>
    </xf>
    <xf numFmtId="14" fontId="96" fillId="0" borderId="0" xfId="0" applyNumberFormat="1" applyFont="1" applyAlignment="1">
      <alignment horizontal="left" vertical="top"/>
    </xf>
    <xf numFmtId="14" fontId="96" fillId="0" borderId="0" xfId="0" applyNumberFormat="1" applyFont="1" applyAlignment="1">
      <alignment horizontal="left" vertical="top" wrapText="1"/>
    </xf>
    <xf numFmtId="164" fontId="96" fillId="0" borderId="0" xfId="0" applyNumberFormat="1" applyFont="1" applyAlignment="1">
      <alignment horizontal="left" vertical="top" wrapText="1"/>
    </xf>
    <xf numFmtId="0" fontId="96" fillId="0" borderId="0" xfId="0" applyFont="1" applyAlignment="1">
      <alignment horizontal="left" vertical="top" wrapText="1"/>
    </xf>
    <xf numFmtId="49" fontId="132" fillId="30" borderId="135" xfId="0" applyNumberFormat="1" applyFont="1" applyFill="1" applyBorder="1" applyAlignment="1">
      <alignment horizontal="left" vertical="top"/>
    </xf>
    <xf numFmtId="49" fontId="132" fillId="30" borderId="135" xfId="0" applyNumberFormat="1" applyFont="1" applyFill="1" applyBorder="1" applyAlignment="1">
      <alignment horizontal="left" vertical="top" wrapText="1"/>
    </xf>
    <xf numFmtId="0" fontId="132" fillId="30" borderId="67" xfId="0" applyFont="1" applyFill="1" applyBorder="1" applyAlignment="1">
      <alignment horizontal="left" vertical="top" wrapText="1"/>
    </xf>
    <xf numFmtId="14" fontId="131" fillId="30" borderId="136" xfId="0" applyNumberFormat="1" applyFont="1" applyFill="1" applyBorder="1" applyAlignment="1">
      <alignment horizontal="left" vertical="top" wrapText="1"/>
    </xf>
    <xf numFmtId="0" fontId="127" fillId="30" borderId="0" xfId="0" applyFont="1" applyFill="1" applyAlignment="1">
      <alignment vertical="top"/>
    </xf>
    <xf numFmtId="164" fontId="131" fillId="0" borderId="0" xfId="0" applyNumberFormat="1" applyFont="1" applyAlignment="1">
      <alignment vertical="top" wrapText="1"/>
    </xf>
    <xf numFmtId="0" fontId="127" fillId="31" borderId="0" xfId="0" applyFont="1" applyFill="1" applyAlignment="1">
      <alignment vertical="top" wrapText="1"/>
    </xf>
    <xf numFmtId="14" fontId="129" fillId="0" borderId="0" xfId="0" applyNumberFormat="1" applyFont="1" applyAlignment="1">
      <alignment horizontal="left" vertical="top" wrapText="1"/>
    </xf>
    <xf numFmtId="0" fontId="132" fillId="30" borderId="137" xfId="0" applyFont="1" applyFill="1" applyBorder="1" applyAlignment="1">
      <alignment vertical="top" wrapText="1"/>
    </xf>
    <xf numFmtId="0" fontId="132" fillId="30" borderId="138" xfId="0" applyFont="1" applyFill="1" applyBorder="1" applyAlignment="1">
      <alignment vertical="top" wrapText="1"/>
    </xf>
    <xf numFmtId="0" fontId="132" fillId="30" borderId="135" xfId="0" applyFont="1" applyFill="1" applyBorder="1" applyAlignment="1">
      <alignment vertical="top" wrapText="1"/>
    </xf>
    <xf numFmtId="1" fontId="131" fillId="0" borderId="0" xfId="0" applyNumberFormat="1" applyFont="1" applyAlignment="1">
      <alignment horizontal="left" vertical="top" wrapText="1"/>
    </xf>
    <xf numFmtId="0" fontId="132" fillId="30" borderId="135" xfId="0" applyFont="1" applyFill="1" applyBorder="1" applyAlignment="1">
      <alignment horizontal="left" vertical="top" wrapText="1"/>
    </xf>
    <xf numFmtId="0" fontId="137" fillId="54" borderId="143" xfId="0" applyFont="1" applyFill="1" applyBorder="1" applyAlignment="1">
      <alignment horizontal="center" vertical="top" wrapText="1"/>
    </xf>
    <xf numFmtId="0" fontId="137" fillId="32" borderId="143" xfId="0" applyFont="1" applyFill="1" applyBorder="1" applyAlignment="1">
      <alignment horizontal="center" vertical="top" wrapText="1"/>
    </xf>
    <xf numFmtId="2" fontId="138" fillId="55" borderId="143" xfId="0" applyNumberFormat="1" applyFont="1" applyFill="1" applyBorder="1" applyAlignment="1">
      <alignment horizontal="center" wrapText="1"/>
    </xf>
    <xf numFmtId="0" fontId="138" fillId="32" borderId="143" xfId="0" applyFont="1" applyFill="1" applyBorder="1" applyAlignment="1">
      <alignment horizontal="center" vertical="top" wrapText="1"/>
    </xf>
    <xf numFmtId="2" fontId="137" fillId="32" borderId="143" xfId="0" applyNumberFormat="1" applyFont="1" applyFill="1" applyBorder="1" applyAlignment="1">
      <alignment horizontal="center" vertical="top" wrapText="1"/>
    </xf>
    <xf numFmtId="2" fontId="139" fillId="32" borderId="143" xfId="0" applyNumberFormat="1" applyFont="1" applyFill="1" applyBorder="1" applyAlignment="1">
      <alignment horizontal="center" vertical="top" wrapText="1"/>
    </xf>
    <xf numFmtId="49" fontId="138" fillId="32" borderId="143" xfId="0" applyNumberFormat="1" applyFont="1" applyFill="1" applyBorder="1" applyAlignment="1">
      <alignment horizontal="center" vertical="top" wrapText="1"/>
    </xf>
    <xf numFmtId="2" fontId="138" fillId="32" borderId="143" xfId="0" applyNumberFormat="1" applyFont="1" applyFill="1" applyBorder="1" applyAlignment="1">
      <alignment horizontal="center" vertical="top" wrapText="1"/>
    </xf>
    <xf numFmtId="164" fontId="141" fillId="2" borderId="1" xfId="0" applyNumberFormat="1" applyFont="1" applyFill="1" applyBorder="1" applyAlignment="1">
      <alignment horizontal="left" vertical="top" wrapText="1"/>
    </xf>
    <xf numFmtId="164" fontId="141" fillId="2" borderId="6" xfId="0" applyNumberFormat="1" applyFont="1" applyFill="1" applyBorder="1" applyAlignment="1">
      <alignment horizontal="left" vertical="top" wrapText="1"/>
    </xf>
    <xf numFmtId="164" fontId="141" fillId="2" borderId="129" xfId="0" applyNumberFormat="1" applyFont="1" applyFill="1" applyBorder="1" applyAlignment="1">
      <alignment horizontal="center" vertical="center" wrapText="1"/>
    </xf>
    <xf numFmtId="1" fontId="141" fillId="2" borderId="5" xfId="0" applyNumberFormat="1" applyFont="1" applyFill="1" applyBorder="1" applyAlignment="1">
      <alignment horizontal="left" vertical="top" wrapText="1"/>
    </xf>
    <xf numFmtId="164" fontId="141" fillId="2" borderId="0" xfId="0" applyNumberFormat="1" applyFont="1" applyFill="1" applyAlignment="1">
      <alignment horizontal="left" vertical="top" wrapText="1"/>
    </xf>
    <xf numFmtId="164" fontId="142" fillId="2" borderId="144" xfId="1" applyNumberFormat="1" applyFont="1" applyFill="1" applyBorder="1" applyAlignment="1">
      <alignment horizontal="left" vertical="top" wrapText="1"/>
    </xf>
    <xf numFmtId="0" fontId="125" fillId="0" borderId="150" xfId="0" applyFont="1" applyBorder="1" applyAlignment="1">
      <alignment horizontal="center" vertical="center"/>
    </xf>
    <xf numFmtId="14" fontId="125" fillId="0" borderId="150" xfId="0" applyNumberFormat="1" applyFont="1" applyBorder="1" applyAlignment="1">
      <alignment horizontal="center" vertical="center"/>
    </xf>
    <xf numFmtId="49" fontId="125" fillId="0" borderId="150" xfId="0" applyNumberFormat="1" applyFont="1" applyBorder="1" applyAlignment="1">
      <alignment horizontal="center" vertical="center"/>
    </xf>
    <xf numFmtId="0" fontId="145" fillId="0" borderId="15" xfId="0" applyFont="1" applyBorder="1" applyAlignment="1">
      <alignment horizontal="left" vertical="center"/>
    </xf>
    <xf numFmtId="0" fontId="145" fillId="0" borderId="15" xfId="0" applyFont="1" applyBorder="1" applyAlignment="1">
      <alignment horizontal="left"/>
    </xf>
    <xf numFmtId="164" fontId="147" fillId="0" borderId="0" xfId="0" applyNumberFormat="1" applyFont="1" applyAlignment="1">
      <alignment horizontal="left" vertical="top" wrapText="1"/>
    </xf>
    <xf numFmtId="0" fontId="148" fillId="2" borderId="157" xfId="0" applyFont="1" applyFill="1" applyBorder="1" applyAlignment="1">
      <alignment horizontal="left" vertical="center"/>
    </xf>
    <xf numFmtId="0" fontId="116" fillId="0" borderId="7" xfId="0" applyFont="1" applyBorder="1" applyAlignment="1">
      <alignment horizontal="center"/>
    </xf>
    <xf numFmtId="0" fontId="145" fillId="0" borderId="0" xfId="8017" applyFont="1" applyAlignment="1">
      <alignment horizontal="left" vertical="center" wrapText="1"/>
    </xf>
    <xf numFmtId="0" fontId="145" fillId="0" borderId="0" xfId="8017" applyFont="1" applyAlignment="1">
      <alignment vertical="center" wrapText="1"/>
    </xf>
    <xf numFmtId="0" fontId="145" fillId="0" borderId="0" xfId="8017" applyFont="1">
      <alignment vertical="center"/>
    </xf>
    <xf numFmtId="49" fontId="145" fillId="0" borderId="0" xfId="0" applyNumberFormat="1" applyFont="1" applyAlignment="1">
      <alignment horizontal="left" vertical="top" wrapText="1"/>
    </xf>
    <xf numFmtId="0" fontId="145" fillId="0" borderId="0" xfId="0" applyFont="1" applyAlignment="1">
      <alignment horizontal="left" vertical="top" wrapText="1"/>
    </xf>
    <xf numFmtId="1" fontId="145" fillId="0" borderId="0" xfId="0" applyNumberFormat="1" applyFont="1" applyAlignment="1">
      <alignment horizontal="left" vertical="top" wrapText="1"/>
    </xf>
    <xf numFmtId="164" fontId="145" fillId="0" borderId="0" xfId="0" applyNumberFormat="1" applyFont="1" applyAlignment="1">
      <alignment horizontal="left" vertical="top" wrapText="1"/>
    </xf>
    <xf numFmtId="14" fontId="145" fillId="0" borderId="0" xfId="0" applyNumberFormat="1" applyFont="1" applyAlignment="1">
      <alignment horizontal="left" vertical="top" wrapText="1"/>
    </xf>
    <xf numFmtId="0" fontId="145" fillId="0" borderId="0" xfId="0" applyFont="1" applyAlignment="1">
      <alignment horizontal="left" vertical="top"/>
    </xf>
    <xf numFmtId="164" fontId="145" fillId="0" borderId="0" xfId="0" applyNumberFormat="1" applyFont="1" applyAlignment="1">
      <alignment horizontal="left" vertical="top"/>
    </xf>
    <xf numFmtId="169" fontId="145" fillId="0" borderId="0" xfId="0" applyNumberFormat="1" applyFont="1" applyAlignment="1">
      <alignment horizontal="left" vertical="top" wrapText="1"/>
    </xf>
    <xf numFmtId="0" fontId="145" fillId="0" borderId="151" xfId="0" applyFont="1" applyBorder="1" applyAlignment="1">
      <alignment horizontal="left" vertical="top" wrapText="1"/>
    </xf>
    <xf numFmtId="0" fontId="145" fillId="0" borderId="151" xfId="0" applyFont="1" applyBorder="1" applyAlignment="1">
      <alignment horizontal="left" vertical="top"/>
    </xf>
    <xf numFmtId="0" fontId="145" fillId="0" borderId="0" xfId="0" applyFont="1" applyAlignment="1">
      <alignment horizontal="left"/>
    </xf>
    <xf numFmtId="0" fontId="145" fillId="0" borderId="0" xfId="0" applyFont="1"/>
    <xf numFmtId="49" fontId="145" fillId="0" borderId="0" xfId="0" applyNumberFormat="1" applyFont="1"/>
    <xf numFmtId="14" fontId="145" fillId="0" borderId="0" xfId="0" applyNumberFormat="1" applyFont="1"/>
    <xf numFmtId="49" fontId="153" fillId="0" borderId="0" xfId="0" applyNumberFormat="1" applyFont="1" applyAlignment="1">
      <alignment horizontal="center" vertical="center" wrapText="1"/>
    </xf>
    <xf numFmtId="49" fontId="153" fillId="0" borderId="151" xfId="14" applyNumberFormat="1" applyFont="1" applyBorder="1" applyAlignment="1">
      <alignment horizontal="left" vertical="top"/>
    </xf>
    <xf numFmtId="0" fontId="122" fillId="0" borderId="7" xfId="0" applyFont="1" applyBorder="1" applyProtection="1">
      <protection locked="0"/>
    </xf>
    <xf numFmtId="0" fontId="107" fillId="0" borderId="7" xfId="0" applyFont="1" applyBorder="1" applyProtection="1">
      <protection locked="0"/>
    </xf>
    <xf numFmtId="0" fontId="20" fillId="0" borderId="7" xfId="0" applyFont="1" applyBorder="1" applyProtection="1">
      <protection locked="0"/>
    </xf>
    <xf numFmtId="0" fontId="106" fillId="0" borderId="7" xfId="0" applyFont="1" applyBorder="1" applyProtection="1">
      <protection locked="0"/>
    </xf>
    <xf numFmtId="49" fontId="22" fillId="0" borderId="7" xfId="0" applyNumberFormat="1" applyFont="1" applyBorder="1" applyAlignment="1" applyProtection="1">
      <alignment horizontal="center"/>
      <protection locked="0"/>
    </xf>
    <xf numFmtId="0" fontId="20" fillId="0" borderId="7" xfId="0" applyFont="1" applyBorder="1" applyAlignment="1" applyProtection="1">
      <alignment horizontal="center"/>
      <protection locked="0"/>
    </xf>
    <xf numFmtId="0" fontId="21" fillId="0" borderId="7" xfId="0" applyFont="1" applyBorder="1" applyAlignment="1" applyProtection="1">
      <alignment horizontal="center"/>
      <protection locked="0"/>
    </xf>
    <xf numFmtId="0" fontId="20" fillId="0" borderId="0" xfId="0" applyFont="1" applyProtection="1">
      <protection locked="0"/>
    </xf>
    <xf numFmtId="0" fontId="0" fillId="0" borderId="0" xfId="0" applyProtection="1">
      <protection locked="0"/>
    </xf>
    <xf numFmtId="0" fontId="103" fillId="0" borderId="13" xfId="0" applyFont="1" applyBorder="1" applyAlignment="1" applyProtection="1">
      <alignment horizontal="left" vertical="center"/>
      <protection locked="0"/>
    </xf>
    <xf numFmtId="0" fontId="104" fillId="0" borderId="7" xfId="0" applyFont="1" applyBorder="1" applyAlignment="1" applyProtection="1">
      <alignment vertical="center"/>
      <protection locked="0"/>
    </xf>
    <xf numFmtId="0" fontId="117" fillId="0" borderId="7" xfId="0" applyFont="1" applyBorder="1" applyProtection="1">
      <protection locked="0"/>
    </xf>
    <xf numFmtId="0" fontId="117" fillId="0" borderId="7" xfId="0" applyFont="1" applyBorder="1" applyAlignment="1" applyProtection="1">
      <alignment horizontal="center"/>
      <protection locked="0"/>
    </xf>
    <xf numFmtId="0" fontId="117" fillId="0" borderId="104" xfId="0" applyFont="1" applyBorder="1" applyProtection="1">
      <protection locked="0"/>
    </xf>
    <xf numFmtId="0" fontId="117" fillId="0" borderId="103" xfId="0" applyFont="1" applyBorder="1" applyProtection="1">
      <protection locked="0"/>
    </xf>
    <xf numFmtId="0" fontId="23" fillId="0" borderId="0" xfId="0" applyFont="1" applyProtection="1">
      <protection locked="0"/>
    </xf>
    <xf numFmtId="0" fontId="23" fillId="0" borderId="130" xfId="0" applyFont="1" applyBorder="1" applyProtection="1">
      <protection locked="0"/>
    </xf>
    <xf numFmtId="0" fontId="24" fillId="0" borderId="131" xfId="0" applyFont="1" applyBorder="1" applyProtection="1">
      <protection locked="0"/>
    </xf>
    <xf numFmtId="0" fontId="23" fillId="0" borderId="132" xfId="0" applyFont="1" applyBorder="1" applyProtection="1">
      <protection locked="0"/>
    </xf>
    <xf numFmtId="0" fontId="6" fillId="0" borderId="0" xfId="0" applyFont="1" applyProtection="1">
      <protection locked="0"/>
    </xf>
    <xf numFmtId="0" fontId="102" fillId="0" borderId="7" xfId="0" applyFont="1" applyBorder="1" applyAlignment="1" applyProtection="1">
      <alignment vertical="center"/>
      <protection locked="0"/>
    </xf>
    <xf numFmtId="0" fontId="116" fillId="0" borderId="7" xfId="0" applyFont="1" applyBorder="1" applyAlignment="1">
      <alignment vertical="center" wrapText="1"/>
    </xf>
    <xf numFmtId="164" fontId="116" fillId="0" borderId="7" xfId="0" applyNumberFormat="1" applyFont="1" applyBorder="1"/>
    <xf numFmtId="0" fontId="116" fillId="0" borderId="7" xfId="0" applyFont="1" applyBorder="1"/>
    <xf numFmtId="0" fontId="116" fillId="0" borderId="14" xfId="0" applyFont="1" applyBorder="1" applyAlignment="1" applyProtection="1">
      <alignment wrapText="1"/>
      <protection locked="0"/>
    </xf>
    <xf numFmtId="0" fontId="21" fillId="0" borderId="0" xfId="0" applyFont="1" applyAlignment="1" applyProtection="1">
      <alignment wrapText="1"/>
      <protection locked="0"/>
    </xf>
    <xf numFmtId="0" fontId="103" fillId="0" borderId="13" xfId="0" applyFont="1" applyBorder="1" applyAlignment="1" applyProtection="1">
      <alignment horizontal="left"/>
      <protection locked="0"/>
    </xf>
    <xf numFmtId="0" fontId="102" fillId="0" borderId="7" xfId="0" applyFont="1" applyBorder="1" applyProtection="1">
      <protection locked="0"/>
    </xf>
    <xf numFmtId="14" fontId="116" fillId="0" borderId="7" xfId="0" applyNumberFormat="1" applyFont="1" applyBorder="1"/>
    <xf numFmtId="14" fontId="118" fillId="0" borderId="7" xfId="0" applyNumberFormat="1" applyFont="1" applyBorder="1" applyAlignment="1">
      <alignment horizontal="left"/>
    </xf>
    <xf numFmtId="49" fontId="116" fillId="0" borderId="7" xfId="0" applyNumberFormat="1" applyFont="1" applyBorder="1" applyAlignment="1">
      <alignment horizontal="left"/>
    </xf>
    <xf numFmtId="0" fontId="110" fillId="0" borderId="14" xfId="0" applyFont="1" applyBorder="1" applyAlignment="1" applyProtection="1">
      <alignment wrapText="1"/>
      <protection locked="0"/>
    </xf>
    <xf numFmtId="0" fontId="20" fillId="0" borderId="0" xfId="0" applyFont="1" applyAlignment="1" applyProtection="1">
      <alignment wrapText="1"/>
      <protection locked="0"/>
    </xf>
    <xf numFmtId="0" fontId="101" fillId="0" borderId="0" xfId="0" applyFont="1" applyAlignment="1" applyProtection="1">
      <alignment horizontal="center"/>
      <protection locked="0"/>
    </xf>
    <xf numFmtId="0" fontId="96" fillId="0" borderId="0" xfId="0" applyFont="1" applyProtection="1">
      <protection locked="0"/>
    </xf>
    <xf numFmtId="0" fontId="109" fillId="0" borderId="0" xfId="0" applyFont="1" applyProtection="1">
      <protection locked="0"/>
    </xf>
    <xf numFmtId="0" fontId="116" fillId="0" borderId="0" xfId="0" applyFont="1" applyProtection="1">
      <protection locked="0"/>
    </xf>
    <xf numFmtId="0" fontId="110" fillId="0" borderId="0" xfId="0" applyFont="1" applyAlignment="1" applyProtection="1">
      <alignment horizontal="center"/>
      <protection locked="0"/>
    </xf>
    <xf numFmtId="0" fontId="119" fillId="0" borderId="0" xfId="0" applyFont="1" applyAlignment="1" applyProtection="1">
      <alignment horizontal="center"/>
      <protection locked="0"/>
    </xf>
    <xf numFmtId="0" fontId="110" fillId="0" borderId="0" xfId="0" applyFont="1" applyProtection="1">
      <protection locked="0"/>
    </xf>
    <xf numFmtId="0" fontId="110" fillId="0" borderId="0" xfId="0" applyFont="1" applyAlignment="1" applyProtection="1">
      <alignment horizontal="left" wrapText="1"/>
      <protection locked="0"/>
    </xf>
    <xf numFmtId="0" fontId="20" fillId="0" borderId="0" xfId="0" applyFont="1" applyAlignment="1" applyProtection="1">
      <alignment horizontal="left" wrapText="1"/>
      <protection locked="0"/>
    </xf>
    <xf numFmtId="0" fontId="23" fillId="0" borderId="11" xfId="0" applyFont="1" applyBorder="1" applyAlignment="1">
      <alignment horizontal="left" wrapText="1"/>
    </xf>
    <xf numFmtId="0" fontId="22" fillId="0" borderId="0" xfId="0" applyFont="1" applyAlignment="1">
      <alignment horizontal="left" wrapText="1"/>
    </xf>
    <xf numFmtId="0" fontId="22" fillId="0" borderId="12" xfId="0" applyFont="1" applyBorder="1" applyAlignment="1">
      <alignment horizontal="left" wrapText="1"/>
    </xf>
    <xf numFmtId="0" fontId="103" fillId="0" borderId="6" xfId="0" applyFont="1" applyBorder="1" applyAlignment="1">
      <alignment vertical="top"/>
    </xf>
    <xf numFmtId="0" fontId="102" fillId="0" borderId="104" xfId="0" applyFont="1" applyBorder="1" applyProtection="1">
      <protection locked="0"/>
    </xf>
    <xf numFmtId="0" fontId="103" fillId="0" borderId="13" xfId="0" applyFont="1" applyBorder="1"/>
    <xf numFmtId="0" fontId="120" fillId="0" borderId="7" xfId="0" applyFont="1" applyBorder="1"/>
    <xf numFmtId="0" fontId="120" fillId="0" borderId="7" xfId="0" applyFont="1" applyBorder="1" applyAlignment="1" applyProtection="1">
      <alignment vertical="justify"/>
      <protection locked="0"/>
    </xf>
    <xf numFmtId="0" fontId="120" fillId="0" borderId="7" xfId="0" applyFont="1" applyBorder="1" applyAlignment="1" applyProtection="1">
      <alignment horizontal="center" vertical="justify"/>
      <protection locked="0"/>
    </xf>
    <xf numFmtId="0" fontId="121" fillId="0" borderId="7" xfId="0" applyFont="1" applyBorder="1" applyProtection="1">
      <protection locked="0"/>
    </xf>
    <xf numFmtId="0" fontId="120" fillId="0" borderId="14" xfId="0" applyFont="1" applyBorder="1" applyAlignment="1" applyProtection="1">
      <alignment horizontal="right"/>
      <protection locked="0"/>
    </xf>
    <xf numFmtId="0" fontId="21" fillId="0" borderId="0" xfId="0" applyFont="1" applyAlignment="1" applyProtection="1">
      <alignment horizontal="right"/>
      <protection locked="0"/>
    </xf>
    <xf numFmtId="0" fontId="94" fillId="0" borderId="0" xfId="0" applyFont="1" applyAlignment="1" applyProtection="1">
      <alignment horizontal="center"/>
      <protection locked="0"/>
    </xf>
    <xf numFmtId="0" fontId="93" fillId="0" borderId="0" xfId="0" applyFont="1" applyProtection="1">
      <protection locked="0"/>
    </xf>
    <xf numFmtId="0" fontId="109" fillId="0" borderId="15" xfId="0" applyFont="1" applyBorder="1" applyProtection="1">
      <protection locked="0"/>
    </xf>
    <xf numFmtId="0" fontId="116" fillId="0" borderId="0" xfId="0" applyFont="1" applyAlignment="1" applyProtection="1">
      <alignment horizontal="right"/>
      <protection locked="0"/>
    </xf>
    <xf numFmtId="0" fontId="21" fillId="0" borderId="11" xfId="0" applyFont="1" applyBorder="1" applyAlignment="1">
      <alignment horizontal="right"/>
    </xf>
    <xf numFmtId="49" fontId="22" fillId="0" borderId="0" xfId="0" applyNumberFormat="1" applyFont="1"/>
    <xf numFmtId="0" fontId="22" fillId="0" borderId="12" xfId="0" applyFont="1" applyBorder="1"/>
    <xf numFmtId="0" fontId="105" fillId="0" borderId="8" xfId="0" applyFont="1" applyBorder="1" applyProtection="1">
      <protection locked="0"/>
    </xf>
    <xf numFmtId="0" fontId="95" fillId="0" borderId="9" xfId="0" applyFont="1" applyBorder="1" applyProtection="1">
      <protection locked="0"/>
    </xf>
    <xf numFmtId="0" fontId="116" fillId="0" borderId="0" xfId="2" applyFont="1"/>
    <xf numFmtId="0" fontId="116" fillId="0" borderId="9" xfId="0" applyFont="1" applyBorder="1" applyProtection="1">
      <protection locked="0"/>
    </xf>
    <xf numFmtId="0" fontId="110" fillId="0" borderId="9" xfId="0" applyFont="1" applyBorder="1" applyAlignment="1" applyProtection="1">
      <alignment horizontal="center"/>
      <protection locked="0"/>
    </xf>
    <xf numFmtId="0" fontId="110" fillId="0" borderId="9" xfId="0" applyFont="1" applyBorder="1" applyProtection="1">
      <protection locked="0"/>
    </xf>
    <xf numFmtId="0" fontId="110" fillId="0" borderId="10" xfId="0" applyFont="1" applyBorder="1" applyProtection="1">
      <protection locked="0"/>
    </xf>
    <xf numFmtId="0" fontId="93" fillId="0" borderId="11" xfId="0" applyFont="1" applyBorder="1"/>
    <xf numFmtId="0" fontId="94" fillId="0" borderId="13" xfId="0" applyFont="1" applyBorder="1" applyAlignment="1" applyProtection="1">
      <alignment horizontal="center"/>
      <protection locked="0"/>
    </xf>
    <xf numFmtId="0" fontId="93" fillId="0" borderId="7" xfId="0" applyFont="1" applyBorder="1" applyProtection="1">
      <protection locked="0"/>
    </xf>
    <xf numFmtId="166" fontId="116" fillId="0" borderId="7" xfId="2" applyNumberFormat="1" applyFont="1" applyBorder="1" applyAlignment="1">
      <alignment horizontal="left"/>
    </xf>
    <xf numFmtId="166" fontId="116" fillId="0" borderId="7" xfId="0" applyNumberFormat="1" applyFont="1" applyBorder="1" applyProtection="1">
      <protection locked="0"/>
    </xf>
    <xf numFmtId="0" fontId="110" fillId="0" borderId="7" xfId="0" applyFont="1" applyBorder="1" applyAlignment="1" applyProtection="1">
      <alignment horizontal="center"/>
      <protection locked="0"/>
    </xf>
    <xf numFmtId="0" fontId="110" fillId="0" borderId="7" xfId="0" applyFont="1" applyBorder="1" applyProtection="1">
      <protection locked="0"/>
    </xf>
    <xf numFmtId="0" fontId="110" fillId="0" borderId="14" xfId="0" applyFont="1" applyBorder="1" applyProtection="1">
      <protection locked="0"/>
    </xf>
    <xf numFmtId="0" fontId="93" fillId="0" borderId="13" xfId="0" applyFont="1" applyBorder="1"/>
    <xf numFmtId="0" fontId="8" fillId="0" borderId="0" xfId="0" applyFont="1" applyAlignment="1">
      <alignment horizontal="center"/>
    </xf>
    <xf numFmtId="0" fontId="26" fillId="0" borderId="0" xfId="0" applyFont="1"/>
    <xf numFmtId="0" fontId="20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10" xfId="0" applyFont="1" applyBorder="1"/>
    <xf numFmtId="0" fontId="20" fillId="0" borderId="9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113" fillId="0" borderId="1" xfId="0" applyFont="1" applyBorder="1" applyAlignment="1">
      <alignment horizontal="left" vertical="center"/>
    </xf>
    <xf numFmtId="1" fontId="115" fillId="0" borderId="1" xfId="0" applyNumberFormat="1" applyFont="1" applyBorder="1" applyAlignment="1">
      <alignment horizontal="left" vertical="center"/>
    </xf>
    <xf numFmtId="0" fontId="115" fillId="0" borderId="1" xfId="0" applyFont="1" applyBorder="1" applyAlignment="1">
      <alignment horizontal="left" vertical="center" wrapText="1"/>
    </xf>
    <xf numFmtId="49" fontId="115" fillId="0" borderId="1" xfId="0" applyNumberFormat="1" applyFont="1" applyBorder="1" applyAlignment="1">
      <alignment horizontal="left" vertical="center" wrapText="1"/>
    </xf>
    <xf numFmtId="0" fontId="93" fillId="0" borderId="1" xfId="0" applyFont="1" applyBorder="1" applyAlignment="1">
      <alignment horizontal="center" vertical="center" wrapText="1"/>
    </xf>
    <xf numFmtId="0" fontId="115" fillId="0" borderId="1" xfId="0" applyFont="1" applyBorder="1" applyAlignment="1">
      <alignment horizontal="center" vertical="center" wrapText="1"/>
    </xf>
    <xf numFmtId="2" fontId="11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7" fillId="0" borderId="6" xfId="0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25" fillId="0" borderId="5" xfId="0" applyFont="1" applyBorder="1"/>
    <xf numFmtId="0" fontId="97" fillId="0" borderId="1" xfId="0" applyFont="1" applyBorder="1" applyAlignment="1">
      <alignment horizontal="center"/>
    </xf>
    <xf numFmtId="4" fontId="118" fillId="0" borderId="1" xfId="0" applyNumberFormat="1" applyFont="1" applyBorder="1" applyAlignment="1">
      <alignment horizontal="center"/>
    </xf>
    <xf numFmtId="0" fontId="18" fillId="0" borderId="0" xfId="0" applyFont="1"/>
    <xf numFmtId="1" fontId="20" fillId="0" borderId="0" xfId="0" applyNumberFormat="1" applyFont="1"/>
    <xf numFmtId="0" fontId="124" fillId="0" borderId="0" xfId="0" applyFont="1"/>
    <xf numFmtId="0" fontId="114" fillId="0" borderId="0" xfId="0" applyFont="1" applyAlignment="1">
      <alignment horizontal="center"/>
    </xf>
    <xf numFmtId="14" fontId="114" fillId="0" borderId="0" xfId="0" applyNumberFormat="1" applyFont="1" applyAlignment="1">
      <alignment horizontal="left"/>
    </xf>
    <xf numFmtId="0" fontId="23" fillId="0" borderId="0" xfId="0" applyFont="1"/>
    <xf numFmtId="0" fontId="20" fillId="0" borderId="0" xfId="0" applyFont="1" applyAlignment="1">
      <alignment horizontal="right"/>
    </xf>
    <xf numFmtId="0" fontId="22" fillId="0" borderId="0" xfId="0" applyFont="1"/>
    <xf numFmtId="0" fontId="0" fillId="0" borderId="0" xfId="0" applyAlignment="1">
      <alignment horizontal="center"/>
    </xf>
    <xf numFmtId="170" fontId="0" fillId="0" borderId="0" xfId="0" applyNumberFormat="1"/>
    <xf numFmtId="49" fontId="127" fillId="0" borderId="158" xfId="0" applyNumberFormat="1" applyFont="1" applyBorder="1" applyAlignment="1">
      <alignment horizontal="left" vertical="top" wrapText="1"/>
    </xf>
    <xf numFmtId="164" fontId="127" fillId="0" borderId="0" xfId="0" applyNumberFormat="1" applyFont="1" applyAlignment="1">
      <alignment horizontal="left" vertical="top" wrapText="1"/>
    </xf>
    <xf numFmtId="0" fontId="127" fillId="0" borderId="0" xfId="0" applyFont="1" applyAlignment="1">
      <alignment horizontal="left" vertical="top" wrapText="1"/>
    </xf>
    <xf numFmtId="0" fontId="127" fillId="0" borderId="158" xfId="0" applyFont="1" applyBorder="1" applyAlignment="1">
      <alignment horizontal="left" vertical="top" wrapText="1"/>
    </xf>
    <xf numFmtId="49" fontId="127" fillId="0" borderId="0" xfId="0" applyNumberFormat="1" applyFont="1" applyAlignment="1">
      <alignment horizontal="left" vertical="top" wrapText="1"/>
    </xf>
    <xf numFmtId="0" fontId="127" fillId="0" borderId="0" xfId="0" applyFont="1" applyAlignment="1">
      <alignment vertical="center"/>
    </xf>
    <xf numFmtId="0" fontId="127" fillId="0" borderId="0" xfId="0" applyFont="1"/>
    <xf numFmtId="0" fontId="127" fillId="0" borderId="0" xfId="0" applyFont="1" applyAlignment="1">
      <alignment wrapText="1"/>
    </xf>
    <xf numFmtId="0" fontId="127" fillId="0" borderId="133" xfId="0" applyFont="1" applyBorder="1" applyAlignment="1">
      <alignment horizontal="left" vertical="center" wrapText="1"/>
    </xf>
    <xf numFmtId="0" fontId="20" fillId="0" borderId="162" xfId="2" applyFont="1" applyBorder="1" applyAlignment="1">
      <alignment horizontal="center"/>
    </xf>
    <xf numFmtId="0" fontId="20" fillId="0" borderId="151" xfId="0" applyFont="1" applyBorder="1" applyAlignment="1">
      <alignment horizontal="center"/>
    </xf>
    <xf numFmtId="166" fontId="132" fillId="30" borderId="135" xfId="0" applyNumberFormat="1" applyFont="1" applyFill="1" applyBorder="1" applyAlignment="1">
      <alignment horizontal="left" vertical="top"/>
    </xf>
    <xf numFmtId="0" fontId="148" fillId="0" borderId="158" xfId="0" applyFont="1" applyBorder="1" applyAlignment="1">
      <alignment horizontal="center" vertical="center" wrapText="1"/>
    </xf>
    <xf numFmtId="0" fontId="155" fillId="0" borderId="160" xfId="0" applyFont="1" applyBorder="1" applyAlignment="1">
      <alignment horizontal="center" vertical="center"/>
    </xf>
    <xf numFmtId="2" fontId="152" fillId="0" borderId="158" xfId="0" applyNumberFormat="1" applyFont="1" applyBorder="1" applyAlignment="1">
      <alignment horizontal="center" vertical="center" wrapText="1"/>
    </xf>
    <xf numFmtId="0" fontId="152" fillId="0" borderId="158" xfId="0" applyFont="1" applyBorder="1" applyAlignment="1">
      <alignment horizontal="center" vertical="center" wrapText="1"/>
    </xf>
    <xf numFmtId="0" fontId="98" fillId="0" borderId="0" xfId="0" applyFont="1" applyAlignment="1">
      <alignment horizontal="left" vertical="top"/>
    </xf>
    <xf numFmtId="0" fontId="127" fillId="0" borderId="158" xfId="0" applyFont="1" applyBorder="1" applyAlignment="1">
      <alignment horizontal="center" vertical="center"/>
    </xf>
    <xf numFmtId="0" fontId="127" fillId="0" borderId="151" xfId="1" applyFont="1" applyBorder="1" applyAlignment="1">
      <alignment horizontal="center" vertical="center" wrapText="1"/>
    </xf>
    <xf numFmtId="0" fontId="156" fillId="0" borderId="151" xfId="56" applyFont="1" applyBorder="1" applyAlignment="1">
      <alignment horizontal="center" vertical="center"/>
    </xf>
    <xf numFmtId="0" fontId="127" fillId="0" borderId="151" xfId="0" applyFont="1" applyBorder="1" applyAlignment="1">
      <alignment horizontal="center" vertical="center"/>
    </xf>
    <xf numFmtId="2" fontId="98" fillId="0" borderId="0" xfId="0" applyNumberFormat="1" applyFont="1" applyAlignment="1">
      <alignment horizontal="left" vertical="top"/>
    </xf>
    <xf numFmtId="0" fontId="98" fillId="0" borderId="151" xfId="0" applyFont="1" applyBorder="1" applyAlignment="1">
      <alignment vertical="top"/>
    </xf>
    <xf numFmtId="0" fontId="98" fillId="0" borderId="151" xfId="0" applyFont="1" applyBorder="1" applyAlignment="1">
      <alignment vertical="top" wrapText="1"/>
    </xf>
    <xf numFmtId="164" fontId="98" fillId="0" borderId="151" xfId="0" applyNumberFormat="1" applyFont="1" applyBorder="1" applyAlignment="1">
      <alignment vertical="top" wrapText="1"/>
    </xf>
    <xf numFmtId="0" fontId="98" fillId="0" borderId="0" xfId="0" applyFont="1" applyAlignment="1">
      <alignment horizontal="center" vertical="center"/>
    </xf>
    <xf numFmtId="0" fontId="32" fillId="0" borderId="161" xfId="0" applyFont="1" applyBorder="1" applyAlignment="1">
      <alignment horizontal="center" vertical="center" wrapText="1"/>
    </xf>
    <xf numFmtId="0" fontId="98" fillId="0" borderId="0" xfId="0" applyFont="1" applyAlignment="1">
      <alignment vertical="top" wrapText="1"/>
    </xf>
    <xf numFmtId="168" fontId="98" fillId="0" borderId="0" xfId="0" applyNumberFormat="1" applyFont="1" applyAlignment="1">
      <alignment vertical="top"/>
    </xf>
    <xf numFmtId="0" fontId="98" fillId="0" borderId="0" xfId="0" applyFont="1" applyAlignment="1">
      <alignment vertical="top"/>
    </xf>
    <xf numFmtId="0" fontId="152" fillId="0" borderId="0" xfId="0" applyFont="1" applyAlignment="1">
      <alignment horizontal="center" vertical="center" wrapText="1"/>
    </xf>
    <xf numFmtId="49" fontId="98" fillId="0" borderId="0" xfId="0" applyNumberFormat="1" applyFont="1" applyAlignment="1">
      <alignment horizontal="left" vertical="top"/>
    </xf>
    <xf numFmtId="0" fontId="127" fillId="57" borderId="167" xfId="1" applyFont="1" applyFill="1" applyBorder="1" applyAlignment="1">
      <alignment horizontal="left" vertical="top"/>
    </xf>
    <xf numFmtId="49" fontId="0" fillId="57" borderId="0" xfId="0" applyNumberFormat="1" applyFill="1" applyAlignment="1">
      <alignment horizontal="left" vertical="top"/>
    </xf>
    <xf numFmtId="0" fontId="152" fillId="57" borderId="167" xfId="0" applyFont="1" applyFill="1" applyBorder="1" applyAlignment="1">
      <alignment horizontal="left" vertical="top"/>
    </xf>
    <xf numFmtId="0" fontId="148" fillId="57" borderId="167" xfId="0" applyFont="1" applyFill="1" applyBorder="1" applyAlignment="1">
      <alignment horizontal="left" vertical="top"/>
    </xf>
    <xf numFmtId="164" fontId="98" fillId="0" borderId="151" xfId="0" applyNumberFormat="1" applyFont="1" applyBorder="1" applyAlignment="1">
      <alignment vertical="top"/>
    </xf>
    <xf numFmtId="0" fontId="127" fillId="57" borderId="151" xfId="1" applyFont="1" applyFill="1" applyBorder="1" applyAlignment="1">
      <alignment horizontal="left" vertical="top"/>
    </xf>
    <xf numFmtId="0" fontId="127" fillId="57" borderId="167" xfId="0" applyFont="1" applyFill="1" applyBorder="1" applyAlignment="1">
      <alignment horizontal="left" vertical="top"/>
    </xf>
    <xf numFmtId="0" fontId="156" fillId="57" borderId="151" xfId="56" applyFont="1" applyFill="1" applyBorder="1" applyAlignment="1">
      <alignment horizontal="left" vertical="top"/>
    </xf>
    <xf numFmtId="0" fontId="152" fillId="57" borderId="158" xfId="0" applyFont="1" applyFill="1" applyBorder="1" applyAlignment="1">
      <alignment horizontal="left" vertical="top" wrapText="1"/>
    </xf>
    <xf numFmtId="0" fontId="95" fillId="0" borderId="0" xfId="0" applyFont="1"/>
    <xf numFmtId="0" fontId="158" fillId="0" borderId="0" xfId="2" applyFont="1"/>
    <xf numFmtId="3" fontId="118" fillId="0" borderId="1" xfId="0" applyNumberFormat="1" applyFont="1" applyBorder="1" applyAlignment="1">
      <alignment horizontal="center"/>
    </xf>
    <xf numFmtId="164" fontId="98" fillId="0" borderId="0" xfId="0" applyNumberFormat="1" applyFont="1" applyAlignment="1">
      <alignment vertical="top"/>
    </xf>
    <xf numFmtId="164" fontId="98" fillId="0" borderId="167" xfId="0" applyNumberFormat="1" applyFont="1" applyBorder="1" applyAlignment="1">
      <alignment vertical="top"/>
    </xf>
    <xf numFmtId="0" fontId="157" fillId="57" borderId="151" xfId="0" applyFont="1" applyFill="1" applyBorder="1" applyAlignment="1">
      <alignment horizontal="left" vertical="top"/>
    </xf>
    <xf numFmtId="0" fontId="152" fillId="57" borderId="158" xfId="0" applyFont="1" applyFill="1" applyBorder="1" applyAlignment="1">
      <alignment horizontal="left" vertical="top"/>
    </xf>
    <xf numFmtId="2" fontId="152" fillId="57" borderId="158" xfId="0" applyNumberFormat="1" applyFont="1" applyFill="1" applyBorder="1" applyAlignment="1">
      <alignment horizontal="left" vertical="top"/>
    </xf>
    <xf numFmtId="0" fontId="148" fillId="57" borderId="158" xfId="0" applyFont="1" applyFill="1" applyBorder="1" applyAlignment="1">
      <alignment horizontal="left" vertical="top"/>
    </xf>
    <xf numFmtId="0" fontId="127" fillId="57" borderId="158" xfId="0" applyFont="1" applyFill="1" applyBorder="1" applyAlignment="1">
      <alignment horizontal="left" vertical="top"/>
    </xf>
    <xf numFmtId="0" fontId="32" fillId="57" borderId="161" xfId="0" applyFont="1" applyFill="1" applyBorder="1" applyAlignment="1">
      <alignment horizontal="left" vertical="top" wrapText="1"/>
    </xf>
    <xf numFmtId="0" fontId="155" fillId="57" borderId="160" xfId="0" applyFont="1" applyFill="1" applyBorder="1" applyAlignment="1">
      <alignment horizontal="left" vertical="top"/>
    </xf>
    <xf numFmtId="0" fontId="148" fillId="57" borderId="158" xfId="0" applyFont="1" applyFill="1" applyBorder="1" applyAlignment="1">
      <alignment horizontal="left" vertical="top" wrapText="1"/>
    </xf>
    <xf numFmtId="49" fontId="0" fillId="57" borderId="167" xfId="0" applyNumberFormat="1" applyFill="1" applyBorder="1" applyAlignment="1">
      <alignment horizontal="left" vertical="top"/>
    </xf>
    <xf numFmtId="0" fontId="157" fillId="57" borderId="167" xfId="0" applyFont="1" applyFill="1" applyBorder="1" applyAlignment="1">
      <alignment horizontal="left" vertical="top"/>
    </xf>
    <xf numFmtId="2" fontId="152" fillId="57" borderId="167" xfId="0" applyNumberFormat="1" applyFont="1" applyFill="1" applyBorder="1" applyAlignment="1">
      <alignment horizontal="left" vertical="top"/>
    </xf>
    <xf numFmtId="168" fontId="98" fillId="0" borderId="151" xfId="0" applyNumberFormat="1" applyFont="1" applyBorder="1" applyAlignment="1">
      <alignment vertical="top"/>
    </xf>
    <xf numFmtId="165" fontId="98" fillId="0" borderId="0" xfId="0" applyNumberFormat="1" applyFont="1" applyAlignment="1">
      <alignment horizontal="left" vertical="top"/>
    </xf>
    <xf numFmtId="49" fontId="0" fillId="57" borderId="151" xfId="0" applyNumberFormat="1" applyFill="1" applyBorder="1" applyAlignment="1">
      <alignment horizontal="left" vertical="top"/>
    </xf>
    <xf numFmtId="0" fontId="156" fillId="57" borderId="167" xfId="56" applyFont="1" applyFill="1" applyBorder="1" applyAlignment="1">
      <alignment horizontal="left" vertical="top"/>
    </xf>
    <xf numFmtId="0" fontId="155" fillId="57" borderId="0" xfId="0" applyFont="1" applyFill="1" applyAlignment="1">
      <alignment horizontal="left" vertical="top"/>
    </xf>
    <xf numFmtId="0" fontId="127" fillId="57" borderId="151" xfId="0" applyFont="1" applyFill="1" applyBorder="1" applyAlignment="1">
      <alignment horizontal="left" vertical="top"/>
    </xf>
    <xf numFmtId="0" fontId="127" fillId="57" borderId="151" xfId="1" applyFont="1" applyFill="1" applyBorder="1" applyAlignment="1">
      <alignment horizontal="left" vertical="top" wrapText="1"/>
    </xf>
    <xf numFmtId="2" fontId="152" fillId="57" borderId="158" xfId="0" applyNumberFormat="1" applyFont="1" applyFill="1" applyBorder="1" applyAlignment="1">
      <alignment horizontal="left" vertical="top" wrapText="1"/>
    </xf>
    <xf numFmtId="0" fontId="98" fillId="57" borderId="0" xfId="0" applyFont="1" applyFill="1" applyAlignment="1">
      <alignment horizontal="left" vertical="top"/>
    </xf>
    <xf numFmtId="14" fontId="147" fillId="30" borderId="0" xfId="0" applyNumberFormat="1" applyFont="1" applyFill="1" applyAlignment="1">
      <alignment horizontal="left" vertical="top" wrapText="1"/>
    </xf>
    <xf numFmtId="0" fontId="98" fillId="0" borderId="167" xfId="0" applyFont="1" applyBorder="1" applyAlignment="1">
      <alignment vertical="top"/>
    </xf>
    <xf numFmtId="0" fontId="114" fillId="30" borderId="0" xfId="0" applyFont="1" applyFill="1"/>
    <xf numFmtId="0" fontId="161" fillId="0" borderId="8" xfId="12" applyFont="1" applyBorder="1"/>
    <xf numFmtId="0" fontId="95" fillId="0" borderId="9" xfId="0" applyFont="1" applyBorder="1"/>
    <xf numFmtId="0" fontId="161" fillId="0" borderId="8" xfId="0" applyFont="1" applyBorder="1"/>
    <xf numFmtId="0" fontId="95" fillId="0" borderId="10" xfId="0" applyFont="1" applyBorder="1"/>
    <xf numFmtId="0" fontId="93" fillId="0" borderId="11" xfId="0" applyFont="1" applyBorder="1" applyAlignment="1">
      <alignment vertical="center"/>
    </xf>
    <xf numFmtId="0" fontId="93" fillId="0" borderId="0" xfId="0" applyFont="1" applyAlignment="1">
      <alignment vertical="center" wrapText="1"/>
    </xf>
    <xf numFmtId="0" fontId="93" fillId="0" borderId="12" xfId="0" applyFont="1" applyBorder="1" applyAlignment="1">
      <alignment vertical="center" wrapText="1"/>
    </xf>
    <xf numFmtId="0" fontId="95" fillId="0" borderId="11" xfId="0" applyFont="1" applyBorder="1"/>
    <xf numFmtId="49" fontId="95" fillId="0" borderId="0" xfId="0" applyNumberFormat="1" applyFont="1" applyAlignment="1">
      <alignment vertical="center"/>
    </xf>
    <xf numFmtId="0" fontId="95" fillId="0" borderId="0" xfId="0" applyFont="1" applyAlignment="1">
      <alignment vertical="center"/>
    </xf>
    <xf numFmtId="0" fontId="95" fillId="0" borderId="12" xfId="0" applyFont="1" applyBorder="1"/>
    <xf numFmtId="0" fontId="93" fillId="0" borderId="11" xfId="0" applyFont="1" applyBorder="1" applyAlignment="1">
      <alignment vertical="center" wrapText="1"/>
    </xf>
    <xf numFmtId="14" fontId="95" fillId="0" borderId="11" xfId="0" applyNumberFormat="1" applyFont="1" applyBorder="1"/>
    <xf numFmtId="14" fontId="95" fillId="0" borderId="0" xfId="0" applyNumberFormat="1" applyFont="1" applyAlignment="1">
      <alignment horizontal="center"/>
    </xf>
    <xf numFmtId="0" fontId="161" fillId="0" borderId="11" xfId="0" applyFont="1" applyBorder="1" applyAlignment="1">
      <alignment vertical="center" wrapText="1"/>
    </xf>
    <xf numFmtId="0" fontId="94" fillId="0" borderId="13" xfId="0" applyFont="1" applyBorder="1" applyAlignment="1">
      <alignment vertical="center" wrapText="1"/>
    </xf>
    <xf numFmtId="0" fontId="94" fillId="0" borderId="7" xfId="0" applyFont="1" applyBorder="1" applyAlignment="1">
      <alignment vertical="center" wrapText="1"/>
    </xf>
    <xf numFmtId="0" fontId="94" fillId="0" borderId="14" xfId="0" applyFont="1" applyBorder="1" applyAlignment="1">
      <alignment vertical="center" wrapText="1"/>
    </xf>
    <xf numFmtId="0" fontId="95" fillId="0" borderId="13" xfId="0" applyFont="1" applyBorder="1"/>
    <xf numFmtId="0" fontId="95" fillId="0" borderId="7" xfId="0" applyFont="1" applyBorder="1"/>
    <xf numFmtId="0" fontId="95" fillId="0" borderId="14" xfId="0" applyFont="1" applyBorder="1"/>
    <xf numFmtId="0" fontId="95" fillId="0" borderId="13" xfId="0" applyFont="1" applyBorder="1" applyAlignment="1">
      <alignment horizontal="left"/>
    </xf>
    <xf numFmtId="0" fontId="95" fillId="0" borderId="7" xfId="0" applyFont="1" applyBorder="1" applyAlignment="1">
      <alignment horizontal="left"/>
    </xf>
    <xf numFmtId="0" fontId="95" fillId="0" borderId="14" xfId="0" applyFont="1" applyBorder="1" applyAlignment="1">
      <alignment horizontal="left"/>
    </xf>
    <xf numFmtId="0" fontId="95" fillId="0" borderId="13" xfId="0" applyFont="1" applyBorder="1" applyAlignment="1">
      <alignment vertical="center"/>
    </xf>
    <xf numFmtId="0" fontId="95" fillId="0" borderId="7" xfId="0" applyFont="1" applyBorder="1" applyAlignment="1">
      <alignment vertical="center"/>
    </xf>
    <xf numFmtId="0" fontId="95" fillId="0" borderId="14" xfId="0" applyFont="1" applyBorder="1" applyAlignment="1">
      <alignment vertical="center"/>
    </xf>
    <xf numFmtId="0" fontId="161" fillId="0" borderId="10" xfId="0" applyFont="1" applyBorder="1"/>
    <xf numFmtId="0" fontId="161" fillId="0" borderId="9" xfId="0" applyFont="1" applyBorder="1"/>
    <xf numFmtId="14" fontId="95" fillId="0" borderId="12" xfId="0" applyNumberFormat="1" applyFont="1" applyBorder="1" applyAlignment="1">
      <alignment horizontal="center"/>
    </xf>
    <xf numFmtId="0" fontId="95" fillId="0" borderId="14" xfId="0" applyFont="1" applyBorder="1" applyAlignment="1">
      <alignment horizontal="right"/>
    </xf>
    <xf numFmtId="0" fontId="162" fillId="0" borderId="1" xfId="0" applyFont="1" applyBorder="1" applyAlignment="1">
      <alignment horizontal="left"/>
    </xf>
    <xf numFmtId="0" fontId="162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left" vertical="center" wrapText="1"/>
    </xf>
    <xf numFmtId="1" fontId="95" fillId="0" borderId="1" xfId="0" applyNumberFormat="1" applyFont="1" applyBorder="1" applyAlignment="1">
      <alignment horizontal="center" vertical="center"/>
    </xf>
    <xf numFmtId="0" fontId="95" fillId="0" borderId="1" xfId="0" applyFont="1" applyBorder="1" applyAlignment="1">
      <alignment horizontal="center" vertical="center"/>
    </xf>
    <xf numFmtId="2" fontId="95" fillId="0" borderId="6" xfId="0" applyNumberFormat="1" applyFont="1" applyBorder="1" applyAlignment="1">
      <alignment vertical="center"/>
    </xf>
    <xf numFmtId="2" fontId="95" fillId="0" borderId="5" xfId="0" applyNumberFormat="1" applyFont="1" applyBorder="1" applyAlignment="1">
      <alignment vertical="center"/>
    </xf>
    <xf numFmtId="2" fontId="95" fillId="0" borderId="1" xfId="0" applyNumberFormat="1" applyFont="1" applyBorder="1" applyAlignment="1">
      <alignment horizontal="center" vertical="center"/>
    </xf>
    <xf numFmtId="0" fontId="163" fillId="0" borderId="1" xfId="0" applyFont="1" applyBorder="1" applyAlignment="1">
      <alignment horizontal="center" vertical="center"/>
    </xf>
    <xf numFmtId="0" fontId="94" fillId="0" borderId="0" xfId="0" applyFont="1" applyAlignment="1">
      <alignment horizontal="left" vertical="center" wrapText="1"/>
    </xf>
    <xf numFmtId="1" fontId="95" fillId="0" borderId="0" xfId="0" applyNumberFormat="1" applyFont="1" applyAlignment="1">
      <alignment horizontal="center" vertical="center"/>
    </xf>
    <xf numFmtId="0" fontId="95" fillId="0" borderId="0" xfId="0" applyFont="1" applyAlignment="1">
      <alignment horizontal="center" vertical="center"/>
    </xf>
    <xf numFmtId="2" fontId="95" fillId="0" borderId="0" xfId="0" applyNumberFormat="1" applyFont="1" applyAlignment="1">
      <alignment horizontal="center" vertical="center"/>
    </xf>
    <xf numFmtId="0" fontId="163" fillId="0" borderId="0" xfId="0" applyFont="1" applyAlignment="1">
      <alignment horizontal="center" vertical="center"/>
    </xf>
    <xf numFmtId="0" fontId="162" fillId="0" borderId="0" xfId="0" applyFont="1"/>
    <xf numFmtId="1" fontId="162" fillId="0" borderId="0" xfId="0" applyNumberFormat="1" applyFont="1" applyAlignment="1">
      <alignment horizontal="right"/>
    </xf>
    <xf numFmtId="1" fontId="162" fillId="0" borderId="0" xfId="0" applyNumberFormat="1" applyFont="1" applyAlignment="1">
      <alignment horizontal="center"/>
    </xf>
    <xf numFmtId="4" fontId="162" fillId="0" borderId="0" xfId="0" applyNumberFormat="1" applyFont="1" applyAlignment="1">
      <alignment horizontal="right"/>
    </xf>
    <xf numFmtId="0" fontId="162" fillId="0" borderId="0" xfId="0" applyFont="1" applyAlignment="1">
      <alignment horizontal="left"/>
    </xf>
    <xf numFmtId="0" fontId="162" fillId="0" borderId="0" xfId="0" applyFont="1" applyAlignment="1">
      <alignment horizontal="right"/>
    </xf>
    <xf numFmtId="166" fontId="116" fillId="0" borderId="134" xfId="0" applyNumberFormat="1" applyFont="1" applyBorder="1" applyAlignment="1">
      <alignment horizontal="left" vertical="center" wrapText="1"/>
    </xf>
    <xf numFmtId="0" fontId="116" fillId="0" borderId="134" xfId="0" applyFont="1" applyBorder="1" applyAlignment="1">
      <alignment horizontal="left" vertical="center" wrapText="1"/>
    </xf>
    <xf numFmtId="0" fontId="20" fillId="0" borderId="151" xfId="0" applyFont="1" applyBorder="1" applyAlignment="1">
      <alignment horizontal="center"/>
    </xf>
    <xf numFmtId="0" fontId="109" fillId="0" borderId="0" xfId="0" applyFont="1" applyAlignment="1">
      <alignment horizontal="left" wrapText="1"/>
    </xf>
    <xf numFmtId="0" fontId="110" fillId="0" borderId="12" xfId="0" applyFont="1" applyBorder="1" applyAlignment="1">
      <alignment horizontal="left" wrapText="1"/>
    </xf>
    <xf numFmtId="0" fontId="109" fillId="0" borderId="7" xfId="0" applyFont="1" applyBorder="1" applyAlignment="1">
      <alignment horizontal="left"/>
    </xf>
    <xf numFmtId="0" fontId="110" fillId="0" borderId="14" xfId="0" applyFont="1" applyBorder="1" applyAlignment="1">
      <alignment horizontal="left"/>
    </xf>
    <xf numFmtId="0" fontId="102" fillId="0" borderId="11" xfId="0" applyFont="1" applyBorder="1" applyAlignment="1" applyProtection="1">
      <alignment horizontal="center"/>
      <protection locked="0"/>
    </xf>
    <xf numFmtId="0" fontId="102" fillId="0" borderId="0" xfId="0" applyFont="1" applyAlignment="1" applyProtection="1">
      <alignment horizontal="center"/>
      <protection locked="0"/>
    </xf>
    <xf numFmtId="0" fontId="102" fillId="0" borderId="12" xfId="0" applyFont="1" applyBorder="1" applyAlignment="1" applyProtection="1">
      <alignment horizontal="center"/>
      <protection locked="0"/>
    </xf>
    <xf numFmtId="0" fontId="120" fillId="0" borderId="104" xfId="0" applyFont="1" applyBorder="1" applyAlignment="1">
      <alignment horizontal="left" vertical="top" wrapText="1"/>
    </xf>
    <xf numFmtId="0" fontId="120" fillId="0" borderId="103" xfId="0" applyFont="1" applyBorder="1" applyAlignment="1">
      <alignment horizontal="left" vertical="top" wrapText="1"/>
    </xf>
    <xf numFmtId="0" fontId="93" fillId="0" borderId="11" xfId="0" applyFont="1" applyBorder="1" applyAlignment="1">
      <alignment horizontal="center" vertical="center"/>
    </xf>
    <xf numFmtId="0" fontId="93" fillId="0" borderId="0" xfId="0" applyFont="1" applyAlignment="1">
      <alignment horizontal="center" vertical="center"/>
    </xf>
    <xf numFmtId="0" fontId="93" fillId="0" borderId="12" xfId="0" applyFont="1" applyBorder="1" applyAlignment="1">
      <alignment horizontal="center" vertical="center"/>
    </xf>
    <xf numFmtId="14" fontId="108" fillId="0" borderId="11" xfId="0" applyNumberFormat="1" applyFont="1" applyBorder="1" applyAlignment="1">
      <alignment horizontal="center"/>
    </xf>
    <xf numFmtId="0" fontId="108" fillId="0" borderId="0" xfId="0" applyFont="1" applyAlignment="1">
      <alignment horizontal="center"/>
    </xf>
    <xf numFmtId="0" fontId="108" fillId="0" borderId="12" xfId="0" applyFont="1" applyBorder="1" applyAlignment="1">
      <alignment horizontal="center"/>
    </xf>
    <xf numFmtId="0" fontId="106" fillId="0" borderId="11" xfId="0" applyFont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7" fillId="0" borderId="12" xfId="0" applyFont="1" applyBorder="1" applyAlignment="1">
      <alignment horizontal="center" vertical="center"/>
    </xf>
    <xf numFmtId="0" fontId="123" fillId="0" borderId="11" xfId="0" applyFont="1" applyBorder="1" applyAlignment="1">
      <alignment horizontal="center"/>
    </xf>
    <xf numFmtId="0" fontId="107" fillId="0" borderId="0" xfId="0" applyFont="1" applyAlignment="1">
      <alignment horizontal="center"/>
    </xf>
    <xf numFmtId="0" fontId="107" fillId="0" borderId="12" xfId="0" applyFont="1" applyBorder="1" applyAlignment="1">
      <alignment horizontal="center"/>
    </xf>
    <xf numFmtId="0" fontId="158" fillId="0" borderId="16" xfId="2" applyFont="1" applyBorder="1" applyAlignment="1">
      <alignment horizontal="center"/>
    </xf>
    <xf numFmtId="0" fontId="159" fillId="0" borderId="0" xfId="2" applyFont="1" applyAlignment="1">
      <alignment horizontal="center"/>
    </xf>
    <xf numFmtId="0" fontId="158" fillId="0" borderId="0" xfId="0" applyFont="1" applyAlignment="1">
      <alignment horizontal="center"/>
    </xf>
    <xf numFmtId="0" fontId="95" fillId="0" borderId="9" xfId="0" applyFont="1" applyBorder="1" applyAlignment="1">
      <alignment horizontal="left"/>
    </xf>
    <xf numFmtId="0" fontId="95" fillId="0" borderId="10" xfId="0" applyFont="1" applyBorder="1" applyAlignment="1">
      <alignment horizontal="left"/>
    </xf>
    <xf numFmtId="14" fontId="95" fillId="0" borderId="0" xfId="0" applyNumberFormat="1" applyFont="1" applyAlignment="1">
      <alignment horizontal="center"/>
    </xf>
    <xf numFmtId="4" fontId="162" fillId="0" borderId="0" xfId="0" applyNumberFormat="1" applyFont="1" applyAlignment="1">
      <alignment horizontal="center"/>
    </xf>
    <xf numFmtId="0" fontId="95" fillId="0" borderId="11" xfId="0" applyFont="1" applyBorder="1" applyAlignment="1">
      <alignment horizontal="left" vertical="center" wrapText="1"/>
    </xf>
    <xf numFmtId="0" fontId="95" fillId="0" borderId="0" xfId="0" applyFont="1" applyAlignment="1">
      <alignment horizontal="left" vertical="center" wrapText="1"/>
    </xf>
    <xf numFmtId="0" fontId="95" fillId="0" borderId="12" xfId="0" applyFont="1" applyBorder="1" applyAlignment="1">
      <alignment horizontal="left" vertical="center" wrapText="1"/>
    </xf>
    <xf numFmtId="0" fontId="93" fillId="0" borderId="11" xfId="0" applyFont="1" applyBorder="1" applyAlignment="1">
      <alignment horizontal="center" vertical="top" wrapText="1"/>
    </xf>
    <xf numFmtId="0" fontId="93" fillId="0" borderId="0" xfId="0" applyFont="1" applyAlignment="1">
      <alignment horizontal="center" vertical="top" wrapText="1"/>
    </xf>
    <xf numFmtId="0" fontId="93" fillId="0" borderId="12" xfId="0" applyFont="1" applyBorder="1" applyAlignment="1">
      <alignment horizontal="center" vertical="top" wrapText="1"/>
    </xf>
    <xf numFmtId="0" fontId="161" fillId="0" borderId="7" xfId="0" applyFont="1" applyBorder="1" applyAlignment="1">
      <alignment horizontal="center"/>
    </xf>
    <xf numFmtId="0" fontId="93" fillId="0" borderId="11" xfId="0" applyFont="1" applyBorder="1" applyAlignment="1">
      <alignment horizontal="center"/>
    </xf>
    <xf numFmtId="0" fontId="95" fillId="0" borderId="0" xfId="0" applyFont="1" applyAlignment="1">
      <alignment horizontal="center"/>
    </xf>
    <xf numFmtId="0" fontId="95" fillId="0" borderId="12" xfId="0" applyFont="1" applyBorder="1" applyAlignment="1">
      <alignment horizontal="center"/>
    </xf>
    <xf numFmtId="0" fontId="162" fillId="0" borderId="88" xfId="0" applyFont="1" applyBorder="1" applyAlignment="1">
      <alignment horizontal="center" vertical="center"/>
    </xf>
    <xf numFmtId="0" fontId="162" fillId="0" borderId="6" xfId="0" applyFont="1" applyBorder="1" applyAlignment="1">
      <alignment horizontal="center" vertical="center"/>
    </xf>
    <xf numFmtId="0" fontId="162" fillId="0" borderId="5" xfId="0" applyFont="1" applyBorder="1" applyAlignment="1">
      <alignment horizontal="center" vertical="center"/>
    </xf>
    <xf numFmtId="49" fontId="93" fillId="0" borderId="11" xfId="0" applyNumberFormat="1" applyFont="1" applyBorder="1" applyAlignment="1">
      <alignment horizontal="center"/>
    </xf>
    <xf numFmtId="0" fontId="93" fillId="0" borderId="0" xfId="0" applyFont="1" applyAlignment="1">
      <alignment horizontal="center"/>
    </xf>
    <xf numFmtId="0" fontId="112" fillId="0" borderId="11" xfId="0" applyFont="1" applyBorder="1" applyAlignment="1">
      <alignment horizontal="center"/>
    </xf>
    <xf numFmtId="0" fontId="112" fillId="0" borderId="0" xfId="0" applyFont="1" applyAlignment="1">
      <alignment horizontal="center"/>
    </xf>
    <xf numFmtId="0" fontId="112" fillId="0" borderId="12" xfId="0" applyFont="1" applyBorder="1" applyAlignment="1">
      <alignment horizontal="center"/>
    </xf>
    <xf numFmtId="0" fontId="162" fillId="0" borderId="1" xfId="0" applyFont="1" applyBorder="1" applyAlignment="1">
      <alignment horizontal="center" vertical="center"/>
    </xf>
    <xf numFmtId="14" fontId="19" fillId="0" borderId="72" xfId="0" applyNumberFormat="1" applyFont="1" applyBorder="1" applyAlignment="1">
      <alignment horizontal="right"/>
    </xf>
    <xf numFmtId="0" fontId="19" fillId="0" borderId="72" xfId="0" applyFont="1" applyBorder="1" applyAlignment="1">
      <alignment horizontal="right"/>
    </xf>
    <xf numFmtId="0" fontId="29" fillId="0" borderId="72" xfId="0" applyFont="1" applyBorder="1"/>
    <xf numFmtId="0" fontId="19" fillId="0" borderId="23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left" vertical="top" wrapText="1"/>
    </xf>
    <xf numFmtId="0" fontId="19" fillId="0" borderId="39" xfId="0" applyFont="1" applyBorder="1" applyAlignment="1">
      <alignment horizontal="left" vertical="top" wrapText="1"/>
    </xf>
    <xf numFmtId="0" fontId="29" fillId="0" borderId="7" xfId="0" applyFont="1" applyBorder="1" applyAlignment="1">
      <alignment horizontal="left" vertical="top" wrapText="1"/>
    </xf>
    <xf numFmtId="0" fontId="29" fillId="0" borderId="40" xfId="0" applyFont="1" applyBorder="1" applyAlignment="1">
      <alignment horizontal="left" vertical="top" wrapText="1"/>
    </xf>
    <xf numFmtId="0" fontId="19" fillId="0" borderId="29" xfId="0" applyFont="1" applyBorder="1" applyAlignment="1">
      <alignment horizontal="left" vertical="center"/>
    </xf>
    <xf numFmtId="0" fontId="19" fillId="0" borderId="15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19" fillId="0" borderId="41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166" fontId="12" fillId="0" borderId="15" xfId="0" applyNumberFormat="1" applyFont="1" applyBorder="1" applyAlignment="1">
      <alignment horizontal="left" vertical="center"/>
    </xf>
    <xf numFmtId="166" fontId="12" fillId="0" borderId="41" xfId="0" applyNumberFormat="1" applyFont="1" applyBorder="1" applyAlignment="1">
      <alignment horizontal="left" vertical="center"/>
    </xf>
    <xf numFmtId="49" fontId="10" fillId="0" borderId="18" xfId="0" applyNumberFormat="1" applyFont="1" applyBorder="1"/>
    <xf numFmtId="49" fontId="10" fillId="0" borderId="19" xfId="0" applyNumberFormat="1" applyFont="1" applyBorder="1"/>
    <xf numFmtId="49" fontId="10" fillId="0" borderId="18" xfId="0" applyNumberFormat="1" applyFont="1" applyBorder="1" applyAlignment="1">
      <alignment vertical="center" wrapText="1"/>
    </xf>
    <xf numFmtId="49" fontId="10" fillId="0" borderId="21" xfId="0" applyNumberFormat="1" applyFont="1" applyBorder="1" applyAlignment="1">
      <alignment vertical="center"/>
    </xf>
    <xf numFmtId="49" fontId="10" fillId="0" borderId="22" xfId="0" applyNumberFormat="1" applyFont="1" applyBorder="1" applyAlignment="1">
      <alignment vertical="center"/>
    </xf>
    <xf numFmtId="49" fontId="10" fillId="0" borderId="19" xfId="0" applyNumberFormat="1" applyFont="1" applyBorder="1" applyAlignment="1">
      <alignment vertical="center" wrapText="1"/>
    </xf>
    <xf numFmtId="14" fontId="19" fillId="0" borderId="32" xfId="0" applyNumberFormat="1" applyFont="1" applyBorder="1" applyAlignment="1">
      <alignment horizontal="left"/>
    </xf>
    <xf numFmtId="0" fontId="29" fillId="0" borderId="32" xfId="0" applyFont="1" applyBorder="1" applyAlignment="1">
      <alignment horizontal="left"/>
    </xf>
    <xf numFmtId="0" fontId="0" fillId="0" borderId="32" xfId="0" applyBorder="1"/>
    <xf numFmtId="0" fontId="0" fillId="0" borderId="42" xfId="0" applyBorder="1"/>
    <xf numFmtId="0" fontId="9" fillId="0" borderId="29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51" xfId="0" applyFont="1" applyBorder="1"/>
    <xf numFmtId="0" fontId="9" fillId="0" borderId="1" xfId="0" applyFont="1" applyBorder="1"/>
    <xf numFmtId="0" fontId="9" fillId="0" borderId="52" xfId="0" applyFont="1" applyBorder="1"/>
    <xf numFmtId="0" fontId="19" fillId="0" borderId="51" xfId="0" applyFont="1" applyBorder="1"/>
    <xf numFmtId="0" fontId="19" fillId="0" borderId="1" xfId="0" applyFont="1" applyBorder="1"/>
    <xf numFmtId="0" fontId="19" fillId="0" borderId="6" xfId="0" applyFont="1" applyBorder="1"/>
    <xf numFmtId="1" fontId="19" fillId="0" borderId="15" xfId="0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49" fontId="10" fillId="0" borderId="0" xfId="0" applyNumberFormat="1" applyFont="1" applyAlignment="1">
      <alignment vertical="justify" textRotation="180"/>
    </xf>
    <xf numFmtId="0" fontId="19" fillId="0" borderId="25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49" fontId="9" fillId="0" borderId="25" xfId="0" applyNumberFormat="1" applyFont="1" applyBorder="1" applyAlignment="1">
      <alignment horizontal="center" wrapText="1"/>
    </xf>
    <xf numFmtId="49" fontId="9" fillId="0" borderId="0" xfId="0" applyNumberFormat="1" applyFont="1" applyAlignment="1">
      <alignment horizontal="center" wrapText="1"/>
    </xf>
    <xf numFmtId="49" fontId="9" fillId="0" borderId="26" xfId="0" applyNumberFormat="1" applyFont="1" applyBorder="1" applyAlignment="1">
      <alignment horizontal="center" wrapText="1"/>
    </xf>
    <xf numFmtId="0" fontId="9" fillId="0" borderId="29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49" fontId="10" fillId="0" borderId="25" xfId="0" applyNumberFormat="1" applyFont="1" applyBorder="1" applyAlignment="1">
      <alignment horizontal="left" vertical="center" wrapText="1"/>
    </xf>
    <xf numFmtId="49" fontId="10" fillId="0" borderId="0" xfId="0" applyNumberFormat="1" applyFont="1" applyAlignment="1">
      <alignment horizontal="left" vertical="center" wrapText="1"/>
    </xf>
    <xf numFmtId="49" fontId="10" fillId="0" borderId="26" xfId="0" applyNumberFormat="1" applyFont="1" applyBorder="1" applyAlignment="1">
      <alignment horizontal="left" vertical="center" wrapText="1"/>
    </xf>
    <xf numFmtId="49" fontId="10" fillId="0" borderId="34" xfId="0" applyNumberFormat="1" applyFont="1" applyBorder="1" applyAlignment="1">
      <alignment horizontal="left" vertical="center" wrapText="1"/>
    </xf>
    <xf numFmtId="49" fontId="10" fillId="0" borderId="35" xfId="0" applyNumberFormat="1" applyFont="1" applyBorder="1" applyAlignment="1">
      <alignment horizontal="left" vertical="center" wrapText="1"/>
    </xf>
    <xf numFmtId="49" fontId="10" fillId="0" borderId="36" xfId="0" applyNumberFormat="1" applyFont="1" applyBorder="1" applyAlignment="1">
      <alignment horizontal="left" vertical="center" wrapText="1"/>
    </xf>
    <xf numFmtId="0" fontId="9" fillId="0" borderId="31" xfId="0" applyFont="1" applyBorder="1"/>
    <xf numFmtId="0" fontId="9" fillId="0" borderId="32" xfId="0" applyFont="1" applyBorder="1"/>
    <xf numFmtId="0" fontId="9" fillId="0" borderId="33" xfId="0" applyFont="1" applyBorder="1"/>
    <xf numFmtId="49" fontId="10" fillId="0" borderId="37" xfId="0" applyNumberFormat="1" applyFont="1" applyBorder="1"/>
    <xf numFmtId="49" fontId="10" fillId="0" borderId="38" xfId="0" applyNumberFormat="1" applyFont="1" applyBorder="1"/>
    <xf numFmtId="0" fontId="12" fillId="0" borderId="31" xfId="0" applyFont="1" applyBorder="1"/>
    <xf numFmtId="0" fontId="12" fillId="0" borderId="32" xfId="0" applyFont="1" applyBorder="1"/>
    <xf numFmtId="0" fontId="12" fillId="0" borderId="33" xfId="0" applyFont="1" applyBorder="1"/>
    <xf numFmtId="49" fontId="9" fillId="0" borderId="7" xfId="0" applyNumberFormat="1" applyFont="1" applyBorder="1"/>
    <xf numFmtId="49" fontId="9" fillId="0" borderId="40" xfId="0" applyNumberFormat="1" applyFont="1" applyBorder="1"/>
    <xf numFmtId="49" fontId="9" fillId="0" borderId="0" xfId="0" applyNumberFormat="1" applyFont="1"/>
    <xf numFmtId="49" fontId="9" fillId="0" borderId="46" xfId="0" applyNumberFormat="1" applyFont="1" applyBorder="1"/>
    <xf numFmtId="49" fontId="10" fillId="0" borderId="31" xfId="0" applyNumberFormat="1" applyFont="1" applyBorder="1"/>
    <xf numFmtId="49" fontId="10" fillId="0" borderId="32" xfId="0" applyNumberFormat="1" applyFont="1" applyBorder="1"/>
    <xf numFmtId="14" fontId="19" fillId="0" borderId="15" xfId="0" applyNumberFormat="1" applyFont="1" applyBorder="1" applyAlignment="1">
      <alignment horizontal="right"/>
    </xf>
    <xf numFmtId="0" fontId="19" fillId="0" borderId="15" xfId="0" applyFont="1" applyBorder="1" applyAlignment="1">
      <alignment horizontal="right"/>
    </xf>
    <xf numFmtId="14" fontId="19" fillId="0" borderId="15" xfId="0" applyNumberFormat="1" applyFont="1" applyBorder="1" applyAlignment="1">
      <alignment horizontal="center"/>
    </xf>
    <xf numFmtId="0" fontId="19" fillId="0" borderId="30" xfId="0" applyFont="1" applyBorder="1" applyAlignment="1">
      <alignment horizontal="center"/>
    </xf>
    <xf numFmtId="2" fontId="19" fillId="0" borderId="51" xfId="0" applyNumberFormat="1" applyFont="1" applyBorder="1"/>
    <xf numFmtId="2" fontId="19" fillId="0" borderId="1" xfId="0" applyNumberFormat="1" applyFont="1" applyBorder="1"/>
    <xf numFmtId="2" fontId="19" fillId="0" borderId="52" xfId="0" applyNumberFormat="1" applyFont="1" applyBorder="1"/>
    <xf numFmtId="49" fontId="10" fillId="0" borderId="0" xfId="0" applyNumberFormat="1" applyFont="1" applyAlignment="1">
      <alignment textRotation="90"/>
    </xf>
    <xf numFmtId="49" fontId="10" fillId="0" borderId="44" xfId="0" applyNumberFormat="1" applyFont="1" applyBorder="1"/>
    <xf numFmtId="49" fontId="10" fillId="0" borderId="23" xfId="0" applyNumberFormat="1" applyFont="1" applyBorder="1" applyAlignment="1">
      <alignment horizontal="left" vertical="center"/>
    </xf>
    <xf numFmtId="49" fontId="10" fillId="0" borderId="9" xfId="0" applyNumberFormat="1" applyFont="1" applyBorder="1" applyAlignment="1">
      <alignment horizontal="left" vertical="center"/>
    </xf>
    <xf numFmtId="49" fontId="10" fillId="0" borderId="25" xfId="0" applyNumberFormat="1" applyFont="1" applyBorder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49" fontId="10" fillId="0" borderId="27" xfId="0" applyNumberFormat="1" applyFont="1" applyBorder="1" applyAlignment="1">
      <alignment horizontal="left" vertical="center"/>
    </xf>
    <xf numFmtId="49" fontId="10" fillId="0" borderId="7" xfId="0" applyNumberFormat="1" applyFont="1" applyBorder="1" applyAlignment="1">
      <alignment horizontal="left" vertical="center"/>
    </xf>
    <xf numFmtId="0" fontId="19" fillId="0" borderId="9" xfId="0" applyFont="1" applyBorder="1" applyAlignment="1">
      <alignment vertical="top" wrapText="1"/>
    </xf>
    <xf numFmtId="0" fontId="19" fillId="0" borderId="39" xfId="0" applyFont="1" applyBorder="1" applyAlignment="1">
      <alignment vertical="top" wrapText="1"/>
    </xf>
    <xf numFmtId="0" fontId="19" fillId="0" borderId="0" xfId="0" applyFont="1" applyAlignment="1">
      <alignment vertical="top" wrapText="1"/>
    </xf>
    <xf numFmtId="0" fontId="19" fillId="0" borderId="46" xfId="0" applyFont="1" applyBorder="1" applyAlignment="1">
      <alignment vertical="top" wrapText="1"/>
    </xf>
    <xf numFmtId="0" fontId="9" fillId="0" borderId="7" xfId="0" applyFont="1" applyBorder="1"/>
    <xf numFmtId="0" fontId="9" fillId="0" borderId="40" xfId="0" applyFont="1" applyBorder="1"/>
    <xf numFmtId="0" fontId="9" fillId="0" borderId="47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15" xfId="0" applyFont="1" applyBorder="1"/>
    <xf numFmtId="0" fontId="9" fillId="0" borderId="41" xfId="0" applyFont="1" applyBorder="1"/>
    <xf numFmtId="49" fontId="10" fillId="0" borderId="29" xfId="0" applyNumberFormat="1" applyFont="1" applyBorder="1" applyAlignment="1">
      <alignment horizontal="left" vertical="center"/>
    </xf>
    <xf numFmtId="49" fontId="10" fillId="0" borderId="15" xfId="0" applyNumberFormat="1" applyFont="1" applyBorder="1" applyAlignment="1">
      <alignment horizontal="left" vertical="center"/>
    </xf>
    <xf numFmtId="0" fontId="19" fillId="0" borderId="15" xfId="0" applyFont="1" applyBorder="1"/>
    <xf numFmtId="49" fontId="9" fillId="0" borderId="16" xfId="0" applyNumberFormat="1" applyFont="1" applyBorder="1"/>
    <xf numFmtId="49" fontId="9" fillId="0" borderId="49" xfId="0" applyNumberFormat="1" applyFont="1" applyBorder="1"/>
    <xf numFmtId="0" fontId="19" fillId="0" borderId="41" xfId="0" applyFont="1" applyBorder="1"/>
    <xf numFmtId="0" fontId="19" fillId="0" borderId="31" xfId="0" applyFont="1" applyBorder="1" applyAlignment="1">
      <alignment horizontal="left" vertical="center"/>
    </xf>
    <xf numFmtId="0" fontId="19" fillId="0" borderId="32" xfId="0" applyFont="1" applyBorder="1" applyAlignment="1">
      <alignment horizontal="left" vertical="center"/>
    </xf>
    <xf numFmtId="0" fontId="19" fillId="0" borderId="42" xfId="0" applyFont="1" applyBorder="1" applyAlignment="1">
      <alignment horizontal="left" vertical="center"/>
    </xf>
    <xf numFmtId="0" fontId="19" fillId="0" borderId="15" xfId="0" applyFont="1" applyBorder="1" applyAlignment="1">
      <alignment horizontal="left"/>
    </xf>
    <xf numFmtId="0" fontId="145" fillId="0" borderId="29" xfId="0" applyFont="1" applyBorder="1" applyAlignment="1">
      <alignment horizontal="left" vertical="center"/>
    </xf>
    <xf numFmtId="0" fontId="32" fillId="0" borderId="15" xfId="0" applyFont="1" applyBorder="1" applyAlignment="1">
      <alignment horizontal="left" vertical="center"/>
    </xf>
    <xf numFmtId="14" fontId="145" fillId="0" borderId="15" xfId="0" applyNumberFormat="1" applyFont="1" applyBorder="1" applyAlignment="1">
      <alignment horizontal="left" vertical="center"/>
    </xf>
    <xf numFmtId="49" fontId="9" fillId="0" borderId="15" xfId="0" applyNumberFormat="1" applyFont="1" applyBorder="1" applyAlignment="1">
      <alignment horizontal="center"/>
    </xf>
    <xf numFmtId="49" fontId="9" fillId="0" borderId="41" xfId="0" applyNumberFormat="1" applyFont="1" applyBorder="1" applyAlignment="1">
      <alignment horizontal="center"/>
    </xf>
    <xf numFmtId="49" fontId="19" fillId="0" borderId="29" xfId="0" applyNumberFormat="1" applyFont="1" applyBorder="1" applyAlignment="1">
      <alignment horizontal="center"/>
    </xf>
    <xf numFmtId="49" fontId="19" fillId="0" borderId="15" xfId="0" applyNumberFormat="1" applyFont="1" applyBorder="1" applyAlignment="1">
      <alignment horizontal="center"/>
    </xf>
    <xf numFmtId="0" fontId="145" fillId="0" borderId="29" xfId="0" applyFont="1" applyBorder="1" applyAlignment="1">
      <alignment horizontal="left"/>
    </xf>
    <xf numFmtId="0" fontId="145" fillId="0" borderId="134" xfId="0" applyFont="1" applyBorder="1" applyAlignment="1">
      <alignment horizontal="left"/>
    </xf>
    <xf numFmtId="14" fontId="145" fillId="0" borderId="134" xfId="0" applyNumberFormat="1" applyFont="1" applyBorder="1" applyAlignment="1">
      <alignment horizontal="left"/>
    </xf>
    <xf numFmtId="14" fontId="145" fillId="0" borderId="159" xfId="0" applyNumberFormat="1" applyFont="1" applyBorder="1" applyAlignment="1">
      <alignment horizontal="left"/>
    </xf>
    <xf numFmtId="0" fontId="9" fillId="0" borderId="53" xfId="0" applyFont="1" applyBorder="1"/>
    <xf numFmtId="0" fontId="9" fillId="0" borderId="2" xfId="0" applyFont="1" applyBorder="1"/>
    <xf numFmtId="0" fontId="9" fillId="0" borderId="54" xfId="0" applyFont="1" applyBorder="1"/>
    <xf numFmtId="0" fontId="10" fillId="0" borderId="7" xfId="0" applyFont="1" applyBorder="1"/>
    <xf numFmtId="0" fontId="10" fillId="0" borderId="37" xfId="0" applyFont="1" applyBorder="1" applyAlignment="1">
      <alignment wrapText="1"/>
    </xf>
    <xf numFmtId="0" fontId="10" fillId="0" borderId="56" xfId="0" applyFont="1" applyBorder="1" applyAlignment="1">
      <alignment wrapText="1"/>
    </xf>
    <xf numFmtId="0" fontId="10" fillId="0" borderId="56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00" fillId="0" borderId="3" xfId="0" applyFont="1" applyBorder="1"/>
    <xf numFmtId="0" fontId="100" fillId="0" borderId="13" xfId="0" applyFont="1" applyBorder="1"/>
    <xf numFmtId="0" fontId="10" fillId="0" borderId="59" xfId="0" applyFont="1" applyBorder="1"/>
    <xf numFmtId="0" fontId="10" fillId="0" borderId="3" xfId="0" applyFont="1" applyBorder="1"/>
    <xf numFmtId="0" fontId="9" fillId="0" borderId="3" xfId="0" applyFont="1" applyBorder="1"/>
    <xf numFmtId="0" fontId="9" fillId="0" borderId="13" xfId="0" applyFont="1" applyBorder="1"/>
    <xf numFmtId="0" fontId="9" fillId="0" borderId="47" xfId="0" applyFont="1" applyBorder="1"/>
    <xf numFmtId="0" fontId="9" fillId="0" borderId="5" xfId="0" applyFont="1" applyBorder="1"/>
    <xf numFmtId="14" fontId="100" fillId="0" borderId="122" xfId="0" applyNumberFormat="1" applyFont="1" applyBorder="1" applyAlignment="1">
      <alignment horizontal="left"/>
    </xf>
    <xf numFmtId="0" fontId="100" fillId="0" borderId="122" xfId="0" applyFont="1" applyBorder="1" applyAlignment="1">
      <alignment horizontal="left"/>
    </xf>
    <xf numFmtId="0" fontId="100" fillId="0" borderId="6" xfId="0" applyFont="1" applyBorder="1" applyAlignment="1">
      <alignment horizontal="left"/>
    </xf>
    <xf numFmtId="0" fontId="10" fillId="0" borderId="61" xfId="0" applyFont="1" applyBorder="1"/>
    <xf numFmtId="0" fontId="10" fillId="0" borderId="1" xfId="0" applyFont="1" applyBorder="1"/>
    <xf numFmtId="0" fontId="9" fillId="0" borderId="6" xfId="0" applyFont="1" applyBorder="1"/>
    <xf numFmtId="0" fontId="10" fillId="0" borderId="31" xfId="0" applyFont="1" applyBorder="1" applyAlignment="1">
      <alignment horizontal="left" vertical="center"/>
    </xf>
    <xf numFmtId="0" fontId="10" fillId="0" borderId="32" xfId="0" applyFont="1" applyBorder="1" applyAlignment="1">
      <alignment horizontal="left" vertical="center"/>
    </xf>
    <xf numFmtId="0" fontId="9" fillId="0" borderId="16" xfId="0" applyFont="1" applyBorder="1"/>
    <xf numFmtId="0" fontId="9" fillId="0" borderId="69" xfId="0" applyFont="1" applyBorder="1"/>
    <xf numFmtId="0" fontId="10" fillId="0" borderId="18" xfId="0" applyFont="1" applyBorder="1"/>
    <xf numFmtId="0" fontId="19" fillId="0" borderId="18" xfId="0" applyFont="1" applyBorder="1"/>
    <xf numFmtId="0" fontId="10" fillId="0" borderId="21" xfId="0" applyFont="1" applyBorder="1"/>
    <xf numFmtId="0" fontId="10" fillId="0" borderId="22" xfId="0" applyFont="1" applyBorder="1"/>
    <xf numFmtId="0" fontId="10" fillId="0" borderId="0" xfId="0" applyFont="1"/>
    <xf numFmtId="0" fontId="10" fillId="0" borderId="26" xfId="0" applyFont="1" applyBorder="1"/>
    <xf numFmtId="0" fontId="10" fillId="0" borderId="0" xfId="0" applyFont="1" applyAlignment="1">
      <alignment vertical="justify" wrapText="1"/>
    </xf>
    <xf numFmtId="0" fontId="10" fillId="0" borderId="0" xfId="0" applyFont="1" applyAlignment="1">
      <alignment vertical="justify"/>
    </xf>
    <xf numFmtId="0" fontId="10" fillId="0" borderId="46" xfId="0" applyFont="1" applyBorder="1" applyAlignment="1">
      <alignment vertical="justify"/>
    </xf>
    <xf numFmtId="0" fontId="9" fillId="0" borderId="60" xfId="0" applyFont="1" applyBorder="1"/>
    <xf numFmtId="14" fontId="100" fillId="0" borderId="122" xfId="0" applyNumberFormat="1" applyFont="1" applyBorder="1"/>
    <xf numFmtId="0" fontId="100" fillId="0" borderId="122" xfId="0" applyFont="1" applyBorder="1"/>
    <xf numFmtId="0" fontId="100" fillId="0" borderId="6" xfId="0" applyFont="1" applyBorder="1"/>
    <xf numFmtId="0" fontId="9" fillId="0" borderId="45" xfId="0" applyFont="1" applyBorder="1"/>
    <xf numFmtId="0" fontId="9" fillId="0" borderId="1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14" fillId="0" borderId="6" xfId="0" applyFont="1" applyBorder="1" applyAlignment="1">
      <alignment wrapText="1"/>
    </xf>
    <xf numFmtId="0" fontId="14" fillId="0" borderId="15" xfId="0" applyFont="1" applyBorder="1" applyAlignment="1">
      <alignment wrapText="1"/>
    </xf>
    <xf numFmtId="0" fontId="10" fillId="0" borderId="6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4" fontId="19" fillId="0" borderId="15" xfId="0" applyNumberFormat="1" applyFont="1" applyBorder="1" applyAlignment="1">
      <alignment horizontal="center"/>
    </xf>
    <xf numFmtId="0" fontId="19" fillId="0" borderId="41" xfId="0" applyFont="1" applyBorder="1" applyAlignment="1">
      <alignment horizontal="center"/>
    </xf>
    <xf numFmtId="0" fontId="9" fillId="0" borderId="63" xfId="0" applyFont="1" applyBorder="1"/>
    <xf numFmtId="0" fontId="9" fillId="0" borderId="66" xfId="0" applyFont="1" applyBorder="1"/>
    <xf numFmtId="0" fontId="10" fillId="0" borderId="68" xfId="0" applyFont="1" applyBorder="1"/>
    <xf numFmtId="0" fontId="10" fillId="0" borderId="16" xfId="0" applyFont="1" applyBorder="1"/>
    <xf numFmtId="0" fontId="10" fillId="0" borderId="69" xfId="0" applyFont="1" applyBorder="1"/>
    <xf numFmtId="0" fontId="10" fillId="0" borderId="19" xfId="0" applyFont="1" applyBorder="1"/>
    <xf numFmtId="0" fontId="15" fillId="0" borderId="18" xfId="0" applyFont="1" applyBorder="1"/>
    <xf numFmtId="0" fontId="15" fillId="0" borderId="19" xfId="0" applyFont="1" applyBorder="1"/>
    <xf numFmtId="0" fontId="10" fillId="0" borderId="29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9" fillId="0" borderId="30" xfId="0" applyFont="1" applyBorder="1"/>
    <xf numFmtId="0" fontId="9" fillId="0" borderId="28" xfId="0" applyFont="1" applyBorder="1"/>
    <xf numFmtId="0" fontId="9" fillId="0" borderId="8" xfId="0" applyFont="1" applyBorder="1"/>
    <xf numFmtId="0" fontId="10" fillId="0" borderId="62" xfId="0" applyFont="1" applyBorder="1"/>
    <xf numFmtId="0" fontId="10" fillId="0" borderId="63" xfId="0" applyFont="1" applyBorder="1"/>
    <xf numFmtId="0" fontId="9" fillId="0" borderId="64" xfId="0" applyFont="1" applyBorder="1"/>
    <xf numFmtId="0" fontId="9" fillId="0" borderId="65" xfId="0" applyFont="1" applyBorder="1"/>
    <xf numFmtId="0" fontId="9" fillId="0" borderId="35" xfId="0" applyFont="1" applyBorder="1"/>
    <xf numFmtId="0" fontId="10" fillId="0" borderId="0" xfId="0" applyFont="1" applyAlignment="1">
      <alignment horizontal="left" vertical="justify" wrapText="1"/>
    </xf>
    <xf numFmtId="0" fontId="10" fillId="0" borderId="26" xfId="0" applyFont="1" applyBorder="1" applyAlignment="1">
      <alignment horizontal="left" vertical="justify" wrapText="1"/>
    </xf>
    <xf numFmtId="0" fontId="10" fillId="0" borderId="35" xfId="0" applyFont="1" applyBorder="1" applyAlignment="1">
      <alignment vertical="justify" wrapText="1"/>
    </xf>
    <xf numFmtId="0" fontId="10" fillId="0" borderId="65" xfId="0" applyFont="1" applyBorder="1" applyAlignment="1">
      <alignment vertical="justify"/>
    </xf>
    <xf numFmtId="0" fontId="10" fillId="0" borderId="35" xfId="0" applyFont="1" applyBorder="1" applyAlignment="1">
      <alignment vertical="justify"/>
    </xf>
    <xf numFmtId="0" fontId="10" fillId="0" borderId="78" xfId="0" applyFont="1" applyBorder="1" applyAlignment="1">
      <alignment vertical="justify"/>
    </xf>
    <xf numFmtId="0" fontId="10" fillId="0" borderId="36" xfId="0" applyFont="1" applyBorder="1" applyAlignment="1">
      <alignment vertical="justify"/>
    </xf>
    <xf numFmtId="0" fontId="15" fillId="0" borderId="9" xfId="0" applyFont="1" applyBorder="1" applyAlignment="1">
      <alignment vertical="justify" wrapText="1"/>
    </xf>
    <xf numFmtId="0" fontId="10" fillId="0" borderId="74" xfId="0" applyFont="1" applyBorder="1" applyAlignment="1">
      <alignment vertical="justify"/>
    </xf>
    <xf numFmtId="0" fontId="10" fillId="0" borderId="75" xfId="0" applyFont="1" applyBorder="1" applyAlignment="1">
      <alignment vertical="justify"/>
    </xf>
    <xf numFmtId="0" fontId="10" fillId="0" borderId="0" xfId="0" applyFont="1" applyAlignment="1">
      <alignment horizontal="center" vertical="justify"/>
    </xf>
    <xf numFmtId="0" fontId="10" fillId="0" borderId="0" xfId="0" applyFont="1" applyAlignment="1">
      <alignment horizontal="right"/>
    </xf>
    <xf numFmtId="0" fontId="10" fillId="0" borderId="26" xfId="0" applyFont="1" applyBorder="1" applyAlignment="1">
      <alignment horizontal="right"/>
    </xf>
    <xf numFmtId="0" fontId="10" fillId="0" borderId="0" xfId="0" applyFont="1" applyAlignment="1">
      <alignment horizontal="left"/>
    </xf>
    <xf numFmtId="0" fontId="10" fillId="0" borderId="26" xfId="0" applyFont="1" applyBorder="1" applyAlignment="1">
      <alignment horizontal="left"/>
    </xf>
    <xf numFmtId="0" fontId="29" fillId="0" borderId="0" xfId="0" applyFont="1" applyAlignment="1">
      <alignment horizontal="center" vertical="center" wrapText="1"/>
    </xf>
    <xf numFmtId="0" fontId="29" fillId="0" borderId="46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justify"/>
    </xf>
    <xf numFmtId="0" fontId="29" fillId="0" borderId="0" xfId="0" applyFont="1" applyAlignment="1">
      <alignment horizontal="center" vertical="justify"/>
    </xf>
    <xf numFmtId="0" fontId="29" fillId="0" borderId="46" xfId="0" applyFont="1" applyBorder="1" applyAlignment="1">
      <alignment horizontal="center" vertical="justify"/>
    </xf>
    <xf numFmtId="0" fontId="9" fillId="0" borderId="80" xfId="0" applyFont="1" applyBorder="1"/>
    <xf numFmtId="0" fontId="9" fillId="0" borderId="81" xfId="0" applyFont="1" applyBorder="1"/>
    <xf numFmtId="0" fontId="17" fillId="0" borderId="3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79" xfId="0" applyFont="1" applyBorder="1" applyAlignment="1">
      <alignment vertical="center" wrapText="1"/>
    </xf>
    <xf numFmtId="0" fontId="19" fillId="0" borderId="52" xfId="0" applyFont="1" applyBorder="1"/>
    <xf numFmtId="0" fontId="10" fillId="0" borderId="0" xfId="0" applyFont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3" fillId="0" borderId="61" xfId="0" applyFont="1" applyBorder="1"/>
    <xf numFmtId="0" fontId="13" fillId="0" borderId="1" xfId="0" applyFont="1" applyBorder="1"/>
    <xf numFmtId="0" fontId="13" fillId="0" borderId="52" xfId="0" applyFont="1" applyBorder="1"/>
    <xf numFmtId="0" fontId="13" fillId="0" borderId="13" xfId="0" applyFont="1" applyBorder="1"/>
    <xf numFmtId="0" fontId="13" fillId="0" borderId="7" xfId="0" applyFont="1" applyBorder="1"/>
    <xf numFmtId="0" fontId="13" fillId="0" borderId="14" xfId="0" applyFont="1" applyBorder="1"/>
    <xf numFmtId="0" fontId="13" fillId="0" borderId="65" xfId="0" applyFont="1" applyBorder="1"/>
    <xf numFmtId="0" fontId="13" fillId="0" borderId="35" xfId="0" applyFont="1" applyBorder="1"/>
    <xf numFmtId="0" fontId="13" fillId="0" borderId="78" xfId="0" applyFont="1" applyBorder="1"/>
    <xf numFmtId="0" fontId="13" fillId="0" borderId="62" xfId="0" applyFont="1" applyBorder="1"/>
    <xf numFmtId="0" fontId="13" fillId="0" borderId="63" xfId="0" applyFont="1" applyBorder="1"/>
    <xf numFmtId="0" fontId="13" fillId="0" borderId="81" xfId="0" applyFont="1" applyBorder="1"/>
    <xf numFmtId="1" fontId="19" fillId="0" borderId="21" xfId="0" applyNumberFormat="1" applyFont="1" applyBorder="1" applyAlignment="1">
      <alignment horizontal="center" wrapText="1"/>
    </xf>
    <xf numFmtId="1" fontId="19" fillId="0" borderId="22" xfId="0" applyNumberFormat="1" applyFont="1" applyBorder="1" applyAlignment="1">
      <alignment horizontal="center" wrapText="1"/>
    </xf>
    <xf numFmtId="0" fontId="17" fillId="0" borderId="16" xfId="0" applyFont="1" applyBorder="1"/>
    <xf numFmtId="0" fontId="17" fillId="0" borderId="8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1" xfId="0" applyFont="1" applyBorder="1"/>
    <xf numFmtId="0" fontId="17" fillId="0" borderId="0" xfId="0" applyFont="1"/>
    <xf numFmtId="0" fontId="17" fillId="0" borderId="12" xfId="0" applyFont="1" applyBorder="1"/>
    <xf numFmtId="0" fontId="17" fillId="0" borderId="3" xfId="0" applyFont="1" applyBorder="1"/>
    <xf numFmtId="0" fontId="17" fillId="0" borderId="82" xfId="0" applyFont="1" applyBorder="1"/>
    <xf numFmtId="0" fontId="10" fillId="0" borderId="25" xfId="0" applyFont="1" applyBorder="1"/>
    <xf numFmtId="0" fontId="13" fillId="0" borderId="85" xfId="0" applyFont="1" applyBorder="1"/>
    <xf numFmtId="0" fontId="13" fillId="0" borderId="16" xfId="0" applyFont="1" applyBorder="1"/>
    <xf numFmtId="0" fontId="13" fillId="0" borderId="86" xfId="0" applyFont="1" applyBorder="1"/>
    <xf numFmtId="0" fontId="13" fillId="0" borderId="87" xfId="0" applyFont="1" applyBorder="1"/>
    <xf numFmtId="0" fontId="13" fillId="0" borderId="49" xfId="0" applyFont="1" applyBorder="1"/>
    <xf numFmtId="0" fontId="17" fillId="0" borderId="13" xfId="0" applyFont="1" applyBorder="1" applyAlignment="1">
      <alignment vertical="center" wrapText="1"/>
    </xf>
    <xf numFmtId="0" fontId="17" fillId="0" borderId="59" xfId="0" applyFont="1" applyBorder="1" applyAlignment="1">
      <alignment vertical="center" wrapText="1"/>
    </xf>
    <xf numFmtId="0" fontId="17" fillId="0" borderId="82" xfId="0" applyFont="1" applyBorder="1" applyAlignment="1">
      <alignment vertical="center" wrapText="1"/>
    </xf>
  </cellXfs>
  <cellStyles count="13581">
    <cellStyle name="_ET_STYLE_NoName_00_" xfId="7967" xr:uid="{8534A1E3-9DEE-49E0-B8C2-6D07313A7A63}"/>
    <cellStyle name="0,0_x000d__x000a_NA_x000d__x000a_" xfId="13373" xr:uid="{D8DBE660-0289-41D7-9FBE-CE96FE8CF660}"/>
    <cellStyle name="20% - Accent1" xfId="64" xr:uid="{00000000-0005-0000-0000-000000000000}"/>
    <cellStyle name="20% - Accent2" xfId="65" xr:uid="{00000000-0005-0000-0000-000001000000}"/>
    <cellStyle name="20% - Accent3" xfId="66" xr:uid="{00000000-0005-0000-0000-000002000000}"/>
    <cellStyle name="20% - Accent4" xfId="67" xr:uid="{00000000-0005-0000-0000-000003000000}"/>
    <cellStyle name="20% - Accent5" xfId="68" xr:uid="{00000000-0005-0000-0000-000004000000}"/>
    <cellStyle name="20% - Accent6" xfId="69" xr:uid="{00000000-0005-0000-0000-000005000000}"/>
    <cellStyle name="20% - Énfasis1" xfId="7968" xr:uid="{8CAEAB99-8D75-4BB2-AA5A-21B638B0F0E2}"/>
    <cellStyle name="20% - Énfasis2" xfId="7969" xr:uid="{A980006A-A24B-47B6-BBCA-9F841DA8E61E}"/>
    <cellStyle name="20% - Énfasis3" xfId="7970" xr:uid="{18F7705F-1E78-4E8E-8AD7-0081B0AFB326}"/>
    <cellStyle name="20% - Énfasis4" xfId="7971" xr:uid="{C136EF49-A87A-4031-8E7E-B2E494AAB9AE}"/>
    <cellStyle name="20% - Énfasis5" xfId="7972" xr:uid="{92B2264E-9443-417D-A796-FF39FFC16A1A}"/>
    <cellStyle name="20% - Énfasis6" xfId="7973" xr:uid="{ABEA8FA7-E6B6-494B-855C-F96001AC4FB1}"/>
    <cellStyle name="20% - Акцент1 2" xfId="21" xr:uid="{00000000-0005-0000-0000-000006000000}"/>
    <cellStyle name="20% - Акцент1 2 2" xfId="126" xr:uid="{00000000-0005-0000-0000-000007000000}"/>
    <cellStyle name="20% - Акцент2 2" xfId="22" xr:uid="{00000000-0005-0000-0000-000008000000}"/>
    <cellStyle name="20% - Акцент2 2 2" xfId="117" xr:uid="{00000000-0005-0000-0000-000009000000}"/>
    <cellStyle name="20% - Акцент3 2" xfId="23" xr:uid="{00000000-0005-0000-0000-00000A000000}"/>
    <cellStyle name="20% - Акцент3 2 2" xfId="105" xr:uid="{00000000-0005-0000-0000-00000B000000}"/>
    <cellStyle name="20% - Акцент4 2" xfId="24" xr:uid="{00000000-0005-0000-0000-00000C000000}"/>
    <cellStyle name="20% - Акцент4 2 2" xfId="106" xr:uid="{00000000-0005-0000-0000-00000D000000}"/>
    <cellStyle name="20% - Акцент5 2" xfId="25" xr:uid="{00000000-0005-0000-0000-00000E000000}"/>
    <cellStyle name="20% - Акцент5 2 2" xfId="118" xr:uid="{00000000-0005-0000-0000-00000F000000}"/>
    <cellStyle name="20% - Акцент6 2" xfId="26" xr:uid="{00000000-0005-0000-0000-000010000000}"/>
    <cellStyle name="20% - Акцент6 2 2" xfId="119" xr:uid="{00000000-0005-0000-0000-000011000000}"/>
    <cellStyle name="40% - Accent1" xfId="70" xr:uid="{00000000-0005-0000-0000-000012000000}"/>
    <cellStyle name="40% - Accent2" xfId="71" xr:uid="{00000000-0005-0000-0000-000013000000}"/>
    <cellStyle name="40% - Accent3" xfId="72" xr:uid="{00000000-0005-0000-0000-000014000000}"/>
    <cellStyle name="40% - Accent4" xfId="73" xr:uid="{00000000-0005-0000-0000-000015000000}"/>
    <cellStyle name="40% - Accent5" xfId="74" xr:uid="{00000000-0005-0000-0000-000016000000}"/>
    <cellStyle name="40% - Accent6" xfId="75" xr:uid="{00000000-0005-0000-0000-000017000000}"/>
    <cellStyle name="40% - Énfasis1" xfId="7974" xr:uid="{9E7848E7-68E3-4813-8E11-FF5FFE80D9FB}"/>
    <cellStyle name="40% - Énfasis2" xfId="7975" xr:uid="{F5E08825-DA0F-4BFB-950E-3B3B65D88716}"/>
    <cellStyle name="40% - Énfasis3" xfId="7976" xr:uid="{72FECB18-3B43-402A-A246-4674021495FB}"/>
    <cellStyle name="40% - Énfasis4" xfId="7977" xr:uid="{8D5EAE68-0A6E-4728-BAD6-4196878E875D}"/>
    <cellStyle name="40% - Énfasis5" xfId="7978" xr:uid="{57C69AEE-4AC9-42FD-81D6-2F41966025B6}"/>
    <cellStyle name="40% - Énfasis6" xfId="7979" xr:uid="{0C2756F4-92A3-4B2F-AF5B-05AE7C7C93F6}"/>
    <cellStyle name="40% - Акцент1 2" xfId="27" xr:uid="{00000000-0005-0000-0000-000018000000}"/>
    <cellStyle name="40% - Акцент1 2 2" xfId="120" xr:uid="{00000000-0005-0000-0000-000019000000}"/>
    <cellStyle name="40% - Акцент2" xfId="7980" xr:uid="{9E9230B7-DC76-4C1E-B7EB-EFABC2DA66A7}"/>
    <cellStyle name="40% - Акцент2 2" xfId="28" xr:uid="{00000000-0005-0000-0000-00001A000000}"/>
    <cellStyle name="40% - Акцент2 2 2" xfId="121" xr:uid="{00000000-0005-0000-0000-00001B000000}"/>
    <cellStyle name="40% - Акцент3 2" xfId="29" xr:uid="{00000000-0005-0000-0000-00001C000000}"/>
    <cellStyle name="40% - Акцент3 2 2" xfId="122" xr:uid="{00000000-0005-0000-0000-00001D000000}"/>
    <cellStyle name="40% - Акцент4 2" xfId="30" xr:uid="{00000000-0005-0000-0000-00001E000000}"/>
    <cellStyle name="40% - Акцент4 2 2" xfId="123" xr:uid="{00000000-0005-0000-0000-00001F000000}"/>
    <cellStyle name="40% - Акцент5 2" xfId="31" xr:uid="{00000000-0005-0000-0000-000020000000}"/>
    <cellStyle name="40% - Акцент5 2 2" xfId="124" xr:uid="{00000000-0005-0000-0000-000021000000}"/>
    <cellStyle name="40% - Акцент6 2" xfId="32" xr:uid="{00000000-0005-0000-0000-000022000000}"/>
    <cellStyle name="40% - Акцент6 2 2" xfId="125" xr:uid="{00000000-0005-0000-0000-000023000000}"/>
    <cellStyle name="40% - 强调文字颜色 5 9 6" xfId="7" xr:uid="{00000000-0005-0000-0000-000024000000}"/>
    <cellStyle name="40% - 强调文字颜色 5 9 6 2" xfId="1573" xr:uid="{00000000-0005-0000-0000-000025000000}"/>
    <cellStyle name="40% - 强调文字颜色 5 9 6 3" xfId="1572" xr:uid="{00000000-0005-0000-0000-000026000000}"/>
    <cellStyle name="60% - Accent1" xfId="76" xr:uid="{00000000-0005-0000-0000-000027000000}"/>
    <cellStyle name="60% - Accent1 2 2 4 2" xfId="8023" xr:uid="{5A71818F-AD18-449F-ABF0-A2376AAEA3BB}"/>
    <cellStyle name="60% - Accent2" xfId="77" xr:uid="{00000000-0005-0000-0000-000028000000}"/>
    <cellStyle name="60% - Accent3" xfId="78" xr:uid="{00000000-0005-0000-0000-000029000000}"/>
    <cellStyle name="60% - Accent4" xfId="79" xr:uid="{00000000-0005-0000-0000-00002A000000}"/>
    <cellStyle name="60% - Accent5" xfId="80" xr:uid="{00000000-0005-0000-0000-00002B000000}"/>
    <cellStyle name="60% - Accent6" xfId="81" xr:uid="{00000000-0005-0000-0000-00002C000000}"/>
    <cellStyle name="60% - Énfasis1" xfId="7981" xr:uid="{7AE74DC8-7E1A-45E6-AB5C-8D5DC28E478B}"/>
    <cellStyle name="60% - Énfasis2" xfId="7982" xr:uid="{E20D824D-FFBA-4D21-BD5E-0F26844A87E8}"/>
    <cellStyle name="60% - Énfasis3" xfId="7983" xr:uid="{006F505D-5C59-4540-9FBD-CA78C71EC8BF}"/>
    <cellStyle name="60% - Énfasis4" xfId="7984" xr:uid="{1D82B60F-57D9-45EC-AD01-3A4F5CAB5296}"/>
    <cellStyle name="60% - Énfasis5" xfId="7985" xr:uid="{B1962E14-79B2-4253-8E9B-7FD282E79BA1}"/>
    <cellStyle name="60% - Énfasis6" xfId="7986" xr:uid="{FF9FC080-C62D-4A51-94B7-85D1F0366225}"/>
    <cellStyle name="60% - Акцент1 2" xfId="33" xr:uid="{00000000-0005-0000-0000-00002D000000}"/>
    <cellStyle name="60% - Акцент1 2 2" xfId="129" xr:uid="{00000000-0005-0000-0000-00002E000000}"/>
    <cellStyle name="60% - Акцент2 2" xfId="34" xr:uid="{00000000-0005-0000-0000-00002F000000}"/>
    <cellStyle name="60% - Акцент2 2 2" xfId="130" xr:uid="{00000000-0005-0000-0000-000030000000}"/>
    <cellStyle name="60% - Акцент3 2" xfId="35" xr:uid="{00000000-0005-0000-0000-000031000000}"/>
    <cellStyle name="60% - Акцент3 2 2" xfId="131" xr:uid="{00000000-0005-0000-0000-000032000000}"/>
    <cellStyle name="60% - Акцент4 2" xfId="36" xr:uid="{00000000-0005-0000-0000-000033000000}"/>
    <cellStyle name="60% - Акцент4 2 2" xfId="132" xr:uid="{00000000-0005-0000-0000-000034000000}"/>
    <cellStyle name="60% - Акцент5 2" xfId="37" xr:uid="{00000000-0005-0000-0000-000035000000}"/>
    <cellStyle name="60% - Акцент5 2 2" xfId="133" xr:uid="{00000000-0005-0000-0000-000036000000}"/>
    <cellStyle name="60% - Акцент6 2" xfId="38" xr:uid="{00000000-0005-0000-0000-000037000000}"/>
    <cellStyle name="60% - Акцент6 2 2" xfId="134" xr:uid="{00000000-0005-0000-0000-000038000000}"/>
    <cellStyle name="Accent1" xfId="82" xr:uid="{00000000-0005-0000-0000-000039000000}"/>
    <cellStyle name="Accent2" xfId="83" xr:uid="{00000000-0005-0000-0000-00003A000000}"/>
    <cellStyle name="Accent3" xfId="84" xr:uid="{00000000-0005-0000-0000-00003B000000}"/>
    <cellStyle name="Accent4" xfId="85" xr:uid="{00000000-0005-0000-0000-00003C000000}"/>
    <cellStyle name="Accent5" xfId="86" xr:uid="{00000000-0005-0000-0000-00003D000000}"/>
    <cellStyle name="Accent6" xfId="87" xr:uid="{00000000-0005-0000-0000-00003E000000}"/>
    <cellStyle name="Bad" xfId="88" xr:uid="{00000000-0005-0000-0000-00003F000000}"/>
    <cellStyle name="Buena" xfId="7987" xr:uid="{DAF04B8B-B072-46A6-AAA2-74564D1402AC}"/>
    <cellStyle name="Calculation" xfId="89" xr:uid="{00000000-0005-0000-0000-000040000000}"/>
    <cellStyle name="Calculation 10" xfId="2878" xr:uid="{00000000-0005-0000-0000-000041000000}"/>
    <cellStyle name="Calculation 10 2" xfId="6772" xr:uid="{00000000-0005-0000-0000-000042000000}"/>
    <cellStyle name="Calculation 10 3" xfId="10781" xr:uid="{1D0BFC4F-C462-46D7-A631-2DC7639587FA}"/>
    <cellStyle name="Calculation 11" xfId="4056" xr:uid="{00000000-0005-0000-0000-000043000000}"/>
    <cellStyle name="Calculation 12" xfId="8065" xr:uid="{12C12E99-5AEE-4654-B194-0ACCF321DAF0}"/>
    <cellStyle name="Calculation 13" xfId="11956" xr:uid="{69821394-D970-422C-ADC6-A42956EFD9E2}"/>
    <cellStyle name="Calculation 14" xfId="13392" xr:uid="{C2159012-9FC4-4BC3-9540-7FD51E5424CC}"/>
    <cellStyle name="Calculation 2" xfId="112" xr:uid="{00000000-0005-0000-0000-000044000000}"/>
    <cellStyle name="Calculation 2 10" xfId="4066" xr:uid="{00000000-0005-0000-0000-000045000000}"/>
    <cellStyle name="Calculation 2 11" xfId="8075" xr:uid="{36D99CAB-A30E-4E0F-A62B-D3D5C27BA65C}"/>
    <cellStyle name="Calculation 2 12" xfId="11966" xr:uid="{FDF3CDFF-FC14-44B8-8C5A-7695EFF3D976}"/>
    <cellStyle name="Calculation 2 13" xfId="13402" xr:uid="{D09CBACF-7D4B-43B5-9663-3345B810683A}"/>
    <cellStyle name="Calculation 2 2" xfId="170" xr:uid="{00000000-0005-0000-0000-000046000000}"/>
    <cellStyle name="Calculation 2 2 10" xfId="8095" xr:uid="{12A0430E-65FF-4AD6-B95C-4C2028FE9ECE}"/>
    <cellStyle name="Calculation 2 2 11" xfId="11986" xr:uid="{928FDDC0-0C23-4E47-943C-D93B8C6F2DFD}"/>
    <cellStyle name="Calculation 2 2 12" xfId="13422" xr:uid="{E404DD2B-6555-46C6-840C-38DF396EB579}"/>
    <cellStyle name="Calculation 2 2 2" xfId="271" xr:uid="{00000000-0005-0000-0000-000047000000}"/>
    <cellStyle name="Calculation 2 2 2 10" xfId="13520" xr:uid="{6DCAD4BB-A6DE-4D52-9D0E-7F4E022EC586}"/>
    <cellStyle name="Calculation 2 2 2 2" xfId="427" xr:uid="{00000000-0005-0000-0000-000048000000}"/>
    <cellStyle name="Calculation 2 2 2 2 2" xfId="757" xr:uid="{00000000-0005-0000-0000-000049000000}"/>
    <cellStyle name="Calculation 2 2 2 2 2 2" xfId="1538" xr:uid="{00000000-0005-0000-0000-00004A000000}"/>
    <cellStyle name="Calculation 2 2 2 2 2 2 2" xfId="1580" xr:uid="{00000000-0005-0000-0000-00004B000000}"/>
    <cellStyle name="Calculation 2 2 2 2 2 2 2 2" xfId="5479" xr:uid="{00000000-0005-0000-0000-00004C000000}"/>
    <cellStyle name="Calculation 2 2 2 2 2 2 2 3" xfId="9488" xr:uid="{584818A4-3B0B-431B-835B-98A7E48655F1}"/>
    <cellStyle name="Calculation 2 2 2 2 2 2 3" xfId="3892" xr:uid="{00000000-0005-0000-0000-00004D000000}"/>
    <cellStyle name="Calculation 2 2 2 2 2 2 3 2" xfId="7786" xr:uid="{00000000-0005-0000-0000-00004E000000}"/>
    <cellStyle name="Calculation 2 2 2 2 2 2 3 3" xfId="11795" xr:uid="{60BCBD45-7D38-4CF0-BBF8-6EF795D6A4AF}"/>
    <cellStyle name="Calculation 2 2 2 2 2 2 4" xfId="5439" xr:uid="{00000000-0005-0000-0000-00004F000000}"/>
    <cellStyle name="Calculation 2 2 2 2 2 2 5" xfId="9448" xr:uid="{45D80630-A104-45FF-BFAE-BECF6BFB7EB4}"/>
    <cellStyle name="Calculation 2 2 2 2 2 2 6" xfId="13339" xr:uid="{0F19C5AA-0601-4BF9-A12B-F291D912788E}"/>
    <cellStyle name="Calculation 2 2 2 2 2 3" xfId="1579" xr:uid="{00000000-0005-0000-0000-000050000000}"/>
    <cellStyle name="Calculation 2 2 2 2 2 3 2" xfId="5478" xr:uid="{00000000-0005-0000-0000-000051000000}"/>
    <cellStyle name="Calculation 2 2 2 2 2 3 3" xfId="9487" xr:uid="{947BE0CC-368E-4D7D-ACBC-C43CE0216568}"/>
    <cellStyle name="Calculation 2 2 2 2 2 4" xfId="3483" xr:uid="{00000000-0005-0000-0000-000052000000}"/>
    <cellStyle name="Calculation 2 2 2 2 2 4 2" xfId="7377" xr:uid="{00000000-0005-0000-0000-000053000000}"/>
    <cellStyle name="Calculation 2 2 2 2 2 4 3" xfId="11386" xr:uid="{9C958A0A-1359-44F6-BA97-01BCBC513057}"/>
    <cellStyle name="Calculation 2 2 2 2 2 5" xfId="4661" xr:uid="{00000000-0005-0000-0000-000054000000}"/>
    <cellStyle name="Calculation 2 2 2 2 2 6" xfId="8670" xr:uid="{C06ADE16-0B50-4FF4-A453-0BB372D26792}"/>
    <cellStyle name="Calculation 2 2 2 2 2 7" xfId="12561" xr:uid="{F0EDD089-0C8E-4D30-B279-ED8661BFD29A}"/>
    <cellStyle name="Calculation 2 2 2 2 3" xfId="1217" xr:uid="{00000000-0005-0000-0000-000055000000}"/>
    <cellStyle name="Calculation 2 2 2 2 3 2" xfId="1581" xr:uid="{00000000-0005-0000-0000-000056000000}"/>
    <cellStyle name="Calculation 2 2 2 2 3 2 2" xfId="5480" xr:uid="{00000000-0005-0000-0000-000057000000}"/>
    <cellStyle name="Calculation 2 2 2 2 3 2 3" xfId="9489" xr:uid="{9C4B8C70-7D4B-4A23-8569-3FC9495EA11B}"/>
    <cellStyle name="Calculation 2 2 2 2 3 3" xfId="3694" xr:uid="{00000000-0005-0000-0000-000058000000}"/>
    <cellStyle name="Calculation 2 2 2 2 3 3 2" xfId="7588" xr:uid="{00000000-0005-0000-0000-000059000000}"/>
    <cellStyle name="Calculation 2 2 2 2 3 3 3" xfId="11597" xr:uid="{6963AE9E-7742-44FE-B3DA-016A317820D8}"/>
    <cellStyle name="Calculation 2 2 2 2 3 4" xfId="5118" xr:uid="{00000000-0005-0000-0000-00005A000000}"/>
    <cellStyle name="Calculation 2 2 2 2 3 5" xfId="9127" xr:uid="{0DCA09BE-9A82-42D3-8BF7-16983643EEA5}"/>
    <cellStyle name="Calculation 2 2 2 2 3 6" xfId="13018" xr:uid="{1DB69669-8C6D-4DB1-85D5-C86C74062FB1}"/>
    <cellStyle name="Calculation 2 2 2 2 4" xfId="1578" xr:uid="{00000000-0005-0000-0000-00005B000000}"/>
    <cellStyle name="Calculation 2 2 2 2 4 2" xfId="5477" xr:uid="{00000000-0005-0000-0000-00005C000000}"/>
    <cellStyle name="Calculation 2 2 2 2 4 3" xfId="9486" xr:uid="{A84AB2F6-4AE9-48A6-A1A7-948749CCA57C}"/>
    <cellStyle name="Calculation 2 2 2 2 5" xfId="3162" xr:uid="{00000000-0005-0000-0000-00005D000000}"/>
    <cellStyle name="Calculation 2 2 2 2 5 2" xfId="7056" xr:uid="{00000000-0005-0000-0000-00005E000000}"/>
    <cellStyle name="Calculation 2 2 2 2 5 3" xfId="11065" xr:uid="{F1B91C74-CD82-4A85-BD77-C3ED0B2862F2}"/>
    <cellStyle name="Calculation 2 2 2 2 6" xfId="4340" xr:uid="{00000000-0005-0000-0000-00005F000000}"/>
    <cellStyle name="Calculation 2 2 2 2 7" xfId="8349" xr:uid="{D40E12EF-1B69-4E9F-B1B8-193B10868968}"/>
    <cellStyle name="Calculation 2 2 2 2 8" xfId="12240" xr:uid="{9DABDB80-E1B0-439B-9C7C-EA66B4E40FCE}"/>
    <cellStyle name="Calculation 2 2 2 3" xfId="601" xr:uid="{00000000-0005-0000-0000-000060000000}"/>
    <cellStyle name="Calculation 2 2 2 3 2" xfId="1382" xr:uid="{00000000-0005-0000-0000-000061000000}"/>
    <cellStyle name="Calculation 2 2 2 3 2 2" xfId="1583" xr:uid="{00000000-0005-0000-0000-000062000000}"/>
    <cellStyle name="Calculation 2 2 2 3 2 2 2" xfId="5482" xr:uid="{00000000-0005-0000-0000-000063000000}"/>
    <cellStyle name="Calculation 2 2 2 3 2 2 3" xfId="9491" xr:uid="{E14F70C7-2E74-47A0-A415-1CB0EF58C992}"/>
    <cellStyle name="Calculation 2 2 2 3 2 3" xfId="3793" xr:uid="{00000000-0005-0000-0000-000064000000}"/>
    <cellStyle name="Calculation 2 2 2 3 2 3 2" xfId="7687" xr:uid="{00000000-0005-0000-0000-000065000000}"/>
    <cellStyle name="Calculation 2 2 2 3 2 3 3" xfId="11696" xr:uid="{7CB0A284-3EAE-4827-A683-BB1A2048882B}"/>
    <cellStyle name="Calculation 2 2 2 3 2 4" xfId="5283" xr:uid="{00000000-0005-0000-0000-000066000000}"/>
    <cellStyle name="Calculation 2 2 2 3 2 5" xfId="9292" xr:uid="{226D82FC-2848-4FDD-B0A3-B80397D7D788}"/>
    <cellStyle name="Calculation 2 2 2 3 2 6" xfId="13183" xr:uid="{AA18DFD0-C7C4-406D-ACA1-99684697FF9D}"/>
    <cellStyle name="Calculation 2 2 2 3 3" xfId="1582" xr:uid="{00000000-0005-0000-0000-000067000000}"/>
    <cellStyle name="Calculation 2 2 2 3 3 2" xfId="5481" xr:uid="{00000000-0005-0000-0000-000068000000}"/>
    <cellStyle name="Calculation 2 2 2 3 3 3" xfId="9490" xr:uid="{8975CB74-2724-4C54-98D3-0660E5C4CD0B}"/>
    <cellStyle name="Calculation 2 2 2 3 4" xfId="3327" xr:uid="{00000000-0005-0000-0000-000069000000}"/>
    <cellStyle name="Calculation 2 2 2 3 4 2" xfId="7221" xr:uid="{00000000-0005-0000-0000-00006A000000}"/>
    <cellStyle name="Calculation 2 2 2 3 4 3" xfId="11230" xr:uid="{F4B0297C-5EA2-440E-9E92-9988FA66F9AA}"/>
    <cellStyle name="Calculation 2 2 2 3 5" xfId="4505" xr:uid="{00000000-0005-0000-0000-00006B000000}"/>
    <cellStyle name="Calculation 2 2 2 3 6" xfId="8514" xr:uid="{FBC96C50-38D1-403C-B644-EE4F21C95E61}"/>
    <cellStyle name="Calculation 2 2 2 3 7" xfId="12405" xr:uid="{E916782A-40B6-4099-BEF6-4DFB447AB810}"/>
    <cellStyle name="Calculation 2 2 2 4" xfId="1061" xr:uid="{00000000-0005-0000-0000-00006C000000}"/>
    <cellStyle name="Calculation 2 2 2 4 2" xfId="1584" xr:uid="{00000000-0005-0000-0000-00006D000000}"/>
    <cellStyle name="Calculation 2 2 2 4 2 2" xfId="5483" xr:uid="{00000000-0005-0000-0000-00006E000000}"/>
    <cellStyle name="Calculation 2 2 2 4 2 3" xfId="9492" xr:uid="{B1AD1AF2-72A4-4C00-B159-31FDDF2AACFE}"/>
    <cellStyle name="Calculation 2 2 2 4 3" xfId="3595" xr:uid="{00000000-0005-0000-0000-00006F000000}"/>
    <cellStyle name="Calculation 2 2 2 4 3 2" xfId="7489" xr:uid="{00000000-0005-0000-0000-000070000000}"/>
    <cellStyle name="Calculation 2 2 2 4 3 3" xfId="11498" xr:uid="{51D2CD1F-8439-436B-95A5-86294751BBC9}"/>
    <cellStyle name="Calculation 2 2 2 4 4" xfId="4962" xr:uid="{00000000-0005-0000-0000-000071000000}"/>
    <cellStyle name="Calculation 2 2 2 4 5" xfId="8971" xr:uid="{23103C6E-BCEC-4C6E-992E-8038641542D5}"/>
    <cellStyle name="Calculation 2 2 2 4 6" xfId="12862" xr:uid="{B5F85A34-1956-4F18-8246-6A61B3DE5EC0}"/>
    <cellStyle name="Calculation 2 2 2 5" xfId="1577" xr:uid="{00000000-0005-0000-0000-000072000000}"/>
    <cellStyle name="Calculation 2 2 2 5 2" xfId="5476" xr:uid="{00000000-0005-0000-0000-000073000000}"/>
    <cellStyle name="Calculation 2 2 2 5 3" xfId="9485" xr:uid="{A4FA7F21-9BE8-4E40-ACB6-AE963491EEAA}"/>
    <cellStyle name="Calculation 2 2 2 6" xfId="3006" xr:uid="{00000000-0005-0000-0000-000074000000}"/>
    <cellStyle name="Calculation 2 2 2 6 2" xfId="6900" xr:uid="{00000000-0005-0000-0000-000075000000}"/>
    <cellStyle name="Calculation 2 2 2 6 3" xfId="10909" xr:uid="{9BDBBDB5-92E8-4102-9F32-494C3FEDCD72}"/>
    <cellStyle name="Calculation 2 2 2 7" xfId="4184" xr:uid="{00000000-0005-0000-0000-000076000000}"/>
    <cellStyle name="Calculation 2 2 2 8" xfId="8193" xr:uid="{1DB2C72D-EDBA-4AB5-90D2-173E3DF2DE4D}"/>
    <cellStyle name="Calculation 2 2 2 9" xfId="12084" xr:uid="{A300FEB3-BB4F-477C-A91C-F063696ED5A4}"/>
    <cellStyle name="Calculation 2 2 3" xfId="204" xr:uid="{00000000-0005-0000-0000-000077000000}"/>
    <cellStyle name="Calculation 2 2 3 10" xfId="13453" xr:uid="{83481964-06E1-477C-906E-E6DCA4124785}"/>
    <cellStyle name="Calculation 2 2 3 2" xfId="368" xr:uid="{00000000-0005-0000-0000-000078000000}"/>
    <cellStyle name="Calculation 2 2 3 2 2" xfId="698" xr:uid="{00000000-0005-0000-0000-000079000000}"/>
    <cellStyle name="Calculation 2 2 3 2 2 2" xfId="1479" xr:uid="{00000000-0005-0000-0000-00007A000000}"/>
    <cellStyle name="Calculation 2 2 3 2 2 2 2" xfId="1588" xr:uid="{00000000-0005-0000-0000-00007B000000}"/>
    <cellStyle name="Calculation 2 2 3 2 2 2 2 2" xfId="5487" xr:uid="{00000000-0005-0000-0000-00007C000000}"/>
    <cellStyle name="Calculation 2 2 3 2 2 2 2 3" xfId="9496" xr:uid="{E8C26B93-CDDC-4DAA-8D21-149F8A3E45C3}"/>
    <cellStyle name="Calculation 2 2 3 2 2 2 3" xfId="3852" xr:uid="{00000000-0005-0000-0000-00007D000000}"/>
    <cellStyle name="Calculation 2 2 3 2 2 2 3 2" xfId="7746" xr:uid="{00000000-0005-0000-0000-00007E000000}"/>
    <cellStyle name="Calculation 2 2 3 2 2 2 3 3" xfId="11755" xr:uid="{54BADCBE-BDD7-4222-A2C6-43B60083DAD5}"/>
    <cellStyle name="Calculation 2 2 3 2 2 2 4" xfId="5380" xr:uid="{00000000-0005-0000-0000-00007F000000}"/>
    <cellStyle name="Calculation 2 2 3 2 2 2 5" xfId="9389" xr:uid="{98156E6F-CC02-4590-B918-8B2A2D1C6167}"/>
    <cellStyle name="Calculation 2 2 3 2 2 2 6" xfId="13280" xr:uid="{86B4C278-0AFC-4188-91D4-BA4626D83152}"/>
    <cellStyle name="Calculation 2 2 3 2 2 3" xfId="1587" xr:uid="{00000000-0005-0000-0000-000080000000}"/>
    <cellStyle name="Calculation 2 2 3 2 2 3 2" xfId="5486" xr:uid="{00000000-0005-0000-0000-000081000000}"/>
    <cellStyle name="Calculation 2 2 3 2 2 3 3" xfId="9495" xr:uid="{CEB9317D-E261-46EE-9362-6AB8BC685081}"/>
    <cellStyle name="Calculation 2 2 3 2 2 4" xfId="3424" xr:uid="{00000000-0005-0000-0000-000082000000}"/>
    <cellStyle name="Calculation 2 2 3 2 2 4 2" xfId="7318" xr:uid="{00000000-0005-0000-0000-000083000000}"/>
    <cellStyle name="Calculation 2 2 3 2 2 4 3" xfId="11327" xr:uid="{BEFE17D5-1625-43B1-89D7-035F88139DF5}"/>
    <cellStyle name="Calculation 2 2 3 2 2 5" xfId="4602" xr:uid="{00000000-0005-0000-0000-000084000000}"/>
    <cellStyle name="Calculation 2 2 3 2 2 6" xfId="8611" xr:uid="{FADE11CB-68E2-4C9F-8160-D008E281D7AE}"/>
    <cellStyle name="Calculation 2 2 3 2 2 7" xfId="12502" xr:uid="{26E3A2CE-0E62-4F7C-98CD-3A5DB884EEA5}"/>
    <cellStyle name="Calculation 2 2 3 2 3" xfId="1158" xr:uid="{00000000-0005-0000-0000-000085000000}"/>
    <cellStyle name="Calculation 2 2 3 2 3 2" xfId="1589" xr:uid="{00000000-0005-0000-0000-000086000000}"/>
    <cellStyle name="Calculation 2 2 3 2 3 2 2" xfId="5488" xr:uid="{00000000-0005-0000-0000-000087000000}"/>
    <cellStyle name="Calculation 2 2 3 2 3 2 3" xfId="9497" xr:uid="{DE4A3C1F-F4BA-4ECD-B0E7-E2284DDDDC89}"/>
    <cellStyle name="Calculation 2 2 3 2 3 3" xfId="3654" xr:uid="{00000000-0005-0000-0000-000088000000}"/>
    <cellStyle name="Calculation 2 2 3 2 3 3 2" xfId="7548" xr:uid="{00000000-0005-0000-0000-000089000000}"/>
    <cellStyle name="Calculation 2 2 3 2 3 3 3" xfId="11557" xr:uid="{75449ADA-7DBD-4D97-8DC2-8D61CEE49246}"/>
    <cellStyle name="Calculation 2 2 3 2 3 4" xfId="5059" xr:uid="{00000000-0005-0000-0000-00008A000000}"/>
    <cellStyle name="Calculation 2 2 3 2 3 5" xfId="9068" xr:uid="{D3110DF6-B4D5-4BDC-A85F-473A6DE89C1E}"/>
    <cellStyle name="Calculation 2 2 3 2 3 6" xfId="12959" xr:uid="{12386C9A-C607-49B9-A988-1C02BF5EFE28}"/>
    <cellStyle name="Calculation 2 2 3 2 4" xfId="1586" xr:uid="{00000000-0005-0000-0000-00008B000000}"/>
    <cellStyle name="Calculation 2 2 3 2 4 2" xfId="5485" xr:uid="{00000000-0005-0000-0000-00008C000000}"/>
    <cellStyle name="Calculation 2 2 3 2 4 3" xfId="9494" xr:uid="{D7507898-1311-406D-A64E-D7B6FE077286}"/>
    <cellStyle name="Calculation 2 2 3 2 5" xfId="3103" xr:uid="{00000000-0005-0000-0000-00008D000000}"/>
    <cellStyle name="Calculation 2 2 3 2 5 2" xfId="6997" xr:uid="{00000000-0005-0000-0000-00008E000000}"/>
    <cellStyle name="Calculation 2 2 3 2 5 3" xfId="11006" xr:uid="{18C40D15-2985-4600-B9E4-F45EC6133E05}"/>
    <cellStyle name="Calculation 2 2 3 2 6" xfId="4281" xr:uid="{00000000-0005-0000-0000-00008F000000}"/>
    <cellStyle name="Calculation 2 2 3 2 7" xfId="8290" xr:uid="{E3BB955D-F577-4675-997B-4614DFAE6666}"/>
    <cellStyle name="Calculation 2 2 3 2 8" xfId="12181" xr:uid="{487218D3-57F6-420B-81AC-F9B13B676BF0}"/>
    <cellStyle name="Calculation 2 2 3 3" xfId="534" xr:uid="{00000000-0005-0000-0000-000090000000}"/>
    <cellStyle name="Calculation 2 2 3 3 2" xfId="1315" xr:uid="{00000000-0005-0000-0000-000091000000}"/>
    <cellStyle name="Calculation 2 2 3 3 2 2" xfId="1591" xr:uid="{00000000-0005-0000-0000-000092000000}"/>
    <cellStyle name="Calculation 2 2 3 3 2 2 2" xfId="5490" xr:uid="{00000000-0005-0000-0000-000093000000}"/>
    <cellStyle name="Calculation 2 2 3 3 2 2 3" xfId="9499" xr:uid="{FB6E3E46-9BE5-487F-A974-B97E3B08734C}"/>
    <cellStyle name="Calculation 2 2 3 3 2 3" xfId="3753" xr:uid="{00000000-0005-0000-0000-000094000000}"/>
    <cellStyle name="Calculation 2 2 3 3 2 3 2" xfId="7647" xr:uid="{00000000-0005-0000-0000-000095000000}"/>
    <cellStyle name="Calculation 2 2 3 3 2 3 3" xfId="11656" xr:uid="{50AF6AC6-967D-488A-B4D0-F2F15B128026}"/>
    <cellStyle name="Calculation 2 2 3 3 2 4" xfId="5216" xr:uid="{00000000-0005-0000-0000-000096000000}"/>
    <cellStyle name="Calculation 2 2 3 3 2 5" xfId="9225" xr:uid="{1FD29DC6-2479-45E8-B8F6-0A5BA16F2D91}"/>
    <cellStyle name="Calculation 2 2 3 3 2 6" xfId="13116" xr:uid="{2F97E76A-E543-480A-A1D0-D52E818A7F5D}"/>
    <cellStyle name="Calculation 2 2 3 3 3" xfId="1590" xr:uid="{00000000-0005-0000-0000-000097000000}"/>
    <cellStyle name="Calculation 2 2 3 3 3 2" xfId="5489" xr:uid="{00000000-0005-0000-0000-000098000000}"/>
    <cellStyle name="Calculation 2 2 3 3 3 3" xfId="9498" xr:uid="{7DA32EF9-A3B2-4B13-836B-0E10EA0378A7}"/>
    <cellStyle name="Calculation 2 2 3 3 4" xfId="3260" xr:uid="{00000000-0005-0000-0000-000099000000}"/>
    <cellStyle name="Calculation 2 2 3 3 4 2" xfId="7154" xr:uid="{00000000-0005-0000-0000-00009A000000}"/>
    <cellStyle name="Calculation 2 2 3 3 4 3" xfId="11163" xr:uid="{0AF5DD8B-7B8B-4BDB-949B-4CA50FC33630}"/>
    <cellStyle name="Calculation 2 2 3 3 5" xfId="4438" xr:uid="{00000000-0005-0000-0000-00009B000000}"/>
    <cellStyle name="Calculation 2 2 3 3 6" xfId="8447" xr:uid="{E5FBDEE8-DD2F-4F5C-B4C8-FD5C8AC0575E}"/>
    <cellStyle name="Calculation 2 2 3 3 7" xfId="12338" xr:uid="{AA903E20-0F64-453F-8AE3-6CDE0CAF2FE0}"/>
    <cellStyle name="Calculation 2 2 3 4" xfId="994" xr:uid="{00000000-0005-0000-0000-00009C000000}"/>
    <cellStyle name="Calculation 2 2 3 4 2" xfId="1592" xr:uid="{00000000-0005-0000-0000-00009D000000}"/>
    <cellStyle name="Calculation 2 2 3 4 2 2" xfId="5491" xr:uid="{00000000-0005-0000-0000-00009E000000}"/>
    <cellStyle name="Calculation 2 2 3 4 2 3" xfId="9500" xr:uid="{59DB468A-B95F-444C-AA2F-73591683396B}"/>
    <cellStyle name="Calculation 2 2 3 4 3" xfId="3555" xr:uid="{00000000-0005-0000-0000-00009F000000}"/>
    <cellStyle name="Calculation 2 2 3 4 3 2" xfId="7449" xr:uid="{00000000-0005-0000-0000-0000A0000000}"/>
    <cellStyle name="Calculation 2 2 3 4 3 3" xfId="11458" xr:uid="{26CE0F6A-E3FF-4143-BCDB-F15A409144CA}"/>
    <cellStyle name="Calculation 2 2 3 4 4" xfId="4895" xr:uid="{00000000-0005-0000-0000-0000A1000000}"/>
    <cellStyle name="Calculation 2 2 3 4 5" xfId="8904" xr:uid="{BDFD252F-D147-41EB-9F61-918E5613306F}"/>
    <cellStyle name="Calculation 2 2 3 4 6" xfId="12795" xr:uid="{3B997DEF-0222-4ACE-B48D-BF1728D43A78}"/>
    <cellStyle name="Calculation 2 2 3 5" xfId="1585" xr:uid="{00000000-0005-0000-0000-0000A2000000}"/>
    <cellStyle name="Calculation 2 2 3 5 2" xfId="5484" xr:uid="{00000000-0005-0000-0000-0000A3000000}"/>
    <cellStyle name="Calculation 2 2 3 5 3" xfId="9493" xr:uid="{247E11F2-AC5B-4031-9420-F8AACC4C27BA}"/>
    <cellStyle name="Calculation 2 2 3 6" xfId="2939" xr:uid="{00000000-0005-0000-0000-0000A4000000}"/>
    <cellStyle name="Calculation 2 2 3 6 2" xfId="6833" xr:uid="{00000000-0005-0000-0000-0000A5000000}"/>
    <cellStyle name="Calculation 2 2 3 6 3" xfId="10842" xr:uid="{6093A159-3662-4B4B-9A39-547018C08E76}"/>
    <cellStyle name="Calculation 2 2 3 7" xfId="4117" xr:uid="{00000000-0005-0000-0000-0000A6000000}"/>
    <cellStyle name="Calculation 2 2 3 8" xfId="8126" xr:uid="{657F07BC-0950-4560-BAD4-DF34A8D85999}"/>
    <cellStyle name="Calculation 2 2 3 9" xfId="12017" xr:uid="{01324E72-711F-4CC6-BAB5-D632B5BCED65}"/>
    <cellStyle name="Calculation 2 2 4" xfId="338" xr:uid="{00000000-0005-0000-0000-0000A7000000}"/>
    <cellStyle name="Calculation 2 2 4 2" xfId="668" xr:uid="{00000000-0005-0000-0000-0000A8000000}"/>
    <cellStyle name="Calculation 2 2 4 2 2" xfId="1449" xr:uid="{00000000-0005-0000-0000-0000A9000000}"/>
    <cellStyle name="Calculation 2 2 4 2 2 2" xfId="1595" xr:uid="{00000000-0005-0000-0000-0000AA000000}"/>
    <cellStyle name="Calculation 2 2 4 2 2 2 2" xfId="5494" xr:uid="{00000000-0005-0000-0000-0000AB000000}"/>
    <cellStyle name="Calculation 2 2 4 2 2 2 3" xfId="9503" xr:uid="{53C62B8B-0339-41EC-90F9-75565779207D}"/>
    <cellStyle name="Calculation 2 2 4 2 2 3" xfId="3833" xr:uid="{00000000-0005-0000-0000-0000AC000000}"/>
    <cellStyle name="Calculation 2 2 4 2 2 3 2" xfId="7727" xr:uid="{00000000-0005-0000-0000-0000AD000000}"/>
    <cellStyle name="Calculation 2 2 4 2 2 3 3" xfId="11736" xr:uid="{2E420E27-14CB-45A5-A891-800A312BBFCC}"/>
    <cellStyle name="Calculation 2 2 4 2 2 4" xfId="5350" xr:uid="{00000000-0005-0000-0000-0000AE000000}"/>
    <cellStyle name="Calculation 2 2 4 2 2 5" xfId="9359" xr:uid="{FFE7A5FF-D030-450E-92F4-38C96C6AFDB4}"/>
    <cellStyle name="Calculation 2 2 4 2 2 6" xfId="13250" xr:uid="{2EFEE57D-E6EB-4A4D-AFC0-45B7FD7253F8}"/>
    <cellStyle name="Calculation 2 2 4 2 3" xfId="1594" xr:uid="{00000000-0005-0000-0000-0000AF000000}"/>
    <cellStyle name="Calculation 2 2 4 2 3 2" xfId="5493" xr:uid="{00000000-0005-0000-0000-0000B0000000}"/>
    <cellStyle name="Calculation 2 2 4 2 3 3" xfId="9502" xr:uid="{88572453-1B55-4FCA-98A9-719D5BF74103}"/>
    <cellStyle name="Calculation 2 2 4 2 4" xfId="3394" xr:uid="{00000000-0005-0000-0000-0000B1000000}"/>
    <cellStyle name="Calculation 2 2 4 2 4 2" xfId="7288" xr:uid="{00000000-0005-0000-0000-0000B2000000}"/>
    <cellStyle name="Calculation 2 2 4 2 4 3" xfId="11297" xr:uid="{8E711F5D-EDB4-4EA0-87B6-AB89732E821D}"/>
    <cellStyle name="Calculation 2 2 4 2 5" xfId="4572" xr:uid="{00000000-0005-0000-0000-0000B3000000}"/>
    <cellStyle name="Calculation 2 2 4 2 6" xfId="8581" xr:uid="{9A6B10C3-6295-45EC-ACC6-EE4E2BFAE0BD}"/>
    <cellStyle name="Calculation 2 2 4 2 7" xfId="12472" xr:uid="{79682E85-39A8-45EC-9A6F-1C1B8E73D6C8}"/>
    <cellStyle name="Calculation 2 2 4 3" xfId="1128" xr:uid="{00000000-0005-0000-0000-0000B4000000}"/>
    <cellStyle name="Calculation 2 2 4 3 2" xfId="1596" xr:uid="{00000000-0005-0000-0000-0000B5000000}"/>
    <cellStyle name="Calculation 2 2 4 3 2 2" xfId="5495" xr:uid="{00000000-0005-0000-0000-0000B6000000}"/>
    <cellStyle name="Calculation 2 2 4 3 2 3" xfId="9504" xr:uid="{D102AA56-2BED-48B9-A815-E605056589AB}"/>
    <cellStyle name="Calculation 2 2 4 3 3" xfId="3635" xr:uid="{00000000-0005-0000-0000-0000B7000000}"/>
    <cellStyle name="Calculation 2 2 4 3 3 2" xfId="7529" xr:uid="{00000000-0005-0000-0000-0000B8000000}"/>
    <cellStyle name="Calculation 2 2 4 3 3 3" xfId="11538" xr:uid="{B3DA4658-E988-46C5-B1FD-4243A5FE8960}"/>
    <cellStyle name="Calculation 2 2 4 3 4" xfId="5029" xr:uid="{00000000-0005-0000-0000-0000B9000000}"/>
    <cellStyle name="Calculation 2 2 4 3 5" xfId="9038" xr:uid="{619CA274-100F-430C-87C9-D3137832A673}"/>
    <cellStyle name="Calculation 2 2 4 3 6" xfId="12929" xr:uid="{8FDDE151-03E8-4A39-8E8F-2412C7E718DE}"/>
    <cellStyle name="Calculation 2 2 4 4" xfId="1593" xr:uid="{00000000-0005-0000-0000-0000BA000000}"/>
    <cellStyle name="Calculation 2 2 4 4 2" xfId="5492" xr:uid="{00000000-0005-0000-0000-0000BB000000}"/>
    <cellStyle name="Calculation 2 2 4 4 3" xfId="9501" xr:uid="{A6604BE5-3D81-41A0-8D97-4EAAEB42CBAC}"/>
    <cellStyle name="Calculation 2 2 4 5" xfId="3073" xr:uid="{00000000-0005-0000-0000-0000BC000000}"/>
    <cellStyle name="Calculation 2 2 4 5 2" xfId="6967" xr:uid="{00000000-0005-0000-0000-0000BD000000}"/>
    <cellStyle name="Calculation 2 2 4 5 3" xfId="10976" xr:uid="{1C1EBC98-8EDA-41F2-9EC5-E07372479E50}"/>
    <cellStyle name="Calculation 2 2 4 6" xfId="4251" xr:uid="{00000000-0005-0000-0000-0000BE000000}"/>
    <cellStyle name="Calculation 2 2 4 7" xfId="8260" xr:uid="{61EBE3CA-C1E9-4188-AC6C-760CCA5176CA}"/>
    <cellStyle name="Calculation 2 2 4 8" xfId="12151" xr:uid="{04DDB055-7C66-4291-8DE5-F88530496AF9}"/>
    <cellStyle name="Calculation 2 2 5" xfId="503" xr:uid="{00000000-0005-0000-0000-0000BF000000}"/>
    <cellStyle name="Calculation 2 2 5 2" xfId="1284" xr:uid="{00000000-0005-0000-0000-0000C0000000}"/>
    <cellStyle name="Calculation 2 2 5 2 2" xfId="1598" xr:uid="{00000000-0005-0000-0000-0000C1000000}"/>
    <cellStyle name="Calculation 2 2 5 2 2 2" xfId="5497" xr:uid="{00000000-0005-0000-0000-0000C2000000}"/>
    <cellStyle name="Calculation 2 2 5 2 2 3" xfId="9506" xr:uid="{6F379414-F29B-4BFE-9F3E-8359A0F59A04}"/>
    <cellStyle name="Calculation 2 2 5 2 3" xfId="3734" xr:uid="{00000000-0005-0000-0000-0000C3000000}"/>
    <cellStyle name="Calculation 2 2 5 2 3 2" xfId="7628" xr:uid="{00000000-0005-0000-0000-0000C4000000}"/>
    <cellStyle name="Calculation 2 2 5 2 3 3" xfId="11637" xr:uid="{4B3942DC-AD6A-493B-9F7E-48700C5D8DDB}"/>
    <cellStyle name="Calculation 2 2 5 2 4" xfId="5185" xr:uid="{00000000-0005-0000-0000-0000C5000000}"/>
    <cellStyle name="Calculation 2 2 5 2 5" xfId="9194" xr:uid="{4F9A1D8D-CADE-4AC2-9631-D59B3071D563}"/>
    <cellStyle name="Calculation 2 2 5 2 6" xfId="13085" xr:uid="{6BC73BBF-8D38-428F-A108-93D48369C711}"/>
    <cellStyle name="Calculation 2 2 5 3" xfId="1597" xr:uid="{00000000-0005-0000-0000-0000C6000000}"/>
    <cellStyle name="Calculation 2 2 5 3 2" xfId="5496" xr:uid="{00000000-0005-0000-0000-0000C7000000}"/>
    <cellStyle name="Calculation 2 2 5 3 3" xfId="9505" xr:uid="{115ED0D7-D0E1-4029-8E85-3B6779D0B669}"/>
    <cellStyle name="Calculation 2 2 5 4" xfId="3229" xr:uid="{00000000-0005-0000-0000-0000C8000000}"/>
    <cellStyle name="Calculation 2 2 5 4 2" xfId="7123" xr:uid="{00000000-0005-0000-0000-0000C9000000}"/>
    <cellStyle name="Calculation 2 2 5 4 3" xfId="11132" xr:uid="{3C51A34C-E181-4CC3-8097-D5192A057FF3}"/>
    <cellStyle name="Calculation 2 2 5 5" xfId="4407" xr:uid="{00000000-0005-0000-0000-0000CA000000}"/>
    <cellStyle name="Calculation 2 2 5 6" xfId="8416" xr:uid="{78E066B3-2A7C-4CDD-BB7C-6194EB112511}"/>
    <cellStyle name="Calculation 2 2 5 7" xfId="12307" xr:uid="{55E4AB88-163A-4966-B654-8F31C7D84EE6}"/>
    <cellStyle name="Calculation 2 2 6" xfId="963" xr:uid="{00000000-0005-0000-0000-0000CB000000}"/>
    <cellStyle name="Calculation 2 2 6 2" xfId="1599" xr:uid="{00000000-0005-0000-0000-0000CC000000}"/>
    <cellStyle name="Calculation 2 2 6 2 2" xfId="5498" xr:uid="{00000000-0005-0000-0000-0000CD000000}"/>
    <cellStyle name="Calculation 2 2 6 2 3" xfId="9507" xr:uid="{DF2FB6D9-FA13-4BEA-BDF6-CBD738153FC8}"/>
    <cellStyle name="Calculation 2 2 6 3" xfId="3536" xr:uid="{00000000-0005-0000-0000-0000CE000000}"/>
    <cellStyle name="Calculation 2 2 6 3 2" xfId="7430" xr:uid="{00000000-0005-0000-0000-0000CF000000}"/>
    <cellStyle name="Calculation 2 2 6 3 3" xfId="11439" xr:uid="{111A5A8D-026E-4772-86C9-B9FFCC3DABCC}"/>
    <cellStyle name="Calculation 2 2 6 4" xfId="4864" xr:uid="{00000000-0005-0000-0000-0000D0000000}"/>
    <cellStyle name="Calculation 2 2 6 5" xfId="8873" xr:uid="{EEC4A025-599E-4A5A-A615-8C544F622757}"/>
    <cellStyle name="Calculation 2 2 6 6" xfId="12764" xr:uid="{A8FFC8FA-C94C-40CD-B03E-1E03DFC2CDD6}"/>
    <cellStyle name="Calculation 2 2 7" xfId="1576" xr:uid="{00000000-0005-0000-0000-0000D1000000}"/>
    <cellStyle name="Calculation 2 2 7 2" xfId="5475" xr:uid="{00000000-0005-0000-0000-0000D2000000}"/>
    <cellStyle name="Calculation 2 2 7 3" xfId="9484" xr:uid="{DE9D1AAF-D3BE-4FF3-938D-25F7B1C34D5C}"/>
    <cellStyle name="Calculation 2 2 8" xfId="2908" xr:uid="{00000000-0005-0000-0000-0000D3000000}"/>
    <cellStyle name="Calculation 2 2 8 2" xfId="6802" xr:uid="{00000000-0005-0000-0000-0000D4000000}"/>
    <cellStyle name="Calculation 2 2 8 3" xfId="10811" xr:uid="{A824D517-7A64-414D-9CCF-099328AAFC92}"/>
    <cellStyle name="Calculation 2 2 9" xfId="4086" xr:uid="{00000000-0005-0000-0000-0000D5000000}"/>
    <cellStyle name="Calculation 2 3" xfId="238" xr:uid="{00000000-0005-0000-0000-0000D6000000}"/>
    <cellStyle name="Calculation 2 3 10" xfId="13487" xr:uid="{933A322B-1EB7-426D-B4D6-7B458BB7C478}"/>
    <cellStyle name="Calculation 2 3 2" xfId="397" xr:uid="{00000000-0005-0000-0000-0000D7000000}"/>
    <cellStyle name="Calculation 2 3 2 2" xfId="727" xr:uid="{00000000-0005-0000-0000-0000D8000000}"/>
    <cellStyle name="Calculation 2 3 2 2 2" xfId="1508" xr:uid="{00000000-0005-0000-0000-0000D9000000}"/>
    <cellStyle name="Calculation 2 3 2 2 2 2" xfId="1603" xr:uid="{00000000-0005-0000-0000-0000DA000000}"/>
    <cellStyle name="Calculation 2 3 2 2 2 2 2" xfId="5502" xr:uid="{00000000-0005-0000-0000-0000DB000000}"/>
    <cellStyle name="Calculation 2 3 2 2 2 2 3" xfId="9511" xr:uid="{84BBA1BE-A36B-4CB2-A849-65CFCAB6320D}"/>
    <cellStyle name="Calculation 2 3 2 2 2 3" xfId="3873" xr:uid="{00000000-0005-0000-0000-0000DC000000}"/>
    <cellStyle name="Calculation 2 3 2 2 2 3 2" xfId="7767" xr:uid="{00000000-0005-0000-0000-0000DD000000}"/>
    <cellStyle name="Calculation 2 3 2 2 2 3 3" xfId="11776" xr:uid="{7385E21F-DA6A-4115-A66D-1642062019A3}"/>
    <cellStyle name="Calculation 2 3 2 2 2 4" xfId="5409" xr:uid="{00000000-0005-0000-0000-0000DE000000}"/>
    <cellStyle name="Calculation 2 3 2 2 2 5" xfId="9418" xr:uid="{A5F05471-CC41-48DE-997B-CF5765C2293E}"/>
    <cellStyle name="Calculation 2 3 2 2 2 6" xfId="13309" xr:uid="{0F8D052D-7EEB-49AA-AA6B-BE94DB6E7B4C}"/>
    <cellStyle name="Calculation 2 3 2 2 3" xfId="1602" xr:uid="{00000000-0005-0000-0000-0000DF000000}"/>
    <cellStyle name="Calculation 2 3 2 2 3 2" xfId="5501" xr:uid="{00000000-0005-0000-0000-0000E0000000}"/>
    <cellStyle name="Calculation 2 3 2 2 3 3" xfId="9510" xr:uid="{58AB4520-2B1E-4B90-BB43-C3F71C4C9F2A}"/>
    <cellStyle name="Calculation 2 3 2 2 4" xfId="3453" xr:uid="{00000000-0005-0000-0000-0000E1000000}"/>
    <cellStyle name="Calculation 2 3 2 2 4 2" xfId="7347" xr:uid="{00000000-0005-0000-0000-0000E2000000}"/>
    <cellStyle name="Calculation 2 3 2 2 4 3" xfId="11356" xr:uid="{927DEEBC-AB74-4B2F-9C3D-D28F1342DF6A}"/>
    <cellStyle name="Calculation 2 3 2 2 5" xfId="4631" xr:uid="{00000000-0005-0000-0000-0000E3000000}"/>
    <cellStyle name="Calculation 2 3 2 2 6" xfId="8640" xr:uid="{12775DA7-8AE6-42A6-A62A-8066BB2EEBE9}"/>
    <cellStyle name="Calculation 2 3 2 2 7" xfId="12531" xr:uid="{83DE61D7-2177-4275-A5D8-A5E921635DF4}"/>
    <cellStyle name="Calculation 2 3 2 3" xfId="1187" xr:uid="{00000000-0005-0000-0000-0000E4000000}"/>
    <cellStyle name="Calculation 2 3 2 3 2" xfId="1604" xr:uid="{00000000-0005-0000-0000-0000E5000000}"/>
    <cellStyle name="Calculation 2 3 2 3 2 2" xfId="5503" xr:uid="{00000000-0005-0000-0000-0000E6000000}"/>
    <cellStyle name="Calculation 2 3 2 3 2 3" xfId="9512" xr:uid="{75871038-DBC6-4C47-B911-32CD6A4DC5FC}"/>
    <cellStyle name="Calculation 2 3 2 3 3" xfId="3675" xr:uid="{00000000-0005-0000-0000-0000E7000000}"/>
    <cellStyle name="Calculation 2 3 2 3 3 2" xfId="7569" xr:uid="{00000000-0005-0000-0000-0000E8000000}"/>
    <cellStyle name="Calculation 2 3 2 3 3 3" xfId="11578" xr:uid="{F6331641-C6FB-454B-9EFE-3688E93D8307}"/>
    <cellStyle name="Calculation 2 3 2 3 4" xfId="5088" xr:uid="{00000000-0005-0000-0000-0000E9000000}"/>
    <cellStyle name="Calculation 2 3 2 3 5" xfId="9097" xr:uid="{EA61E5EC-B793-4ACF-B38B-9CC275A11B40}"/>
    <cellStyle name="Calculation 2 3 2 3 6" xfId="12988" xr:uid="{9A6BC0DF-1FDD-41F1-8340-04CC7B18A71F}"/>
    <cellStyle name="Calculation 2 3 2 4" xfId="1601" xr:uid="{00000000-0005-0000-0000-0000EA000000}"/>
    <cellStyle name="Calculation 2 3 2 4 2" xfId="5500" xr:uid="{00000000-0005-0000-0000-0000EB000000}"/>
    <cellStyle name="Calculation 2 3 2 4 3" xfId="9509" xr:uid="{634946C9-0D45-4B5E-8A49-C53364D46C4F}"/>
    <cellStyle name="Calculation 2 3 2 5" xfId="3132" xr:uid="{00000000-0005-0000-0000-0000EC000000}"/>
    <cellStyle name="Calculation 2 3 2 5 2" xfId="7026" xr:uid="{00000000-0005-0000-0000-0000ED000000}"/>
    <cellStyle name="Calculation 2 3 2 5 3" xfId="11035" xr:uid="{5CC640C5-1AF8-4952-A57D-33C0E5753BB8}"/>
    <cellStyle name="Calculation 2 3 2 6" xfId="4310" xr:uid="{00000000-0005-0000-0000-0000EE000000}"/>
    <cellStyle name="Calculation 2 3 2 7" xfId="8319" xr:uid="{3AEF2E39-4046-47EA-8E51-0740BD087D45}"/>
    <cellStyle name="Calculation 2 3 2 8" xfId="12210" xr:uid="{487D6407-12C0-40F9-BA32-7069681359C5}"/>
    <cellStyle name="Calculation 2 3 3" xfId="568" xr:uid="{00000000-0005-0000-0000-0000EF000000}"/>
    <cellStyle name="Calculation 2 3 3 2" xfId="1349" xr:uid="{00000000-0005-0000-0000-0000F0000000}"/>
    <cellStyle name="Calculation 2 3 3 2 2" xfId="1606" xr:uid="{00000000-0005-0000-0000-0000F1000000}"/>
    <cellStyle name="Calculation 2 3 3 2 2 2" xfId="5505" xr:uid="{00000000-0005-0000-0000-0000F2000000}"/>
    <cellStyle name="Calculation 2 3 3 2 2 3" xfId="9514" xr:uid="{BE3BB860-C268-4F75-A277-1E59ABAE0067}"/>
    <cellStyle name="Calculation 2 3 3 2 3" xfId="3774" xr:uid="{00000000-0005-0000-0000-0000F3000000}"/>
    <cellStyle name="Calculation 2 3 3 2 3 2" xfId="7668" xr:uid="{00000000-0005-0000-0000-0000F4000000}"/>
    <cellStyle name="Calculation 2 3 3 2 3 3" xfId="11677" xr:uid="{8A2B681B-4842-4C73-949D-BE6B6F0BD45F}"/>
    <cellStyle name="Calculation 2 3 3 2 4" xfId="5250" xr:uid="{00000000-0005-0000-0000-0000F5000000}"/>
    <cellStyle name="Calculation 2 3 3 2 5" xfId="9259" xr:uid="{2186A457-8B49-442D-B631-742FA35A39FD}"/>
    <cellStyle name="Calculation 2 3 3 2 6" xfId="13150" xr:uid="{3DAA7C65-BC71-4A96-89CA-CEA2652FF161}"/>
    <cellStyle name="Calculation 2 3 3 3" xfId="1605" xr:uid="{00000000-0005-0000-0000-0000F6000000}"/>
    <cellStyle name="Calculation 2 3 3 3 2" xfId="5504" xr:uid="{00000000-0005-0000-0000-0000F7000000}"/>
    <cellStyle name="Calculation 2 3 3 3 3" xfId="9513" xr:uid="{7CE93E71-C8AE-4FEB-85F8-268BAB047B22}"/>
    <cellStyle name="Calculation 2 3 3 4" xfId="3294" xr:uid="{00000000-0005-0000-0000-0000F8000000}"/>
    <cellStyle name="Calculation 2 3 3 4 2" xfId="7188" xr:uid="{00000000-0005-0000-0000-0000F9000000}"/>
    <cellStyle name="Calculation 2 3 3 4 3" xfId="11197" xr:uid="{4DA6E73E-3F28-48C3-91DA-AA05E0228CDE}"/>
    <cellStyle name="Calculation 2 3 3 5" xfId="4472" xr:uid="{00000000-0005-0000-0000-0000FA000000}"/>
    <cellStyle name="Calculation 2 3 3 6" xfId="8481" xr:uid="{5D3EB5F2-244F-47B6-952A-36D699817776}"/>
    <cellStyle name="Calculation 2 3 3 7" xfId="12372" xr:uid="{19F0A173-883E-4842-99A8-946AA22D0C61}"/>
    <cellStyle name="Calculation 2 3 4" xfId="1028" xr:uid="{00000000-0005-0000-0000-0000FB000000}"/>
    <cellStyle name="Calculation 2 3 4 2" xfId="1607" xr:uid="{00000000-0005-0000-0000-0000FC000000}"/>
    <cellStyle name="Calculation 2 3 4 2 2" xfId="5506" xr:uid="{00000000-0005-0000-0000-0000FD000000}"/>
    <cellStyle name="Calculation 2 3 4 2 3" xfId="9515" xr:uid="{6A0CC349-24E0-425A-9D10-7074AEFDCCAA}"/>
    <cellStyle name="Calculation 2 3 4 3" xfId="3576" xr:uid="{00000000-0005-0000-0000-0000FE000000}"/>
    <cellStyle name="Calculation 2 3 4 3 2" xfId="7470" xr:uid="{00000000-0005-0000-0000-0000FF000000}"/>
    <cellStyle name="Calculation 2 3 4 3 3" xfId="11479" xr:uid="{90F15980-8B1D-492B-AB6D-09D1DD9BC35D}"/>
    <cellStyle name="Calculation 2 3 4 4" xfId="4929" xr:uid="{00000000-0005-0000-0000-000000010000}"/>
    <cellStyle name="Calculation 2 3 4 5" xfId="8938" xr:uid="{7E9DDA0B-6CBF-4481-8E3B-3EA00B9B0CF8}"/>
    <cellStyle name="Calculation 2 3 4 6" xfId="12829" xr:uid="{8B9EF102-FDA7-43EC-8854-69BE10C9FBBD}"/>
    <cellStyle name="Calculation 2 3 5" xfId="1600" xr:uid="{00000000-0005-0000-0000-000001010000}"/>
    <cellStyle name="Calculation 2 3 5 2" xfId="5499" xr:uid="{00000000-0005-0000-0000-000002010000}"/>
    <cellStyle name="Calculation 2 3 5 3" xfId="9508" xr:uid="{239EAE61-3F6D-48F2-BED8-4B817B19D7D2}"/>
    <cellStyle name="Calculation 2 3 6" xfId="2973" xr:uid="{00000000-0005-0000-0000-000003010000}"/>
    <cellStyle name="Calculation 2 3 6 2" xfId="6867" xr:uid="{00000000-0005-0000-0000-000004010000}"/>
    <cellStyle name="Calculation 2 3 6 3" xfId="10876" xr:uid="{427533CF-DE86-4BC9-8446-D45380E13661}"/>
    <cellStyle name="Calculation 2 3 7" xfId="4151" xr:uid="{00000000-0005-0000-0000-000005010000}"/>
    <cellStyle name="Calculation 2 3 8" xfId="8160" xr:uid="{D0D15011-B466-4053-B50B-FCC13FAC895D}"/>
    <cellStyle name="Calculation 2 3 9" xfId="12051" xr:uid="{FC3538C0-81AA-4D49-ADD5-9B61E2CC4B57}"/>
    <cellStyle name="Calculation 2 4" xfId="210" xr:uid="{00000000-0005-0000-0000-000006010000}"/>
    <cellStyle name="Calculation 2 4 10" xfId="13459" xr:uid="{643E1D5A-0D49-4579-AD7B-E02FADAF78AA}"/>
    <cellStyle name="Calculation 2 4 2" xfId="373" xr:uid="{00000000-0005-0000-0000-000007010000}"/>
    <cellStyle name="Calculation 2 4 2 2" xfId="703" xr:uid="{00000000-0005-0000-0000-000008010000}"/>
    <cellStyle name="Calculation 2 4 2 2 2" xfId="1484" xr:uid="{00000000-0005-0000-0000-000009010000}"/>
    <cellStyle name="Calculation 2 4 2 2 2 2" xfId="1611" xr:uid="{00000000-0005-0000-0000-00000A010000}"/>
    <cellStyle name="Calculation 2 4 2 2 2 2 2" xfId="5510" xr:uid="{00000000-0005-0000-0000-00000B010000}"/>
    <cellStyle name="Calculation 2 4 2 2 2 2 3" xfId="9519" xr:uid="{E5C0FA62-96D3-4402-A5B5-4DC05D0B06A5}"/>
    <cellStyle name="Calculation 2 4 2 2 2 3" xfId="3856" xr:uid="{00000000-0005-0000-0000-00000C010000}"/>
    <cellStyle name="Calculation 2 4 2 2 2 3 2" xfId="7750" xr:uid="{00000000-0005-0000-0000-00000D010000}"/>
    <cellStyle name="Calculation 2 4 2 2 2 3 3" xfId="11759" xr:uid="{7349FB6C-E849-4DF0-AB50-D9C5BFDDF961}"/>
    <cellStyle name="Calculation 2 4 2 2 2 4" xfId="5385" xr:uid="{00000000-0005-0000-0000-00000E010000}"/>
    <cellStyle name="Calculation 2 4 2 2 2 5" xfId="9394" xr:uid="{C52933AC-EDBD-4687-AD29-3FE41F8BBEEC}"/>
    <cellStyle name="Calculation 2 4 2 2 2 6" xfId="13285" xr:uid="{7EC2908B-84C1-446F-9CC8-ADDF7D79C51C}"/>
    <cellStyle name="Calculation 2 4 2 2 3" xfId="1610" xr:uid="{00000000-0005-0000-0000-00000F010000}"/>
    <cellStyle name="Calculation 2 4 2 2 3 2" xfId="5509" xr:uid="{00000000-0005-0000-0000-000010010000}"/>
    <cellStyle name="Calculation 2 4 2 2 3 3" xfId="9518" xr:uid="{EC176572-3D34-47D5-B659-B11FAE7C3D23}"/>
    <cellStyle name="Calculation 2 4 2 2 4" xfId="3429" xr:uid="{00000000-0005-0000-0000-000011010000}"/>
    <cellStyle name="Calculation 2 4 2 2 4 2" xfId="7323" xr:uid="{00000000-0005-0000-0000-000012010000}"/>
    <cellStyle name="Calculation 2 4 2 2 4 3" xfId="11332" xr:uid="{5E3301A8-F918-4E37-975B-4A966AC4F443}"/>
    <cellStyle name="Calculation 2 4 2 2 5" xfId="4607" xr:uid="{00000000-0005-0000-0000-000013010000}"/>
    <cellStyle name="Calculation 2 4 2 2 6" xfId="8616" xr:uid="{054B860F-DCDE-4F50-998B-160B1822B54C}"/>
    <cellStyle name="Calculation 2 4 2 2 7" xfId="12507" xr:uid="{9BC93AFB-0920-43CB-AC0C-DADB8C5A640D}"/>
    <cellStyle name="Calculation 2 4 2 3" xfId="1163" xr:uid="{00000000-0005-0000-0000-000014010000}"/>
    <cellStyle name="Calculation 2 4 2 3 2" xfId="1612" xr:uid="{00000000-0005-0000-0000-000015010000}"/>
    <cellStyle name="Calculation 2 4 2 3 2 2" xfId="5511" xr:uid="{00000000-0005-0000-0000-000016010000}"/>
    <cellStyle name="Calculation 2 4 2 3 2 3" xfId="9520" xr:uid="{FCCB4F98-69DB-4B62-8E2E-1EC89A801320}"/>
    <cellStyle name="Calculation 2 4 2 3 3" xfId="3658" xr:uid="{00000000-0005-0000-0000-000017010000}"/>
    <cellStyle name="Calculation 2 4 2 3 3 2" xfId="7552" xr:uid="{00000000-0005-0000-0000-000018010000}"/>
    <cellStyle name="Calculation 2 4 2 3 3 3" xfId="11561" xr:uid="{1945BFE5-BDF8-4854-B82C-B938673D6DB7}"/>
    <cellStyle name="Calculation 2 4 2 3 4" xfId="5064" xr:uid="{00000000-0005-0000-0000-000019010000}"/>
    <cellStyle name="Calculation 2 4 2 3 5" xfId="9073" xr:uid="{0B10F298-59E6-4765-9314-B3E040AC153B}"/>
    <cellStyle name="Calculation 2 4 2 3 6" xfId="12964" xr:uid="{CFFB9323-477D-40B5-B5C1-30B180E87AE9}"/>
    <cellStyle name="Calculation 2 4 2 4" xfId="1609" xr:uid="{00000000-0005-0000-0000-00001A010000}"/>
    <cellStyle name="Calculation 2 4 2 4 2" xfId="5508" xr:uid="{00000000-0005-0000-0000-00001B010000}"/>
    <cellStyle name="Calculation 2 4 2 4 3" xfId="9517" xr:uid="{82E27B57-5866-42E5-98B3-EA1E5BEC0CF1}"/>
    <cellStyle name="Calculation 2 4 2 5" xfId="3108" xr:uid="{00000000-0005-0000-0000-00001C010000}"/>
    <cellStyle name="Calculation 2 4 2 5 2" xfId="7002" xr:uid="{00000000-0005-0000-0000-00001D010000}"/>
    <cellStyle name="Calculation 2 4 2 5 3" xfId="11011" xr:uid="{0DAC7ECD-DED2-4FA8-A315-00012A3B649E}"/>
    <cellStyle name="Calculation 2 4 2 6" xfId="4286" xr:uid="{00000000-0005-0000-0000-00001E010000}"/>
    <cellStyle name="Calculation 2 4 2 7" xfId="8295" xr:uid="{0F9614E3-D677-49AA-BC42-C7B37546418E}"/>
    <cellStyle name="Calculation 2 4 2 8" xfId="12186" xr:uid="{DA6C681B-847E-4E48-9CEB-F0594823C6C2}"/>
    <cellStyle name="Calculation 2 4 3" xfId="540" xr:uid="{00000000-0005-0000-0000-00001F010000}"/>
    <cellStyle name="Calculation 2 4 3 2" xfId="1321" xr:uid="{00000000-0005-0000-0000-000020010000}"/>
    <cellStyle name="Calculation 2 4 3 2 2" xfId="1614" xr:uid="{00000000-0005-0000-0000-000021010000}"/>
    <cellStyle name="Calculation 2 4 3 2 2 2" xfId="5513" xr:uid="{00000000-0005-0000-0000-000022010000}"/>
    <cellStyle name="Calculation 2 4 3 2 2 3" xfId="9522" xr:uid="{F9957851-202A-4626-986C-E142AB48CCDF}"/>
    <cellStyle name="Calculation 2 4 3 2 3" xfId="3757" xr:uid="{00000000-0005-0000-0000-000023010000}"/>
    <cellStyle name="Calculation 2 4 3 2 3 2" xfId="7651" xr:uid="{00000000-0005-0000-0000-000024010000}"/>
    <cellStyle name="Calculation 2 4 3 2 3 3" xfId="11660" xr:uid="{1C9D3C89-CA7A-4D79-942D-EBD829F86A68}"/>
    <cellStyle name="Calculation 2 4 3 2 4" xfId="5222" xr:uid="{00000000-0005-0000-0000-000025010000}"/>
    <cellStyle name="Calculation 2 4 3 2 5" xfId="9231" xr:uid="{55F4F770-2A13-49EA-BBE0-A84C910F9981}"/>
    <cellStyle name="Calculation 2 4 3 2 6" xfId="13122" xr:uid="{8E5EBC3C-411A-4607-B0DC-E5C5885752CC}"/>
    <cellStyle name="Calculation 2 4 3 3" xfId="1613" xr:uid="{00000000-0005-0000-0000-000026010000}"/>
    <cellStyle name="Calculation 2 4 3 3 2" xfId="5512" xr:uid="{00000000-0005-0000-0000-000027010000}"/>
    <cellStyle name="Calculation 2 4 3 3 3" xfId="9521" xr:uid="{4F76F62A-A010-41A6-A8FA-90AFA223028A}"/>
    <cellStyle name="Calculation 2 4 3 4" xfId="3266" xr:uid="{00000000-0005-0000-0000-000028010000}"/>
    <cellStyle name="Calculation 2 4 3 4 2" xfId="7160" xr:uid="{00000000-0005-0000-0000-000029010000}"/>
    <cellStyle name="Calculation 2 4 3 4 3" xfId="11169" xr:uid="{C844A057-90C7-42A8-B9F3-0DB7D532AB30}"/>
    <cellStyle name="Calculation 2 4 3 5" xfId="4444" xr:uid="{00000000-0005-0000-0000-00002A010000}"/>
    <cellStyle name="Calculation 2 4 3 6" xfId="8453" xr:uid="{0A388F59-BAA7-44BE-B8CC-F1CA54651977}"/>
    <cellStyle name="Calculation 2 4 3 7" xfId="12344" xr:uid="{D70F97FF-14B7-4E27-A63C-E57B5F32E197}"/>
    <cellStyle name="Calculation 2 4 4" xfId="1000" xr:uid="{00000000-0005-0000-0000-00002B010000}"/>
    <cellStyle name="Calculation 2 4 4 2" xfId="1615" xr:uid="{00000000-0005-0000-0000-00002C010000}"/>
    <cellStyle name="Calculation 2 4 4 2 2" xfId="5514" xr:uid="{00000000-0005-0000-0000-00002D010000}"/>
    <cellStyle name="Calculation 2 4 4 2 3" xfId="9523" xr:uid="{63CA99B4-C89B-4B60-8854-679945850ABC}"/>
    <cellStyle name="Calculation 2 4 4 3" xfId="3559" xr:uid="{00000000-0005-0000-0000-00002E010000}"/>
    <cellStyle name="Calculation 2 4 4 3 2" xfId="7453" xr:uid="{00000000-0005-0000-0000-00002F010000}"/>
    <cellStyle name="Calculation 2 4 4 3 3" xfId="11462" xr:uid="{7142AAD4-9A3E-444F-8527-17390722B1A1}"/>
    <cellStyle name="Calculation 2 4 4 4" xfId="4901" xr:uid="{00000000-0005-0000-0000-000030010000}"/>
    <cellStyle name="Calculation 2 4 4 5" xfId="8910" xr:uid="{CE0A8B5C-1635-4EA7-8B6B-3EAA33E67785}"/>
    <cellStyle name="Calculation 2 4 4 6" xfId="12801" xr:uid="{000D87FB-39DF-48DD-85F1-55FA8199269F}"/>
    <cellStyle name="Calculation 2 4 5" xfId="1608" xr:uid="{00000000-0005-0000-0000-000031010000}"/>
    <cellStyle name="Calculation 2 4 5 2" xfId="5507" xr:uid="{00000000-0005-0000-0000-000032010000}"/>
    <cellStyle name="Calculation 2 4 5 3" xfId="9516" xr:uid="{581DCFB0-0AB6-46CE-A913-B9A80680E7CA}"/>
    <cellStyle name="Calculation 2 4 6" xfId="2945" xr:uid="{00000000-0005-0000-0000-000033010000}"/>
    <cellStyle name="Calculation 2 4 6 2" xfId="6839" xr:uid="{00000000-0005-0000-0000-000034010000}"/>
    <cellStyle name="Calculation 2 4 6 3" xfId="10848" xr:uid="{CC75C9B3-3A49-453F-9CD7-EF33B8858451}"/>
    <cellStyle name="Calculation 2 4 7" xfId="4123" xr:uid="{00000000-0005-0000-0000-000035010000}"/>
    <cellStyle name="Calculation 2 4 8" xfId="8132" xr:uid="{1CA9B33F-5D41-42EE-B214-1B99BEB6B9C3}"/>
    <cellStyle name="Calculation 2 4 9" xfId="12023" xr:uid="{D58963F9-9198-4326-B3D5-DFDDEB9B5722}"/>
    <cellStyle name="Calculation 2 5" xfId="318" xr:uid="{00000000-0005-0000-0000-000036010000}"/>
    <cellStyle name="Calculation 2 5 2" xfId="648" xr:uid="{00000000-0005-0000-0000-000037010000}"/>
    <cellStyle name="Calculation 2 5 2 2" xfId="1429" xr:uid="{00000000-0005-0000-0000-000038010000}"/>
    <cellStyle name="Calculation 2 5 2 2 2" xfId="1618" xr:uid="{00000000-0005-0000-0000-000039010000}"/>
    <cellStyle name="Calculation 2 5 2 2 2 2" xfId="5517" xr:uid="{00000000-0005-0000-0000-00003A010000}"/>
    <cellStyle name="Calculation 2 5 2 2 2 3" xfId="9526" xr:uid="{7AD2701C-57FF-4EF2-8DD0-7DBC7FC6DD24}"/>
    <cellStyle name="Calculation 2 5 2 2 3" xfId="3821" xr:uid="{00000000-0005-0000-0000-00003B010000}"/>
    <cellStyle name="Calculation 2 5 2 2 3 2" xfId="7715" xr:uid="{00000000-0005-0000-0000-00003C010000}"/>
    <cellStyle name="Calculation 2 5 2 2 3 3" xfId="11724" xr:uid="{963654BD-A2EC-4B05-A619-8325D508DEA8}"/>
    <cellStyle name="Calculation 2 5 2 2 4" xfId="5330" xr:uid="{00000000-0005-0000-0000-00003D010000}"/>
    <cellStyle name="Calculation 2 5 2 2 5" xfId="9339" xr:uid="{849994E0-5A0B-4731-A4B9-DF324F0B5CAE}"/>
    <cellStyle name="Calculation 2 5 2 2 6" xfId="13230" xr:uid="{553CFDFE-D433-45E9-8B64-181EB73B8F7E}"/>
    <cellStyle name="Calculation 2 5 2 3" xfId="1617" xr:uid="{00000000-0005-0000-0000-00003E010000}"/>
    <cellStyle name="Calculation 2 5 2 3 2" xfId="5516" xr:uid="{00000000-0005-0000-0000-00003F010000}"/>
    <cellStyle name="Calculation 2 5 2 3 3" xfId="9525" xr:uid="{ACE7895E-50C5-4E92-A8A6-8A81A0ABA6CD}"/>
    <cellStyle name="Calculation 2 5 2 4" xfId="3374" xr:uid="{00000000-0005-0000-0000-000040010000}"/>
    <cellStyle name="Calculation 2 5 2 4 2" xfId="7268" xr:uid="{00000000-0005-0000-0000-000041010000}"/>
    <cellStyle name="Calculation 2 5 2 4 3" xfId="11277" xr:uid="{13DD2E02-9E3F-486B-B427-9F8E9FF188C3}"/>
    <cellStyle name="Calculation 2 5 2 5" xfId="4552" xr:uid="{00000000-0005-0000-0000-000042010000}"/>
    <cellStyle name="Calculation 2 5 2 6" xfId="8561" xr:uid="{3F41B40C-0BA8-4D00-B626-40B6813ABC19}"/>
    <cellStyle name="Calculation 2 5 2 7" xfId="12452" xr:uid="{E27B60AE-8170-418C-9133-C4E246AC5623}"/>
    <cellStyle name="Calculation 2 5 3" xfId="1108" xr:uid="{00000000-0005-0000-0000-000043010000}"/>
    <cellStyle name="Calculation 2 5 3 2" xfId="1619" xr:uid="{00000000-0005-0000-0000-000044010000}"/>
    <cellStyle name="Calculation 2 5 3 2 2" xfId="5518" xr:uid="{00000000-0005-0000-0000-000045010000}"/>
    <cellStyle name="Calculation 2 5 3 2 3" xfId="9527" xr:uid="{C8E61394-AEBC-4650-8AD4-F25C39B3E421}"/>
    <cellStyle name="Calculation 2 5 3 3" xfId="3623" xr:uid="{00000000-0005-0000-0000-000046010000}"/>
    <cellStyle name="Calculation 2 5 3 3 2" xfId="7517" xr:uid="{00000000-0005-0000-0000-000047010000}"/>
    <cellStyle name="Calculation 2 5 3 3 3" xfId="11526" xr:uid="{AB03F207-3CBA-416B-B069-860E4C10CA69}"/>
    <cellStyle name="Calculation 2 5 3 4" xfId="5009" xr:uid="{00000000-0005-0000-0000-000048010000}"/>
    <cellStyle name="Calculation 2 5 3 5" xfId="9018" xr:uid="{74A0D399-5B45-4C93-8A82-431A96F130E2}"/>
    <cellStyle name="Calculation 2 5 3 6" xfId="12909" xr:uid="{1AD73112-38D5-450B-BE12-578F3ECE25FF}"/>
    <cellStyle name="Calculation 2 5 4" xfId="1616" xr:uid="{00000000-0005-0000-0000-000049010000}"/>
    <cellStyle name="Calculation 2 5 4 2" xfId="5515" xr:uid="{00000000-0005-0000-0000-00004A010000}"/>
    <cellStyle name="Calculation 2 5 4 3" xfId="9524" xr:uid="{A63EA682-4DBF-48D9-90CB-6CBE99FBD006}"/>
    <cellStyle name="Calculation 2 5 5" xfId="3053" xr:uid="{00000000-0005-0000-0000-00004B010000}"/>
    <cellStyle name="Calculation 2 5 5 2" xfId="6947" xr:uid="{00000000-0005-0000-0000-00004C010000}"/>
    <cellStyle name="Calculation 2 5 5 3" xfId="10956" xr:uid="{45A03D47-E777-4E55-BD85-275D04FB6633}"/>
    <cellStyle name="Calculation 2 5 6" xfId="4231" xr:uid="{00000000-0005-0000-0000-00004D010000}"/>
    <cellStyle name="Calculation 2 5 7" xfId="8240" xr:uid="{E29190F1-1B96-4C35-A2E5-6189BD3FA0E5}"/>
    <cellStyle name="Calculation 2 5 8" xfId="12131" xr:uid="{0E98D704-4011-4272-A1BE-59C732E694D1}"/>
    <cellStyle name="Calculation 2 6" xfId="480" xr:uid="{00000000-0005-0000-0000-00004E010000}"/>
    <cellStyle name="Calculation 2 6 2" xfId="1264" xr:uid="{00000000-0005-0000-0000-00004F010000}"/>
    <cellStyle name="Calculation 2 6 2 2" xfId="1621" xr:uid="{00000000-0005-0000-0000-000050010000}"/>
    <cellStyle name="Calculation 2 6 2 2 2" xfId="5520" xr:uid="{00000000-0005-0000-0000-000051010000}"/>
    <cellStyle name="Calculation 2 6 2 2 3" xfId="9529" xr:uid="{F6375CBB-C36B-4A3B-956A-0DA26824BD00}"/>
    <cellStyle name="Calculation 2 6 2 3" xfId="3722" xr:uid="{00000000-0005-0000-0000-000052010000}"/>
    <cellStyle name="Calculation 2 6 2 3 2" xfId="7616" xr:uid="{00000000-0005-0000-0000-000053010000}"/>
    <cellStyle name="Calculation 2 6 2 3 3" xfId="11625" xr:uid="{7FB37FDD-04AB-43FB-B177-A809FA9B6A6B}"/>
    <cellStyle name="Calculation 2 6 2 4" xfId="5165" xr:uid="{00000000-0005-0000-0000-000054010000}"/>
    <cellStyle name="Calculation 2 6 2 5" xfId="9174" xr:uid="{B7BB786C-F9F5-41CE-AAC0-EDD58F7D4EBB}"/>
    <cellStyle name="Calculation 2 6 2 6" xfId="13065" xr:uid="{B6843BE0-87C0-45AA-A1BF-EE8D3E17A0A0}"/>
    <cellStyle name="Calculation 2 6 3" xfId="1620" xr:uid="{00000000-0005-0000-0000-000055010000}"/>
    <cellStyle name="Calculation 2 6 3 2" xfId="5519" xr:uid="{00000000-0005-0000-0000-000056010000}"/>
    <cellStyle name="Calculation 2 6 3 3" xfId="9528" xr:uid="{4ECC9252-5DE9-4349-8D09-704696B8A77D}"/>
    <cellStyle name="Calculation 2 6 4" xfId="3209" xr:uid="{00000000-0005-0000-0000-000057010000}"/>
    <cellStyle name="Calculation 2 6 4 2" xfId="7103" xr:uid="{00000000-0005-0000-0000-000058010000}"/>
    <cellStyle name="Calculation 2 6 4 3" xfId="11112" xr:uid="{28107A1E-FC8B-4CDF-A6AC-44C3EA3726F0}"/>
    <cellStyle name="Calculation 2 6 5" xfId="4387" xr:uid="{00000000-0005-0000-0000-000059010000}"/>
    <cellStyle name="Calculation 2 6 6" xfId="8396" xr:uid="{7C067EA9-8237-43F9-9535-BEE1696925F2}"/>
    <cellStyle name="Calculation 2 6 7" xfId="12287" xr:uid="{068BF9BF-277F-423B-95E1-D05F7EB550C4}"/>
    <cellStyle name="Calculation 2 7" xfId="943" xr:uid="{00000000-0005-0000-0000-00005A010000}"/>
    <cellStyle name="Calculation 2 7 2" xfId="1622" xr:uid="{00000000-0005-0000-0000-00005B010000}"/>
    <cellStyle name="Calculation 2 7 2 2" xfId="5521" xr:uid="{00000000-0005-0000-0000-00005C010000}"/>
    <cellStyle name="Calculation 2 7 2 3" xfId="9530" xr:uid="{F77C9E1F-EAF5-4FAC-8265-9FB964451BF8}"/>
    <cellStyle name="Calculation 2 7 3" xfId="3524" xr:uid="{00000000-0005-0000-0000-00005D010000}"/>
    <cellStyle name="Calculation 2 7 3 2" xfId="7418" xr:uid="{00000000-0005-0000-0000-00005E010000}"/>
    <cellStyle name="Calculation 2 7 3 3" xfId="11427" xr:uid="{6EDC5CD5-6265-4253-8EA3-9EC694D55A89}"/>
    <cellStyle name="Calculation 2 7 4" xfId="4844" xr:uid="{00000000-0005-0000-0000-00005F010000}"/>
    <cellStyle name="Calculation 2 7 5" xfId="8853" xr:uid="{AA959EDF-3737-423E-9ABF-6F732923D78A}"/>
    <cellStyle name="Calculation 2 7 6" xfId="12744" xr:uid="{2420BB58-BF7F-4A59-8C89-07C51D900067}"/>
    <cellStyle name="Calculation 2 8" xfId="1575" xr:uid="{00000000-0005-0000-0000-000060010000}"/>
    <cellStyle name="Calculation 2 8 2" xfId="5474" xr:uid="{00000000-0005-0000-0000-000061010000}"/>
    <cellStyle name="Calculation 2 8 3" xfId="9483" xr:uid="{120AEC7E-4ECC-45BA-8358-58DE1A257DF0}"/>
    <cellStyle name="Calculation 2 9" xfId="2888" xr:uid="{00000000-0005-0000-0000-000062010000}"/>
    <cellStyle name="Calculation 2 9 2" xfId="6782" xr:uid="{00000000-0005-0000-0000-000063010000}"/>
    <cellStyle name="Calculation 2 9 3" xfId="10791" xr:uid="{30CDA92A-244E-4076-9D35-44444D6C922A}"/>
    <cellStyle name="Calculation 3" xfId="128" xr:uid="{00000000-0005-0000-0000-000064010000}"/>
    <cellStyle name="Calculation 3 10" xfId="4072" xr:uid="{00000000-0005-0000-0000-000065010000}"/>
    <cellStyle name="Calculation 3 11" xfId="8081" xr:uid="{45EB3059-84B7-41C9-92F3-0E18F39DE1E3}"/>
    <cellStyle name="Calculation 3 12" xfId="11972" xr:uid="{564114FE-5F95-4E2B-A95E-7160CC861D2A}"/>
    <cellStyle name="Calculation 3 13" xfId="13408" xr:uid="{19A13FD0-D4B1-4F1A-9A58-7769748AD82C}"/>
    <cellStyle name="Calculation 3 2" xfId="171" xr:uid="{00000000-0005-0000-0000-000066010000}"/>
    <cellStyle name="Calculation 3 2 10" xfId="8096" xr:uid="{9E2CA068-8300-45CF-9779-772E99D61A33}"/>
    <cellStyle name="Calculation 3 2 11" xfId="11987" xr:uid="{9FD09D54-1516-4ADA-8E4D-D1D4E69DF2C6}"/>
    <cellStyle name="Calculation 3 2 12" xfId="13423" xr:uid="{C5D2768B-C521-44FD-A04D-9C784ADBF875}"/>
    <cellStyle name="Calculation 3 2 2" xfId="272" xr:uid="{00000000-0005-0000-0000-000067010000}"/>
    <cellStyle name="Calculation 3 2 2 10" xfId="13521" xr:uid="{E3218158-869B-4F1A-8595-0DF68E9FBF49}"/>
    <cellStyle name="Calculation 3 2 2 2" xfId="428" xr:uid="{00000000-0005-0000-0000-000068010000}"/>
    <cellStyle name="Calculation 3 2 2 2 2" xfId="758" xr:uid="{00000000-0005-0000-0000-000069010000}"/>
    <cellStyle name="Calculation 3 2 2 2 2 2" xfId="1539" xr:uid="{00000000-0005-0000-0000-00006A010000}"/>
    <cellStyle name="Calculation 3 2 2 2 2 2 2" xfId="1628" xr:uid="{00000000-0005-0000-0000-00006B010000}"/>
    <cellStyle name="Calculation 3 2 2 2 2 2 2 2" xfId="5527" xr:uid="{00000000-0005-0000-0000-00006C010000}"/>
    <cellStyle name="Calculation 3 2 2 2 2 2 2 3" xfId="9536" xr:uid="{C4E4B23C-592C-4FB1-8824-D367A9BE8CCF}"/>
    <cellStyle name="Calculation 3 2 2 2 2 2 3" xfId="3893" xr:uid="{00000000-0005-0000-0000-00006D010000}"/>
    <cellStyle name="Calculation 3 2 2 2 2 2 3 2" xfId="7787" xr:uid="{00000000-0005-0000-0000-00006E010000}"/>
    <cellStyle name="Calculation 3 2 2 2 2 2 3 3" xfId="11796" xr:uid="{6FBC0DE8-5284-48D0-B707-D52CD4907584}"/>
    <cellStyle name="Calculation 3 2 2 2 2 2 4" xfId="5440" xr:uid="{00000000-0005-0000-0000-00006F010000}"/>
    <cellStyle name="Calculation 3 2 2 2 2 2 5" xfId="9449" xr:uid="{E7F3E237-6CFF-4B02-9BEA-A04DFBAB72C6}"/>
    <cellStyle name="Calculation 3 2 2 2 2 2 6" xfId="13340" xr:uid="{5338FB56-6D4E-4700-B42C-FF137EF66ABC}"/>
    <cellStyle name="Calculation 3 2 2 2 2 3" xfId="1627" xr:uid="{00000000-0005-0000-0000-000070010000}"/>
    <cellStyle name="Calculation 3 2 2 2 2 3 2" xfId="5526" xr:uid="{00000000-0005-0000-0000-000071010000}"/>
    <cellStyle name="Calculation 3 2 2 2 2 3 3" xfId="9535" xr:uid="{C0C82DAE-44B2-400F-826E-9CF9CFC02FC6}"/>
    <cellStyle name="Calculation 3 2 2 2 2 4" xfId="3484" xr:uid="{00000000-0005-0000-0000-000072010000}"/>
    <cellStyle name="Calculation 3 2 2 2 2 4 2" xfId="7378" xr:uid="{00000000-0005-0000-0000-000073010000}"/>
    <cellStyle name="Calculation 3 2 2 2 2 4 3" xfId="11387" xr:uid="{0A71DD40-8087-4D59-B92F-B9324F6F329F}"/>
    <cellStyle name="Calculation 3 2 2 2 2 5" xfId="4662" xr:uid="{00000000-0005-0000-0000-000074010000}"/>
    <cellStyle name="Calculation 3 2 2 2 2 6" xfId="8671" xr:uid="{4FC7C314-3B3F-4783-AFF7-D3B86F0DFF02}"/>
    <cellStyle name="Calculation 3 2 2 2 2 7" xfId="12562" xr:uid="{49563DEC-CC66-45FA-9843-E79DDC352909}"/>
    <cellStyle name="Calculation 3 2 2 2 3" xfId="1218" xr:uid="{00000000-0005-0000-0000-000075010000}"/>
    <cellStyle name="Calculation 3 2 2 2 3 2" xfId="1629" xr:uid="{00000000-0005-0000-0000-000076010000}"/>
    <cellStyle name="Calculation 3 2 2 2 3 2 2" xfId="5528" xr:uid="{00000000-0005-0000-0000-000077010000}"/>
    <cellStyle name="Calculation 3 2 2 2 3 2 3" xfId="9537" xr:uid="{1861FDA2-B498-43A9-B545-2F3B53FECD52}"/>
    <cellStyle name="Calculation 3 2 2 2 3 3" xfId="3695" xr:uid="{00000000-0005-0000-0000-000078010000}"/>
    <cellStyle name="Calculation 3 2 2 2 3 3 2" xfId="7589" xr:uid="{00000000-0005-0000-0000-000079010000}"/>
    <cellStyle name="Calculation 3 2 2 2 3 3 3" xfId="11598" xr:uid="{9D640BB2-9F12-4F7D-9A2A-B1EDEAC8A6DE}"/>
    <cellStyle name="Calculation 3 2 2 2 3 4" xfId="5119" xr:uid="{00000000-0005-0000-0000-00007A010000}"/>
    <cellStyle name="Calculation 3 2 2 2 3 5" xfId="9128" xr:uid="{C248FC69-C773-47C6-A3D8-16520771D165}"/>
    <cellStyle name="Calculation 3 2 2 2 3 6" xfId="13019" xr:uid="{4C92A6CB-D510-46E9-8D6A-2ECF5A164A7B}"/>
    <cellStyle name="Calculation 3 2 2 2 4" xfId="1626" xr:uid="{00000000-0005-0000-0000-00007B010000}"/>
    <cellStyle name="Calculation 3 2 2 2 4 2" xfId="5525" xr:uid="{00000000-0005-0000-0000-00007C010000}"/>
    <cellStyle name="Calculation 3 2 2 2 4 3" xfId="9534" xr:uid="{5572A113-777A-4869-B27E-52060103AB03}"/>
    <cellStyle name="Calculation 3 2 2 2 5" xfId="3163" xr:uid="{00000000-0005-0000-0000-00007D010000}"/>
    <cellStyle name="Calculation 3 2 2 2 5 2" xfId="7057" xr:uid="{00000000-0005-0000-0000-00007E010000}"/>
    <cellStyle name="Calculation 3 2 2 2 5 3" xfId="11066" xr:uid="{9DA027EE-DE84-4CD1-8D09-0640F23F656B}"/>
    <cellStyle name="Calculation 3 2 2 2 6" xfId="4341" xr:uid="{00000000-0005-0000-0000-00007F010000}"/>
    <cellStyle name="Calculation 3 2 2 2 7" xfId="8350" xr:uid="{62F02DB2-A8AF-45E1-9162-025185AF8043}"/>
    <cellStyle name="Calculation 3 2 2 2 8" xfId="12241" xr:uid="{E0FEDEF0-EB8B-4A3F-926B-0C4C2F88CCEF}"/>
    <cellStyle name="Calculation 3 2 2 3" xfId="602" xr:uid="{00000000-0005-0000-0000-000080010000}"/>
    <cellStyle name="Calculation 3 2 2 3 2" xfId="1383" xr:uid="{00000000-0005-0000-0000-000081010000}"/>
    <cellStyle name="Calculation 3 2 2 3 2 2" xfId="1631" xr:uid="{00000000-0005-0000-0000-000082010000}"/>
    <cellStyle name="Calculation 3 2 2 3 2 2 2" xfId="5530" xr:uid="{00000000-0005-0000-0000-000083010000}"/>
    <cellStyle name="Calculation 3 2 2 3 2 2 3" xfId="9539" xr:uid="{FAB1B915-2245-4769-80C3-A49A9C981817}"/>
    <cellStyle name="Calculation 3 2 2 3 2 3" xfId="3794" xr:uid="{00000000-0005-0000-0000-000084010000}"/>
    <cellStyle name="Calculation 3 2 2 3 2 3 2" xfId="7688" xr:uid="{00000000-0005-0000-0000-000085010000}"/>
    <cellStyle name="Calculation 3 2 2 3 2 3 3" xfId="11697" xr:uid="{C1D78656-1B94-4FF8-9B70-9918D4132B47}"/>
    <cellStyle name="Calculation 3 2 2 3 2 4" xfId="5284" xr:uid="{00000000-0005-0000-0000-000086010000}"/>
    <cellStyle name="Calculation 3 2 2 3 2 5" xfId="9293" xr:uid="{35206B97-98A7-4470-AD75-9E4A270F876D}"/>
    <cellStyle name="Calculation 3 2 2 3 2 6" xfId="13184" xr:uid="{469CDA42-4140-4F11-9B39-355E1DAA6FF3}"/>
    <cellStyle name="Calculation 3 2 2 3 3" xfId="1630" xr:uid="{00000000-0005-0000-0000-000087010000}"/>
    <cellStyle name="Calculation 3 2 2 3 3 2" xfId="5529" xr:uid="{00000000-0005-0000-0000-000088010000}"/>
    <cellStyle name="Calculation 3 2 2 3 3 3" xfId="9538" xr:uid="{56BA198D-FDED-4BDE-B16E-AA7A8B3056F6}"/>
    <cellStyle name="Calculation 3 2 2 3 4" xfId="3328" xr:uid="{00000000-0005-0000-0000-000089010000}"/>
    <cellStyle name="Calculation 3 2 2 3 4 2" xfId="7222" xr:uid="{00000000-0005-0000-0000-00008A010000}"/>
    <cellStyle name="Calculation 3 2 2 3 4 3" xfId="11231" xr:uid="{15319AE9-E52C-4606-A4F5-6F571AA3EC4D}"/>
    <cellStyle name="Calculation 3 2 2 3 5" xfId="4506" xr:uid="{00000000-0005-0000-0000-00008B010000}"/>
    <cellStyle name="Calculation 3 2 2 3 6" xfId="8515" xr:uid="{00388D96-1FA6-44C3-B069-F580ACAED3F0}"/>
    <cellStyle name="Calculation 3 2 2 3 7" xfId="12406" xr:uid="{0431F844-904D-4856-88B6-F7A4A2BDED25}"/>
    <cellStyle name="Calculation 3 2 2 4" xfId="1062" xr:uid="{00000000-0005-0000-0000-00008C010000}"/>
    <cellStyle name="Calculation 3 2 2 4 2" xfId="1632" xr:uid="{00000000-0005-0000-0000-00008D010000}"/>
    <cellStyle name="Calculation 3 2 2 4 2 2" xfId="5531" xr:uid="{00000000-0005-0000-0000-00008E010000}"/>
    <cellStyle name="Calculation 3 2 2 4 2 3" xfId="9540" xr:uid="{461F8D4F-BEAD-42DA-BE7F-B2A08BDF24A4}"/>
    <cellStyle name="Calculation 3 2 2 4 3" xfId="3596" xr:uid="{00000000-0005-0000-0000-00008F010000}"/>
    <cellStyle name="Calculation 3 2 2 4 3 2" xfId="7490" xr:uid="{00000000-0005-0000-0000-000090010000}"/>
    <cellStyle name="Calculation 3 2 2 4 3 3" xfId="11499" xr:uid="{F27EA55E-9D22-426D-A582-CD22C09478EF}"/>
    <cellStyle name="Calculation 3 2 2 4 4" xfId="4963" xr:uid="{00000000-0005-0000-0000-000091010000}"/>
    <cellStyle name="Calculation 3 2 2 4 5" xfId="8972" xr:uid="{68F6F23E-9F2A-4085-9CE2-2EF684D6BCAE}"/>
    <cellStyle name="Calculation 3 2 2 4 6" xfId="12863" xr:uid="{B883E6FA-3866-4F7B-A942-388768549EA7}"/>
    <cellStyle name="Calculation 3 2 2 5" xfId="1625" xr:uid="{00000000-0005-0000-0000-000092010000}"/>
    <cellStyle name="Calculation 3 2 2 5 2" xfId="5524" xr:uid="{00000000-0005-0000-0000-000093010000}"/>
    <cellStyle name="Calculation 3 2 2 5 3" xfId="9533" xr:uid="{C5637D43-48A1-431F-906D-90503AC41258}"/>
    <cellStyle name="Calculation 3 2 2 6" xfId="3007" xr:uid="{00000000-0005-0000-0000-000094010000}"/>
    <cellStyle name="Calculation 3 2 2 6 2" xfId="6901" xr:uid="{00000000-0005-0000-0000-000095010000}"/>
    <cellStyle name="Calculation 3 2 2 6 3" xfId="10910" xr:uid="{36133605-4172-4A3E-90D8-6B1B03851497}"/>
    <cellStyle name="Calculation 3 2 2 7" xfId="4185" xr:uid="{00000000-0005-0000-0000-000096010000}"/>
    <cellStyle name="Calculation 3 2 2 8" xfId="8194" xr:uid="{59EC5A30-12C3-4D00-B28C-7C34F4C8E24A}"/>
    <cellStyle name="Calculation 3 2 2 9" xfId="12085" xr:uid="{28950ECC-E8AA-4637-A283-D0D5D97C7BC4}"/>
    <cellStyle name="Calculation 3 2 3" xfId="212" xr:uid="{00000000-0005-0000-0000-000097010000}"/>
    <cellStyle name="Calculation 3 2 3 10" xfId="13461" xr:uid="{92F85297-B838-401C-97B4-7EF49CBE978D}"/>
    <cellStyle name="Calculation 3 2 3 2" xfId="375" xr:uid="{00000000-0005-0000-0000-000098010000}"/>
    <cellStyle name="Calculation 3 2 3 2 2" xfId="705" xr:uid="{00000000-0005-0000-0000-000099010000}"/>
    <cellStyle name="Calculation 3 2 3 2 2 2" xfId="1486" xr:uid="{00000000-0005-0000-0000-00009A010000}"/>
    <cellStyle name="Calculation 3 2 3 2 2 2 2" xfId="1636" xr:uid="{00000000-0005-0000-0000-00009B010000}"/>
    <cellStyle name="Calculation 3 2 3 2 2 2 2 2" xfId="5535" xr:uid="{00000000-0005-0000-0000-00009C010000}"/>
    <cellStyle name="Calculation 3 2 3 2 2 2 2 3" xfId="9544" xr:uid="{A28759AA-CA75-44B4-9DFF-D5A5450D0479}"/>
    <cellStyle name="Calculation 3 2 3 2 2 2 3" xfId="3858" xr:uid="{00000000-0005-0000-0000-00009D010000}"/>
    <cellStyle name="Calculation 3 2 3 2 2 2 3 2" xfId="7752" xr:uid="{00000000-0005-0000-0000-00009E010000}"/>
    <cellStyle name="Calculation 3 2 3 2 2 2 3 3" xfId="11761" xr:uid="{F551702D-DF0B-4654-85F5-508784FD7CCE}"/>
    <cellStyle name="Calculation 3 2 3 2 2 2 4" xfId="5387" xr:uid="{00000000-0005-0000-0000-00009F010000}"/>
    <cellStyle name="Calculation 3 2 3 2 2 2 5" xfId="9396" xr:uid="{68A5ED1C-3516-462C-A25B-0C0DC978B804}"/>
    <cellStyle name="Calculation 3 2 3 2 2 2 6" xfId="13287" xr:uid="{E2E49CB5-C690-44C6-8CDC-81CEFD8EE547}"/>
    <cellStyle name="Calculation 3 2 3 2 2 3" xfId="1635" xr:uid="{00000000-0005-0000-0000-0000A0010000}"/>
    <cellStyle name="Calculation 3 2 3 2 2 3 2" xfId="5534" xr:uid="{00000000-0005-0000-0000-0000A1010000}"/>
    <cellStyle name="Calculation 3 2 3 2 2 3 3" xfId="9543" xr:uid="{5F57949E-EDE9-4FE5-A6CD-5C11DE1C0848}"/>
    <cellStyle name="Calculation 3 2 3 2 2 4" xfId="3431" xr:uid="{00000000-0005-0000-0000-0000A2010000}"/>
    <cellStyle name="Calculation 3 2 3 2 2 4 2" xfId="7325" xr:uid="{00000000-0005-0000-0000-0000A3010000}"/>
    <cellStyle name="Calculation 3 2 3 2 2 4 3" xfId="11334" xr:uid="{B8CEEB07-DA4E-4C3E-A4CF-03A9F06C9587}"/>
    <cellStyle name="Calculation 3 2 3 2 2 5" xfId="4609" xr:uid="{00000000-0005-0000-0000-0000A4010000}"/>
    <cellStyle name="Calculation 3 2 3 2 2 6" xfId="8618" xr:uid="{8FF01D97-BD0E-4EC8-BE82-DB0EE411AC7D}"/>
    <cellStyle name="Calculation 3 2 3 2 2 7" xfId="12509" xr:uid="{FA29337A-C1C3-46C4-8DB3-3E2E0ACEDBA4}"/>
    <cellStyle name="Calculation 3 2 3 2 3" xfId="1165" xr:uid="{00000000-0005-0000-0000-0000A5010000}"/>
    <cellStyle name="Calculation 3 2 3 2 3 2" xfId="1637" xr:uid="{00000000-0005-0000-0000-0000A6010000}"/>
    <cellStyle name="Calculation 3 2 3 2 3 2 2" xfId="5536" xr:uid="{00000000-0005-0000-0000-0000A7010000}"/>
    <cellStyle name="Calculation 3 2 3 2 3 2 3" xfId="9545" xr:uid="{E4C6DBE2-DB69-42F8-8D41-026A834F0A0B}"/>
    <cellStyle name="Calculation 3 2 3 2 3 3" xfId="3660" xr:uid="{00000000-0005-0000-0000-0000A8010000}"/>
    <cellStyle name="Calculation 3 2 3 2 3 3 2" xfId="7554" xr:uid="{00000000-0005-0000-0000-0000A9010000}"/>
    <cellStyle name="Calculation 3 2 3 2 3 3 3" xfId="11563" xr:uid="{B60DB7C8-EA5D-4D1C-A483-2285F2522764}"/>
    <cellStyle name="Calculation 3 2 3 2 3 4" xfId="5066" xr:uid="{00000000-0005-0000-0000-0000AA010000}"/>
    <cellStyle name="Calculation 3 2 3 2 3 5" xfId="9075" xr:uid="{D39C47F1-5403-4DF2-A2A0-073010E4FB9C}"/>
    <cellStyle name="Calculation 3 2 3 2 3 6" xfId="12966" xr:uid="{D64A99F5-6F7E-4EB6-865C-5B205A2FDB53}"/>
    <cellStyle name="Calculation 3 2 3 2 4" xfId="1634" xr:uid="{00000000-0005-0000-0000-0000AB010000}"/>
    <cellStyle name="Calculation 3 2 3 2 4 2" xfId="5533" xr:uid="{00000000-0005-0000-0000-0000AC010000}"/>
    <cellStyle name="Calculation 3 2 3 2 4 3" xfId="9542" xr:uid="{D82042DD-9995-4BE9-AF7D-B5AB8A27A56F}"/>
    <cellStyle name="Calculation 3 2 3 2 5" xfId="3110" xr:uid="{00000000-0005-0000-0000-0000AD010000}"/>
    <cellStyle name="Calculation 3 2 3 2 5 2" xfId="7004" xr:uid="{00000000-0005-0000-0000-0000AE010000}"/>
    <cellStyle name="Calculation 3 2 3 2 5 3" xfId="11013" xr:uid="{4AF04131-F457-4483-8E80-9E3DD5DB80FB}"/>
    <cellStyle name="Calculation 3 2 3 2 6" xfId="4288" xr:uid="{00000000-0005-0000-0000-0000AF010000}"/>
    <cellStyle name="Calculation 3 2 3 2 7" xfId="8297" xr:uid="{679DC2E8-56E8-42D7-A2C5-CF8C0B40064C}"/>
    <cellStyle name="Calculation 3 2 3 2 8" xfId="12188" xr:uid="{A282E0C7-BC90-467C-AB69-CD74377BCED0}"/>
    <cellStyle name="Calculation 3 2 3 3" xfId="542" xr:uid="{00000000-0005-0000-0000-0000B0010000}"/>
    <cellStyle name="Calculation 3 2 3 3 2" xfId="1323" xr:uid="{00000000-0005-0000-0000-0000B1010000}"/>
    <cellStyle name="Calculation 3 2 3 3 2 2" xfId="1639" xr:uid="{00000000-0005-0000-0000-0000B2010000}"/>
    <cellStyle name="Calculation 3 2 3 3 2 2 2" xfId="5538" xr:uid="{00000000-0005-0000-0000-0000B3010000}"/>
    <cellStyle name="Calculation 3 2 3 3 2 2 3" xfId="9547" xr:uid="{77AC0C3F-A786-4D40-95FC-4CD5B3068744}"/>
    <cellStyle name="Calculation 3 2 3 3 2 3" xfId="3759" xr:uid="{00000000-0005-0000-0000-0000B4010000}"/>
    <cellStyle name="Calculation 3 2 3 3 2 3 2" xfId="7653" xr:uid="{00000000-0005-0000-0000-0000B5010000}"/>
    <cellStyle name="Calculation 3 2 3 3 2 3 3" xfId="11662" xr:uid="{B1CAAF74-22B5-4002-92BC-14BA233B4302}"/>
    <cellStyle name="Calculation 3 2 3 3 2 4" xfId="5224" xr:uid="{00000000-0005-0000-0000-0000B6010000}"/>
    <cellStyle name="Calculation 3 2 3 3 2 5" xfId="9233" xr:uid="{E7DD8861-3999-44E0-897B-05036BF873E6}"/>
    <cellStyle name="Calculation 3 2 3 3 2 6" xfId="13124" xr:uid="{731581C8-BF79-4C8E-868B-10C038D15A83}"/>
    <cellStyle name="Calculation 3 2 3 3 3" xfId="1638" xr:uid="{00000000-0005-0000-0000-0000B7010000}"/>
    <cellStyle name="Calculation 3 2 3 3 3 2" xfId="5537" xr:uid="{00000000-0005-0000-0000-0000B8010000}"/>
    <cellStyle name="Calculation 3 2 3 3 3 3" xfId="9546" xr:uid="{1CC436F9-2045-47CA-8257-DE1FF1BBFA95}"/>
    <cellStyle name="Calculation 3 2 3 3 4" xfId="3268" xr:uid="{00000000-0005-0000-0000-0000B9010000}"/>
    <cellStyle name="Calculation 3 2 3 3 4 2" xfId="7162" xr:uid="{00000000-0005-0000-0000-0000BA010000}"/>
    <cellStyle name="Calculation 3 2 3 3 4 3" xfId="11171" xr:uid="{FF816FB8-B1E8-4FE8-B2B6-75E3E77BE320}"/>
    <cellStyle name="Calculation 3 2 3 3 5" xfId="4446" xr:uid="{00000000-0005-0000-0000-0000BB010000}"/>
    <cellStyle name="Calculation 3 2 3 3 6" xfId="8455" xr:uid="{2AFFA553-57BF-4408-BC59-7FB9660FBB51}"/>
    <cellStyle name="Calculation 3 2 3 3 7" xfId="12346" xr:uid="{1CDE0CDB-DEE4-46FA-8B19-10DA9DBBDDBC}"/>
    <cellStyle name="Calculation 3 2 3 4" xfId="1002" xr:uid="{00000000-0005-0000-0000-0000BC010000}"/>
    <cellStyle name="Calculation 3 2 3 4 2" xfId="1640" xr:uid="{00000000-0005-0000-0000-0000BD010000}"/>
    <cellStyle name="Calculation 3 2 3 4 2 2" xfId="5539" xr:uid="{00000000-0005-0000-0000-0000BE010000}"/>
    <cellStyle name="Calculation 3 2 3 4 2 3" xfId="9548" xr:uid="{492107FB-9908-4ED8-99D1-7CB8E5F5D382}"/>
    <cellStyle name="Calculation 3 2 3 4 3" xfId="3561" xr:uid="{00000000-0005-0000-0000-0000BF010000}"/>
    <cellStyle name="Calculation 3 2 3 4 3 2" xfId="7455" xr:uid="{00000000-0005-0000-0000-0000C0010000}"/>
    <cellStyle name="Calculation 3 2 3 4 3 3" xfId="11464" xr:uid="{588855B7-3B56-4FFC-A110-3A77457DD94C}"/>
    <cellStyle name="Calculation 3 2 3 4 4" xfId="4903" xr:uid="{00000000-0005-0000-0000-0000C1010000}"/>
    <cellStyle name="Calculation 3 2 3 4 5" xfId="8912" xr:uid="{C021AF52-E412-4528-862F-6DC2AC3BCEEF}"/>
    <cellStyle name="Calculation 3 2 3 4 6" xfId="12803" xr:uid="{505367B2-7100-412F-B7C4-CAAA2CAE0759}"/>
    <cellStyle name="Calculation 3 2 3 5" xfId="1633" xr:uid="{00000000-0005-0000-0000-0000C2010000}"/>
    <cellStyle name="Calculation 3 2 3 5 2" xfId="5532" xr:uid="{00000000-0005-0000-0000-0000C3010000}"/>
    <cellStyle name="Calculation 3 2 3 5 3" xfId="9541" xr:uid="{98B6FE38-2AA2-488A-BB6F-C66977F979BF}"/>
    <cellStyle name="Calculation 3 2 3 6" xfId="2947" xr:uid="{00000000-0005-0000-0000-0000C4010000}"/>
    <cellStyle name="Calculation 3 2 3 6 2" xfId="6841" xr:uid="{00000000-0005-0000-0000-0000C5010000}"/>
    <cellStyle name="Calculation 3 2 3 6 3" xfId="10850" xr:uid="{AA7CFD43-C6A4-48FD-84B0-FF498BBF3ADB}"/>
    <cellStyle name="Calculation 3 2 3 7" xfId="4125" xr:uid="{00000000-0005-0000-0000-0000C6010000}"/>
    <cellStyle name="Calculation 3 2 3 8" xfId="8134" xr:uid="{D7A558DA-EE13-4198-B4E3-05B73C45FC20}"/>
    <cellStyle name="Calculation 3 2 3 9" xfId="12025" xr:uid="{766BEC6F-F5E4-4703-99F8-094CED8AB2A4}"/>
    <cellStyle name="Calculation 3 2 4" xfId="339" xr:uid="{00000000-0005-0000-0000-0000C7010000}"/>
    <cellStyle name="Calculation 3 2 4 2" xfId="669" xr:uid="{00000000-0005-0000-0000-0000C8010000}"/>
    <cellStyle name="Calculation 3 2 4 2 2" xfId="1450" xr:uid="{00000000-0005-0000-0000-0000C9010000}"/>
    <cellStyle name="Calculation 3 2 4 2 2 2" xfId="1643" xr:uid="{00000000-0005-0000-0000-0000CA010000}"/>
    <cellStyle name="Calculation 3 2 4 2 2 2 2" xfId="5542" xr:uid="{00000000-0005-0000-0000-0000CB010000}"/>
    <cellStyle name="Calculation 3 2 4 2 2 2 3" xfId="9551" xr:uid="{8FDF44DD-9902-49D0-A0D0-3352BDF18BD6}"/>
    <cellStyle name="Calculation 3 2 4 2 2 3" xfId="3834" xr:uid="{00000000-0005-0000-0000-0000CC010000}"/>
    <cellStyle name="Calculation 3 2 4 2 2 3 2" xfId="7728" xr:uid="{00000000-0005-0000-0000-0000CD010000}"/>
    <cellStyle name="Calculation 3 2 4 2 2 3 3" xfId="11737" xr:uid="{47D0E29B-A887-4612-BF89-5EA114B4D7E8}"/>
    <cellStyle name="Calculation 3 2 4 2 2 4" xfId="5351" xr:uid="{00000000-0005-0000-0000-0000CE010000}"/>
    <cellStyle name="Calculation 3 2 4 2 2 5" xfId="9360" xr:uid="{55BF9B3D-E100-469F-8796-383338E4A2F9}"/>
    <cellStyle name="Calculation 3 2 4 2 2 6" xfId="13251" xr:uid="{38C08BB7-9AB4-40E9-B865-0B5B40C9940D}"/>
    <cellStyle name="Calculation 3 2 4 2 3" xfId="1642" xr:uid="{00000000-0005-0000-0000-0000CF010000}"/>
    <cellStyle name="Calculation 3 2 4 2 3 2" xfId="5541" xr:uid="{00000000-0005-0000-0000-0000D0010000}"/>
    <cellStyle name="Calculation 3 2 4 2 3 3" xfId="9550" xr:uid="{18507359-C4BC-4864-B58A-DB9EECEA39D4}"/>
    <cellStyle name="Calculation 3 2 4 2 4" xfId="3395" xr:uid="{00000000-0005-0000-0000-0000D1010000}"/>
    <cellStyle name="Calculation 3 2 4 2 4 2" xfId="7289" xr:uid="{00000000-0005-0000-0000-0000D2010000}"/>
    <cellStyle name="Calculation 3 2 4 2 4 3" xfId="11298" xr:uid="{E62C3553-4A4E-43B3-8B38-9ADEE82034F5}"/>
    <cellStyle name="Calculation 3 2 4 2 5" xfId="4573" xr:uid="{00000000-0005-0000-0000-0000D3010000}"/>
    <cellStyle name="Calculation 3 2 4 2 6" xfId="8582" xr:uid="{F786179E-989B-4C27-B174-BC25D8D6CB33}"/>
    <cellStyle name="Calculation 3 2 4 2 7" xfId="12473" xr:uid="{FBC7F52A-9083-4708-8CD0-0D05D41734A9}"/>
    <cellStyle name="Calculation 3 2 4 3" xfId="1129" xr:uid="{00000000-0005-0000-0000-0000D4010000}"/>
    <cellStyle name="Calculation 3 2 4 3 2" xfId="1644" xr:uid="{00000000-0005-0000-0000-0000D5010000}"/>
    <cellStyle name="Calculation 3 2 4 3 2 2" xfId="5543" xr:uid="{00000000-0005-0000-0000-0000D6010000}"/>
    <cellStyle name="Calculation 3 2 4 3 2 3" xfId="9552" xr:uid="{C98F9211-41D5-4FA7-AFAB-B7596B0BA55D}"/>
    <cellStyle name="Calculation 3 2 4 3 3" xfId="3636" xr:uid="{00000000-0005-0000-0000-0000D7010000}"/>
    <cellStyle name="Calculation 3 2 4 3 3 2" xfId="7530" xr:uid="{00000000-0005-0000-0000-0000D8010000}"/>
    <cellStyle name="Calculation 3 2 4 3 3 3" xfId="11539" xr:uid="{B0C8FDE3-652E-497B-A80A-BDE9C8DD1B21}"/>
    <cellStyle name="Calculation 3 2 4 3 4" xfId="5030" xr:uid="{00000000-0005-0000-0000-0000D9010000}"/>
    <cellStyle name="Calculation 3 2 4 3 5" xfId="9039" xr:uid="{BF249DCE-D02F-4062-B434-C146621E93A3}"/>
    <cellStyle name="Calculation 3 2 4 3 6" xfId="12930" xr:uid="{17775842-C9AC-48EF-AE3F-2656E570539D}"/>
    <cellStyle name="Calculation 3 2 4 4" xfId="1641" xr:uid="{00000000-0005-0000-0000-0000DA010000}"/>
    <cellStyle name="Calculation 3 2 4 4 2" xfId="5540" xr:uid="{00000000-0005-0000-0000-0000DB010000}"/>
    <cellStyle name="Calculation 3 2 4 4 3" xfId="9549" xr:uid="{59DF0FA0-B598-449B-A91F-945A954626D2}"/>
    <cellStyle name="Calculation 3 2 4 5" xfId="3074" xr:uid="{00000000-0005-0000-0000-0000DC010000}"/>
    <cellStyle name="Calculation 3 2 4 5 2" xfId="6968" xr:uid="{00000000-0005-0000-0000-0000DD010000}"/>
    <cellStyle name="Calculation 3 2 4 5 3" xfId="10977" xr:uid="{8E20B0F5-1B96-43F7-B2AD-0F3ADF63098A}"/>
    <cellStyle name="Calculation 3 2 4 6" xfId="4252" xr:uid="{00000000-0005-0000-0000-0000DE010000}"/>
    <cellStyle name="Calculation 3 2 4 7" xfId="8261" xr:uid="{916DE51E-9146-4B8A-B324-D65F0AAD34CA}"/>
    <cellStyle name="Calculation 3 2 4 8" xfId="12152" xr:uid="{28A14ACE-4ECD-4180-9033-72F79A09E740}"/>
    <cellStyle name="Calculation 3 2 5" xfId="504" xr:uid="{00000000-0005-0000-0000-0000DF010000}"/>
    <cellStyle name="Calculation 3 2 5 2" xfId="1285" xr:uid="{00000000-0005-0000-0000-0000E0010000}"/>
    <cellStyle name="Calculation 3 2 5 2 2" xfId="1646" xr:uid="{00000000-0005-0000-0000-0000E1010000}"/>
    <cellStyle name="Calculation 3 2 5 2 2 2" xfId="5545" xr:uid="{00000000-0005-0000-0000-0000E2010000}"/>
    <cellStyle name="Calculation 3 2 5 2 2 3" xfId="9554" xr:uid="{8DDDB057-0918-488F-9631-D804549FBFBE}"/>
    <cellStyle name="Calculation 3 2 5 2 3" xfId="3735" xr:uid="{00000000-0005-0000-0000-0000E3010000}"/>
    <cellStyle name="Calculation 3 2 5 2 3 2" xfId="7629" xr:uid="{00000000-0005-0000-0000-0000E4010000}"/>
    <cellStyle name="Calculation 3 2 5 2 3 3" xfId="11638" xr:uid="{8E8C7811-7042-4D22-AB19-DF79FA3B987B}"/>
    <cellStyle name="Calculation 3 2 5 2 4" xfId="5186" xr:uid="{00000000-0005-0000-0000-0000E5010000}"/>
    <cellStyle name="Calculation 3 2 5 2 5" xfId="9195" xr:uid="{670EE4DE-C53C-41DD-902B-FD899A361976}"/>
    <cellStyle name="Calculation 3 2 5 2 6" xfId="13086" xr:uid="{75B15906-3F65-430A-9C28-B2BB2D4432A7}"/>
    <cellStyle name="Calculation 3 2 5 3" xfId="1645" xr:uid="{00000000-0005-0000-0000-0000E6010000}"/>
    <cellStyle name="Calculation 3 2 5 3 2" xfId="5544" xr:uid="{00000000-0005-0000-0000-0000E7010000}"/>
    <cellStyle name="Calculation 3 2 5 3 3" xfId="9553" xr:uid="{74A88280-03FE-4F38-8C5E-D91D376C4C4E}"/>
    <cellStyle name="Calculation 3 2 5 4" xfId="3230" xr:uid="{00000000-0005-0000-0000-0000E8010000}"/>
    <cellStyle name="Calculation 3 2 5 4 2" xfId="7124" xr:uid="{00000000-0005-0000-0000-0000E9010000}"/>
    <cellStyle name="Calculation 3 2 5 4 3" xfId="11133" xr:uid="{0AFF4226-F2F8-4ED2-878D-298D881F2F19}"/>
    <cellStyle name="Calculation 3 2 5 5" xfId="4408" xr:uid="{00000000-0005-0000-0000-0000EA010000}"/>
    <cellStyle name="Calculation 3 2 5 6" xfId="8417" xr:uid="{A0DBC5A1-04E2-4989-A5CE-ADE8B7149805}"/>
    <cellStyle name="Calculation 3 2 5 7" xfId="12308" xr:uid="{6EF7160E-AC9D-4937-8727-E62FE9AEE6CF}"/>
    <cellStyle name="Calculation 3 2 6" xfId="964" xr:uid="{00000000-0005-0000-0000-0000EB010000}"/>
    <cellStyle name="Calculation 3 2 6 2" xfId="1647" xr:uid="{00000000-0005-0000-0000-0000EC010000}"/>
    <cellStyle name="Calculation 3 2 6 2 2" xfId="5546" xr:uid="{00000000-0005-0000-0000-0000ED010000}"/>
    <cellStyle name="Calculation 3 2 6 2 3" xfId="9555" xr:uid="{05219890-E072-415A-AAED-C3E012A49F05}"/>
    <cellStyle name="Calculation 3 2 6 3" xfId="3537" xr:uid="{00000000-0005-0000-0000-0000EE010000}"/>
    <cellStyle name="Calculation 3 2 6 3 2" xfId="7431" xr:uid="{00000000-0005-0000-0000-0000EF010000}"/>
    <cellStyle name="Calculation 3 2 6 3 3" xfId="11440" xr:uid="{8CBC7F54-F487-425E-8F16-E981180BF20F}"/>
    <cellStyle name="Calculation 3 2 6 4" xfId="4865" xr:uid="{00000000-0005-0000-0000-0000F0010000}"/>
    <cellStyle name="Calculation 3 2 6 5" xfId="8874" xr:uid="{8946527C-C281-48D9-A167-13E8B885E4CC}"/>
    <cellStyle name="Calculation 3 2 6 6" xfId="12765" xr:uid="{C70E2FDF-903C-4FF0-BD6B-CC789F79D3E6}"/>
    <cellStyle name="Calculation 3 2 7" xfId="1624" xr:uid="{00000000-0005-0000-0000-0000F1010000}"/>
    <cellStyle name="Calculation 3 2 7 2" xfId="5523" xr:uid="{00000000-0005-0000-0000-0000F2010000}"/>
    <cellStyle name="Calculation 3 2 7 3" xfId="9532" xr:uid="{90186978-926D-4FA7-8F3C-95F922756BE9}"/>
    <cellStyle name="Calculation 3 2 8" xfId="2909" xr:uid="{00000000-0005-0000-0000-0000F3010000}"/>
    <cellStyle name="Calculation 3 2 8 2" xfId="6803" xr:uid="{00000000-0005-0000-0000-0000F4010000}"/>
    <cellStyle name="Calculation 3 2 8 3" xfId="10812" xr:uid="{81A1344B-829C-4591-A676-0CECBB61B9DD}"/>
    <cellStyle name="Calculation 3 2 9" xfId="4087" xr:uid="{00000000-0005-0000-0000-0000F5010000}"/>
    <cellStyle name="Calculation 3 3" xfId="248" xr:uid="{00000000-0005-0000-0000-0000F6010000}"/>
    <cellStyle name="Calculation 3 3 10" xfId="13497" xr:uid="{9535167D-DA1E-49DF-8E3C-0804DB65FFE5}"/>
    <cellStyle name="Calculation 3 3 2" xfId="406" xr:uid="{00000000-0005-0000-0000-0000F7010000}"/>
    <cellStyle name="Calculation 3 3 2 2" xfId="736" xr:uid="{00000000-0005-0000-0000-0000F8010000}"/>
    <cellStyle name="Calculation 3 3 2 2 2" xfId="1517" xr:uid="{00000000-0005-0000-0000-0000F9010000}"/>
    <cellStyle name="Calculation 3 3 2 2 2 2" xfId="1651" xr:uid="{00000000-0005-0000-0000-0000FA010000}"/>
    <cellStyle name="Calculation 3 3 2 2 2 2 2" xfId="5550" xr:uid="{00000000-0005-0000-0000-0000FB010000}"/>
    <cellStyle name="Calculation 3 3 2 2 2 2 3" xfId="9559" xr:uid="{7691DD96-9CBB-4C01-9217-CE634BDA1C29}"/>
    <cellStyle name="Calculation 3 3 2 2 2 3" xfId="3877" xr:uid="{00000000-0005-0000-0000-0000FC010000}"/>
    <cellStyle name="Calculation 3 3 2 2 2 3 2" xfId="7771" xr:uid="{00000000-0005-0000-0000-0000FD010000}"/>
    <cellStyle name="Calculation 3 3 2 2 2 3 3" xfId="11780" xr:uid="{54E1E9E0-F1BD-4E61-AC4A-B23CD1BE2A67}"/>
    <cellStyle name="Calculation 3 3 2 2 2 4" xfId="5418" xr:uid="{00000000-0005-0000-0000-0000FE010000}"/>
    <cellStyle name="Calculation 3 3 2 2 2 5" xfId="9427" xr:uid="{37711A78-3F86-4E8E-929E-84BA2A6C99E0}"/>
    <cellStyle name="Calculation 3 3 2 2 2 6" xfId="13318" xr:uid="{C6236BA4-113E-4137-BEDF-DFF462FAB347}"/>
    <cellStyle name="Calculation 3 3 2 2 3" xfId="1650" xr:uid="{00000000-0005-0000-0000-0000FF010000}"/>
    <cellStyle name="Calculation 3 3 2 2 3 2" xfId="5549" xr:uid="{00000000-0005-0000-0000-000000020000}"/>
    <cellStyle name="Calculation 3 3 2 2 3 3" xfId="9558" xr:uid="{8EE23ABF-0E26-4204-B50B-71693B9C1A31}"/>
    <cellStyle name="Calculation 3 3 2 2 4" xfId="3462" xr:uid="{00000000-0005-0000-0000-000001020000}"/>
    <cellStyle name="Calculation 3 3 2 2 4 2" xfId="7356" xr:uid="{00000000-0005-0000-0000-000002020000}"/>
    <cellStyle name="Calculation 3 3 2 2 4 3" xfId="11365" xr:uid="{735C4C4E-9E55-4C9F-A732-A220028F2091}"/>
    <cellStyle name="Calculation 3 3 2 2 5" xfId="4640" xr:uid="{00000000-0005-0000-0000-000003020000}"/>
    <cellStyle name="Calculation 3 3 2 2 6" xfId="8649" xr:uid="{43D424CF-0F8C-43CA-8A2B-02514069D223}"/>
    <cellStyle name="Calculation 3 3 2 2 7" xfId="12540" xr:uid="{DA5C9AAC-B5E8-4E2C-9364-59F5B99EFC3C}"/>
    <cellStyle name="Calculation 3 3 2 3" xfId="1196" xr:uid="{00000000-0005-0000-0000-000004020000}"/>
    <cellStyle name="Calculation 3 3 2 3 2" xfId="1652" xr:uid="{00000000-0005-0000-0000-000005020000}"/>
    <cellStyle name="Calculation 3 3 2 3 2 2" xfId="5551" xr:uid="{00000000-0005-0000-0000-000006020000}"/>
    <cellStyle name="Calculation 3 3 2 3 2 3" xfId="9560" xr:uid="{9759F767-AB4D-4426-A72E-2FD8E604E59E}"/>
    <cellStyle name="Calculation 3 3 2 3 3" xfId="3679" xr:uid="{00000000-0005-0000-0000-000007020000}"/>
    <cellStyle name="Calculation 3 3 2 3 3 2" xfId="7573" xr:uid="{00000000-0005-0000-0000-000008020000}"/>
    <cellStyle name="Calculation 3 3 2 3 3 3" xfId="11582" xr:uid="{5AFCF13A-595E-46E1-B8A5-3F7088470891}"/>
    <cellStyle name="Calculation 3 3 2 3 4" xfId="5097" xr:uid="{00000000-0005-0000-0000-000009020000}"/>
    <cellStyle name="Calculation 3 3 2 3 5" xfId="9106" xr:uid="{11044AEE-4F0F-4C39-8057-D8EDF79661B4}"/>
    <cellStyle name="Calculation 3 3 2 3 6" xfId="12997" xr:uid="{05CD9BAE-F95E-4D28-AD62-24BC615B915F}"/>
    <cellStyle name="Calculation 3 3 2 4" xfId="1649" xr:uid="{00000000-0005-0000-0000-00000A020000}"/>
    <cellStyle name="Calculation 3 3 2 4 2" xfId="5548" xr:uid="{00000000-0005-0000-0000-00000B020000}"/>
    <cellStyle name="Calculation 3 3 2 4 3" xfId="9557" xr:uid="{54DF3C3C-73E1-4B29-831D-6E6D84A62241}"/>
    <cellStyle name="Calculation 3 3 2 5" xfId="3141" xr:uid="{00000000-0005-0000-0000-00000C020000}"/>
    <cellStyle name="Calculation 3 3 2 5 2" xfId="7035" xr:uid="{00000000-0005-0000-0000-00000D020000}"/>
    <cellStyle name="Calculation 3 3 2 5 3" xfId="11044" xr:uid="{30F74D2B-3360-45EB-A9CB-80E8FF0CB255}"/>
    <cellStyle name="Calculation 3 3 2 6" xfId="4319" xr:uid="{00000000-0005-0000-0000-00000E020000}"/>
    <cellStyle name="Calculation 3 3 2 7" xfId="8328" xr:uid="{18664789-99F8-4075-BFEE-69F7E128D8B7}"/>
    <cellStyle name="Calculation 3 3 2 8" xfId="12219" xr:uid="{A23D85CE-D8D7-46D1-ABAE-D71E2C73468D}"/>
    <cellStyle name="Calculation 3 3 3" xfId="578" xr:uid="{00000000-0005-0000-0000-00000F020000}"/>
    <cellStyle name="Calculation 3 3 3 2" xfId="1359" xr:uid="{00000000-0005-0000-0000-000010020000}"/>
    <cellStyle name="Calculation 3 3 3 2 2" xfId="1654" xr:uid="{00000000-0005-0000-0000-000011020000}"/>
    <cellStyle name="Calculation 3 3 3 2 2 2" xfId="5553" xr:uid="{00000000-0005-0000-0000-000012020000}"/>
    <cellStyle name="Calculation 3 3 3 2 2 3" xfId="9562" xr:uid="{31A64BAB-4A1A-400D-9037-4992BFE6DDDB}"/>
    <cellStyle name="Calculation 3 3 3 2 3" xfId="3778" xr:uid="{00000000-0005-0000-0000-000013020000}"/>
    <cellStyle name="Calculation 3 3 3 2 3 2" xfId="7672" xr:uid="{00000000-0005-0000-0000-000014020000}"/>
    <cellStyle name="Calculation 3 3 3 2 3 3" xfId="11681" xr:uid="{BAD23179-3FBF-478A-824D-15C15B1C034F}"/>
    <cellStyle name="Calculation 3 3 3 2 4" xfId="5260" xr:uid="{00000000-0005-0000-0000-000015020000}"/>
    <cellStyle name="Calculation 3 3 3 2 5" xfId="9269" xr:uid="{C2900F63-4325-442B-A1D3-005BD540AABA}"/>
    <cellStyle name="Calculation 3 3 3 2 6" xfId="13160" xr:uid="{2D6DA2D0-0FC0-47E8-9B6F-CFFA009A442B}"/>
    <cellStyle name="Calculation 3 3 3 3" xfId="1653" xr:uid="{00000000-0005-0000-0000-000016020000}"/>
    <cellStyle name="Calculation 3 3 3 3 2" xfId="5552" xr:uid="{00000000-0005-0000-0000-000017020000}"/>
    <cellStyle name="Calculation 3 3 3 3 3" xfId="9561" xr:uid="{94AA692E-A243-4264-B4C1-3C1E2453F964}"/>
    <cellStyle name="Calculation 3 3 3 4" xfId="3304" xr:uid="{00000000-0005-0000-0000-000018020000}"/>
    <cellStyle name="Calculation 3 3 3 4 2" xfId="7198" xr:uid="{00000000-0005-0000-0000-000019020000}"/>
    <cellStyle name="Calculation 3 3 3 4 3" xfId="11207" xr:uid="{D96468BC-A21E-46B1-8E22-DA2B7999F6EF}"/>
    <cellStyle name="Calculation 3 3 3 5" xfId="4482" xr:uid="{00000000-0005-0000-0000-00001A020000}"/>
    <cellStyle name="Calculation 3 3 3 6" xfId="8491" xr:uid="{C14E53B0-43B2-490E-8B54-3BBBA7D6573D}"/>
    <cellStyle name="Calculation 3 3 3 7" xfId="12382" xr:uid="{9E35D672-8259-4B6E-8C26-64271FB0DB63}"/>
    <cellStyle name="Calculation 3 3 4" xfId="1038" xr:uid="{00000000-0005-0000-0000-00001B020000}"/>
    <cellStyle name="Calculation 3 3 4 2" xfId="1655" xr:uid="{00000000-0005-0000-0000-00001C020000}"/>
    <cellStyle name="Calculation 3 3 4 2 2" xfId="5554" xr:uid="{00000000-0005-0000-0000-00001D020000}"/>
    <cellStyle name="Calculation 3 3 4 2 3" xfId="9563" xr:uid="{9EB963A8-BA6B-4E3A-9346-12048320F1D0}"/>
    <cellStyle name="Calculation 3 3 4 3" xfId="3580" xr:uid="{00000000-0005-0000-0000-00001E020000}"/>
    <cellStyle name="Calculation 3 3 4 3 2" xfId="7474" xr:uid="{00000000-0005-0000-0000-00001F020000}"/>
    <cellStyle name="Calculation 3 3 4 3 3" xfId="11483" xr:uid="{C9D6156C-0496-42DA-9DE8-8EA928EBFA06}"/>
    <cellStyle name="Calculation 3 3 4 4" xfId="4939" xr:uid="{00000000-0005-0000-0000-000020020000}"/>
    <cellStyle name="Calculation 3 3 4 5" xfId="8948" xr:uid="{3ED47F18-717C-4F95-BD78-992ACED8F95F}"/>
    <cellStyle name="Calculation 3 3 4 6" xfId="12839" xr:uid="{73EB44EF-2D84-4003-A384-05D69FB6DD05}"/>
    <cellStyle name="Calculation 3 3 5" xfId="1648" xr:uid="{00000000-0005-0000-0000-000021020000}"/>
    <cellStyle name="Calculation 3 3 5 2" xfId="5547" xr:uid="{00000000-0005-0000-0000-000022020000}"/>
    <cellStyle name="Calculation 3 3 5 3" xfId="9556" xr:uid="{55539F4A-1607-476E-AD33-71B1EEE13654}"/>
    <cellStyle name="Calculation 3 3 6" xfId="2983" xr:uid="{00000000-0005-0000-0000-000023020000}"/>
    <cellStyle name="Calculation 3 3 6 2" xfId="6877" xr:uid="{00000000-0005-0000-0000-000024020000}"/>
    <cellStyle name="Calculation 3 3 6 3" xfId="10886" xr:uid="{33815EE2-FFAC-482D-8B5E-8E5F01C59628}"/>
    <cellStyle name="Calculation 3 3 7" xfId="4161" xr:uid="{00000000-0005-0000-0000-000025020000}"/>
    <cellStyle name="Calculation 3 3 8" xfId="8170" xr:uid="{38EE824B-90F3-4B83-B401-74A6EC2148B0}"/>
    <cellStyle name="Calculation 3 3 9" xfId="12061" xr:uid="{17CFAD37-2C1E-4233-933C-BC0E9EE47359}"/>
    <cellStyle name="Calculation 3 4" xfId="249" xr:uid="{00000000-0005-0000-0000-000026020000}"/>
    <cellStyle name="Calculation 3 4 10" xfId="13498" xr:uid="{55503B20-41D1-4749-9D6C-5B3AB97240FE}"/>
    <cellStyle name="Calculation 3 4 2" xfId="407" xr:uid="{00000000-0005-0000-0000-000027020000}"/>
    <cellStyle name="Calculation 3 4 2 2" xfId="737" xr:uid="{00000000-0005-0000-0000-000028020000}"/>
    <cellStyle name="Calculation 3 4 2 2 2" xfId="1518" xr:uid="{00000000-0005-0000-0000-000029020000}"/>
    <cellStyle name="Calculation 3 4 2 2 2 2" xfId="1659" xr:uid="{00000000-0005-0000-0000-00002A020000}"/>
    <cellStyle name="Calculation 3 4 2 2 2 2 2" xfId="5558" xr:uid="{00000000-0005-0000-0000-00002B020000}"/>
    <cellStyle name="Calculation 3 4 2 2 2 2 3" xfId="9567" xr:uid="{E058C4C3-9A6F-4C5D-90EB-6B59C706A10E}"/>
    <cellStyle name="Calculation 3 4 2 2 2 3" xfId="3878" xr:uid="{00000000-0005-0000-0000-00002C020000}"/>
    <cellStyle name="Calculation 3 4 2 2 2 3 2" xfId="7772" xr:uid="{00000000-0005-0000-0000-00002D020000}"/>
    <cellStyle name="Calculation 3 4 2 2 2 3 3" xfId="11781" xr:uid="{7B8680E7-0B39-48CF-A0E5-EF36966D842E}"/>
    <cellStyle name="Calculation 3 4 2 2 2 4" xfId="5419" xr:uid="{00000000-0005-0000-0000-00002E020000}"/>
    <cellStyle name="Calculation 3 4 2 2 2 5" xfId="9428" xr:uid="{9B01A609-C163-4D95-8F95-BA32C9F57295}"/>
    <cellStyle name="Calculation 3 4 2 2 2 6" xfId="13319" xr:uid="{21C15AAB-F546-4D19-B60B-7B0E5DBF546C}"/>
    <cellStyle name="Calculation 3 4 2 2 3" xfId="1658" xr:uid="{00000000-0005-0000-0000-00002F020000}"/>
    <cellStyle name="Calculation 3 4 2 2 3 2" xfId="5557" xr:uid="{00000000-0005-0000-0000-000030020000}"/>
    <cellStyle name="Calculation 3 4 2 2 3 3" xfId="9566" xr:uid="{B405C6FE-B6BA-46FB-84DD-7C7BB54789B5}"/>
    <cellStyle name="Calculation 3 4 2 2 4" xfId="3463" xr:uid="{00000000-0005-0000-0000-000031020000}"/>
    <cellStyle name="Calculation 3 4 2 2 4 2" xfId="7357" xr:uid="{00000000-0005-0000-0000-000032020000}"/>
    <cellStyle name="Calculation 3 4 2 2 4 3" xfId="11366" xr:uid="{9A2A5A4D-C24E-469F-B912-6B36F1CBCFBE}"/>
    <cellStyle name="Calculation 3 4 2 2 5" xfId="4641" xr:uid="{00000000-0005-0000-0000-000033020000}"/>
    <cellStyle name="Calculation 3 4 2 2 6" xfId="8650" xr:uid="{C4459661-6C94-4F41-A182-D897DBA6B7FD}"/>
    <cellStyle name="Calculation 3 4 2 2 7" xfId="12541" xr:uid="{DB4E4458-0BAA-4041-BCF0-DC3A25987720}"/>
    <cellStyle name="Calculation 3 4 2 3" xfId="1197" xr:uid="{00000000-0005-0000-0000-000034020000}"/>
    <cellStyle name="Calculation 3 4 2 3 2" xfId="1660" xr:uid="{00000000-0005-0000-0000-000035020000}"/>
    <cellStyle name="Calculation 3 4 2 3 2 2" xfId="5559" xr:uid="{00000000-0005-0000-0000-000036020000}"/>
    <cellStyle name="Calculation 3 4 2 3 2 3" xfId="9568" xr:uid="{DEC194C7-9234-42AE-9DCF-605F0D92081B}"/>
    <cellStyle name="Calculation 3 4 2 3 3" xfId="3680" xr:uid="{00000000-0005-0000-0000-000037020000}"/>
    <cellStyle name="Calculation 3 4 2 3 3 2" xfId="7574" xr:uid="{00000000-0005-0000-0000-000038020000}"/>
    <cellStyle name="Calculation 3 4 2 3 3 3" xfId="11583" xr:uid="{2F2712B0-7F2A-415C-BAD9-B28FC7208193}"/>
    <cellStyle name="Calculation 3 4 2 3 4" xfId="5098" xr:uid="{00000000-0005-0000-0000-000039020000}"/>
    <cellStyle name="Calculation 3 4 2 3 5" xfId="9107" xr:uid="{2C05CCD1-247B-48D8-AAAF-6FB6DD22D557}"/>
    <cellStyle name="Calculation 3 4 2 3 6" xfId="12998" xr:uid="{603667FD-E00A-4958-BE78-73F786A3E79D}"/>
    <cellStyle name="Calculation 3 4 2 4" xfId="1657" xr:uid="{00000000-0005-0000-0000-00003A020000}"/>
    <cellStyle name="Calculation 3 4 2 4 2" xfId="5556" xr:uid="{00000000-0005-0000-0000-00003B020000}"/>
    <cellStyle name="Calculation 3 4 2 4 3" xfId="9565" xr:uid="{6DA7C48A-80B1-4DD2-9E2E-441C3AA4BF04}"/>
    <cellStyle name="Calculation 3 4 2 5" xfId="3142" xr:uid="{00000000-0005-0000-0000-00003C020000}"/>
    <cellStyle name="Calculation 3 4 2 5 2" xfId="7036" xr:uid="{00000000-0005-0000-0000-00003D020000}"/>
    <cellStyle name="Calculation 3 4 2 5 3" xfId="11045" xr:uid="{9F9A1D2E-074B-4E0C-B902-389E1CC52DCD}"/>
    <cellStyle name="Calculation 3 4 2 6" xfId="4320" xr:uid="{00000000-0005-0000-0000-00003E020000}"/>
    <cellStyle name="Calculation 3 4 2 7" xfId="8329" xr:uid="{C992AA71-31AC-4283-AB46-3AAD0880A5C5}"/>
    <cellStyle name="Calculation 3 4 2 8" xfId="12220" xr:uid="{886EB2DA-7518-424E-968B-AA2B3E6FBC12}"/>
    <cellStyle name="Calculation 3 4 3" xfId="579" xr:uid="{00000000-0005-0000-0000-00003F020000}"/>
    <cellStyle name="Calculation 3 4 3 2" xfId="1360" xr:uid="{00000000-0005-0000-0000-000040020000}"/>
    <cellStyle name="Calculation 3 4 3 2 2" xfId="1662" xr:uid="{00000000-0005-0000-0000-000041020000}"/>
    <cellStyle name="Calculation 3 4 3 2 2 2" xfId="5561" xr:uid="{00000000-0005-0000-0000-000042020000}"/>
    <cellStyle name="Calculation 3 4 3 2 2 3" xfId="9570" xr:uid="{2C675062-CC73-4A10-B59E-0E4E94DACB87}"/>
    <cellStyle name="Calculation 3 4 3 2 3" xfId="3779" xr:uid="{00000000-0005-0000-0000-000043020000}"/>
    <cellStyle name="Calculation 3 4 3 2 3 2" xfId="7673" xr:uid="{00000000-0005-0000-0000-000044020000}"/>
    <cellStyle name="Calculation 3 4 3 2 3 3" xfId="11682" xr:uid="{C76F4443-9D82-41EC-83CE-0A2F97BB43C5}"/>
    <cellStyle name="Calculation 3 4 3 2 4" xfId="5261" xr:uid="{00000000-0005-0000-0000-000045020000}"/>
    <cellStyle name="Calculation 3 4 3 2 5" xfId="9270" xr:uid="{F9EA9531-EFBD-4D07-AC4C-D9DCA37ED978}"/>
    <cellStyle name="Calculation 3 4 3 2 6" xfId="13161" xr:uid="{DAB23BF5-1EDB-4D20-BE5C-4BB1D28B961B}"/>
    <cellStyle name="Calculation 3 4 3 3" xfId="1661" xr:uid="{00000000-0005-0000-0000-000046020000}"/>
    <cellStyle name="Calculation 3 4 3 3 2" xfId="5560" xr:uid="{00000000-0005-0000-0000-000047020000}"/>
    <cellStyle name="Calculation 3 4 3 3 3" xfId="9569" xr:uid="{A93F48F8-92D9-405D-B8B1-1B9AAE2CFD4D}"/>
    <cellStyle name="Calculation 3 4 3 4" xfId="3305" xr:uid="{00000000-0005-0000-0000-000048020000}"/>
    <cellStyle name="Calculation 3 4 3 4 2" xfId="7199" xr:uid="{00000000-0005-0000-0000-000049020000}"/>
    <cellStyle name="Calculation 3 4 3 4 3" xfId="11208" xr:uid="{C76BFA17-1152-4D6E-B2F1-E801708C3228}"/>
    <cellStyle name="Calculation 3 4 3 5" xfId="4483" xr:uid="{00000000-0005-0000-0000-00004A020000}"/>
    <cellStyle name="Calculation 3 4 3 6" xfId="8492" xr:uid="{ED0AC969-7265-486A-B574-EECC9C85771B}"/>
    <cellStyle name="Calculation 3 4 3 7" xfId="12383" xr:uid="{7050295B-8278-4B87-9848-39146AEB2830}"/>
    <cellStyle name="Calculation 3 4 4" xfId="1039" xr:uid="{00000000-0005-0000-0000-00004B020000}"/>
    <cellStyle name="Calculation 3 4 4 2" xfId="1663" xr:uid="{00000000-0005-0000-0000-00004C020000}"/>
    <cellStyle name="Calculation 3 4 4 2 2" xfId="5562" xr:uid="{00000000-0005-0000-0000-00004D020000}"/>
    <cellStyle name="Calculation 3 4 4 2 3" xfId="9571" xr:uid="{6D5C08FB-8D11-4DEB-844F-BFFA7A2E6D31}"/>
    <cellStyle name="Calculation 3 4 4 3" xfId="3581" xr:uid="{00000000-0005-0000-0000-00004E020000}"/>
    <cellStyle name="Calculation 3 4 4 3 2" xfId="7475" xr:uid="{00000000-0005-0000-0000-00004F020000}"/>
    <cellStyle name="Calculation 3 4 4 3 3" xfId="11484" xr:uid="{84812AC0-4461-4D5C-9C4C-F26CE1D875D9}"/>
    <cellStyle name="Calculation 3 4 4 4" xfId="4940" xr:uid="{00000000-0005-0000-0000-000050020000}"/>
    <cellStyle name="Calculation 3 4 4 5" xfId="8949" xr:uid="{3447BB09-2A70-4B72-8026-97E45E3B2A58}"/>
    <cellStyle name="Calculation 3 4 4 6" xfId="12840" xr:uid="{D72021E7-AB1F-4D89-B253-2E50BB49097E}"/>
    <cellStyle name="Calculation 3 4 5" xfId="1656" xr:uid="{00000000-0005-0000-0000-000051020000}"/>
    <cellStyle name="Calculation 3 4 5 2" xfId="5555" xr:uid="{00000000-0005-0000-0000-000052020000}"/>
    <cellStyle name="Calculation 3 4 5 3" xfId="9564" xr:uid="{31BDCDF5-5204-4844-A3E2-544720B8B879}"/>
    <cellStyle name="Calculation 3 4 6" xfId="2984" xr:uid="{00000000-0005-0000-0000-000053020000}"/>
    <cellStyle name="Calculation 3 4 6 2" xfId="6878" xr:uid="{00000000-0005-0000-0000-000054020000}"/>
    <cellStyle name="Calculation 3 4 6 3" xfId="10887" xr:uid="{BE20D3A8-A0ED-4A12-BF15-1B0D03C5A632}"/>
    <cellStyle name="Calculation 3 4 7" xfId="4162" xr:uid="{00000000-0005-0000-0000-000055020000}"/>
    <cellStyle name="Calculation 3 4 8" xfId="8171" xr:uid="{DF490DBE-852B-4F61-A700-01B3BAF1E735}"/>
    <cellStyle name="Calculation 3 4 9" xfId="12062" xr:uid="{CE80D2E5-5639-4BBE-800F-A95E5A27F150}"/>
    <cellStyle name="Calculation 3 5" xfId="324" xr:uid="{00000000-0005-0000-0000-000056020000}"/>
    <cellStyle name="Calculation 3 5 2" xfId="654" xr:uid="{00000000-0005-0000-0000-000057020000}"/>
    <cellStyle name="Calculation 3 5 2 2" xfId="1435" xr:uid="{00000000-0005-0000-0000-000058020000}"/>
    <cellStyle name="Calculation 3 5 2 2 2" xfId="1666" xr:uid="{00000000-0005-0000-0000-000059020000}"/>
    <cellStyle name="Calculation 3 5 2 2 2 2" xfId="5565" xr:uid="{00000000-0005-0000-0000-00005A020000}"/>
    <cellStyle name="Calculation 3 5 2 2 2 3" xfId="9574" xr:uid="{49C08D33-CC62-4A5A-9005-DE267D09628D}"/>
    <cellStyle name="Calculation 3 5 2 2 3" xfId="3824" xr:uid="{00000000-0005-0000-0000-00005B020000}"/>
    <cellStyle name="Calculation 3 5 2 2 3 2" xfId="7718" xr:uid="{00000000-0005-0000-0000-00005C020000}"/>
    <cellStyle name="Calculation 3 5 2 2 3 3" xfId="11727" xr:uid="{CA2D97CD-3565-45F6-8F47-5B697CDE63D6}"/>
    <cellStyle name="Calculation 3 5 2 2 4" xfId="5336" xr:uid="{00000000-0005-0000-0000-00005D020000}"/>
    <cellStyle name="Calculation 3 5 2 2 5" xfId="9345" xr:uid="{F39B6610-5C8A-4017-9373-E9CD436ED0F4}"/>
    <cellStyle name="Calculation 3 5 2 2 6" xfId="13236" xr:uid="{E4F49FBC-26E1-4C5D-8E56-8C026F30D82D}"/>
    <cellStyle name="Calculation 3 5 2 3" xfId="1665" xr:uid="{00000000-0005-0000-0000-00005E020000}"/>
    <cellStyle name="Calculation 3 5 2 3 2" xfId="5564" xr:uid="{00000000-0005-0000-0000-00005F020000}"/>
    <cellStyle name="Calculation 3 5 2 3 3" xfId="9573" xr:uid="{66F3AAE4-D056-4F27-92A3-79BE74B44B92}"/>
    <cellStyle name="Calculation 3 5 2 4" xfId="3380" xr:uid="{00000000-0005-0000-0000-000060020000}"/>
    <cellStyle name="Calculation 3 5 2 4 2" xfId="7274" xr:uid="{00000000-0005-0000-0000-000061020000}"/>
    <cellStyle name="Calculation 3 5 2 4 3" xfId="11283" xr:uid="{0F5855DB-7B62-4E6A-A020-1C2209F3F7BA}"/>
    <cellStyle name="Calculation 3 5 2 5" xfId="4558" xr:uid="{00000000-0005-0000-0000-000062020000}"/>
    <cellStyle name="Calculation 3 5 2 6" xfId="8567" xr:uid="{E1387172-5219-466B-B65C-20A889F303D6}"/>
    <cellStyle name="Calculation 3 5 2 7" xfId="12458" xr:uid="{38EBBBE5-2B6D-4391-B79F-8CBA9812095D}"/>
    <cellStyle name="Calculation 3 5 3" xfId="1114" xr:uid="{00000000-0005-0000-0000-000063020000}"/>
    <cellStyle name="Calculation 3 5 3 2" xfId="1667" xr:uid="{00000000-0005-0000-0000-000064020000}"/>
    <cellStyle name="Calculation 3 5 3 2 2" xfId="5566" xr:uid="{00000000-0005-0000-0000-000065020000}"/>
    <cellStyle name="Calculation 3 5 3 2 3" xfId="9575" xr:uid="{6AF4944C-A706-49D4-8E3C-00C798B92FF5}"/>
    <cellStyle name="Calculation 3 5 3 3" xfId="3626" xr:uid="{00000000-0005-0000-0000-000066020000}"/>
    <cellStyle name="Calculation 3 5 3 3 2" xfId="7520" xr:uid="{00000000-0005-0000-0000-000067020000}"/>
    <cellStyle name="Calculation 3 5 3 3 3" xfId="11529" xr:uid="{A3797150-4D6A-4CF4-9996-BB0EB9D6ED43}"/>
    <cellStyle name="Calculation 3 5 3 4" xfId="5015" xr:uid="{00000000-0005-0000-0000-000068020000}"/>
    <cellStyle name="Calculation 3 5 3 5" xfId="9024" xr:uid="{3DD417E4-03D2-4BDC-8EA3-A75B7704062A}"/>
    <cellStyle name="Calculation 3 5 3 6" xfId="12915" xr:uid="{4259C2ED-57A1-475E-9D9C-DA6F82080356}"/>
    <cellStyle name="Calculation 3 5 4" xfId="1664" xr:uid="{00000000-0005-0000-0000-000069020000}"/>
    <cellStyle name="Calculation 3 5 4 2" xfId="5563" xr:uid="{00000000-0005-0000-0000-00006A020000}"/>
    <cellStyle name="Calculation 3 5 4 3" xfId="9572" xr:uid="{63E05476-90B2-434F-8A72-1A7E311706E9}"/>
    <cellStyle name="Calculation 3 5 5" xfId="3059" xr:uid="{00000000-0005-0000-0000-00006B020000}"/>
    <cellStyle name="Calculation 3 5 5 2" xfId="6953" xr:uid="{00000000-0005-0000-0000-00006C020000}"/>
    <cellStyle name="Calculation 3 5 5 3" xfId="10962" xr:uid="{BAFB2C5F-1E5B-43B9-8B7F-07D1FA369D2B}"/>
    <cellStyle name="Calculation 3 5 6" xfId="4237" xr:uid="{00000000-0005-0000-0000-00006D020000}"/>
    <cellStyle name="Calculation 3 5 7" xfId="8246" xr:uid="{D1EB2FC9-EC7F-41E6-A3FD-12E0BF8C9FF5}"/>
    <cellStyle name="Calculation 3 5 8" xfId="12137" xr:uid="{9EE40333-4CBB-4EA6-8F9F-112ABA0D5853}"/>
    <cellStyle name="Calculation 3 6" xfId="486" xr:uid="{00000000-0005-0000-0000-00006E020000}"/>
    <cellStyle name="Calculation 3 6 2" xfId="1270" xr:uid="{00000000-0005-0000-0000-00006F020000}"/>
    <cellStyle name="Calculation 3 6 2 2" xfId="1669" xr:uid="{00000000-0005-0000-0000-000070020000}"/>
    <cellStyle name="Calculation 3 6 2 2 2" xfId="5568" xr:uid="{00000000-0005-0000-0000-000071020000}"/>
    <cellStyle name="Calculation 3 6 2 2 3" xfId="9577" xr:uid="{E522A55C-36A3-45DD-B057-AFB30FDFC22D}"/>
    <cellStyle name="Calculation 3 6 2 3" xfId="3725" xr:uid="{00000000-0005-0000-0000-000072020000}"/>
    <cellStyle name="Calculation 3 6 2 3 2" xfId="7619" xr:uid="{00000000-0005-0000-0000-000073020000}"/>
    <cellStyle name="Calculation 3 6 2 3 3" xfId="11628" xr:uid="{5E485CD5-48AC-4227-A2E8-20E3D3737026}"/>
    <cellStyle name="Calculation 3 6 2 4" xfId="5171" xr:uid="{00000000-0005-0000-0000-000074020000}"/>
    <cellStyle name="Calculation 3 6 2 5" xfId="9180" xr:uid="{4A974AF2-B4B8-4423-A1D7-CE128402C6FC}"/>
    <cellStyle name="Calculation 3 6 2 6" xfId="13071" xr:uid="{20C551D9-E435-49E6-87E2-5C2C725CB8FF}"/>
    <cellStyle name="Calculation 3 6 3" xfId="1668" xr:uid="{00000000-0005-0000-0000-000075020000}"/>
    <cellStyle name="Calculation 3 6 3 2" xfId="5567" xr:uid="{00000000-0005-0000-0000-000076020000}"/>
    <cellStyle name="Calculation 3 6 3 3" xfId="9576" xr:uid="{7CFE7B9C-5473-4F99-A960-663377ADC69E}"/>
    <cellStyle name="Calculation 3 6 4" xfId="3215" xr:uid="{00000000-0005-0000-0000-000077020000}"/>
    <cellStyle name="Calculation 3 6 4 2" xfId="7109" xr:uid="{00000000-0005-0000-0000-000078020000}"/>
    <cellStyle name="Calculation 3 6 4 3" xfId="11118" xr:uid="{03551F8F-5FCB-4FA4-9045-6AAEF0CF4B98}"/>
    <cellStyle name="Calculation 3 6 5" xfId="4393" xr:uid="{00000000-0005-0000-0000-000079020000}"/>
    <cellStyle name="Calculation 3 6 6" xfId="8402" xr:uid="{E06D5D82-D699-42B6-AD7C-8F5C5332ACB0}"/>
    <cellStyle name="Calculation 3 6 7" xfId="12293" xr:uid="{C6E6867E-81F3-4076-9724-CE72B145CCA4}"/>
    <cellStyle name="Calculation 3 7" xfId="949" xr:uid="{00000000-0005-0000-0000-00007A020000}"/>
    <cellStyle name="Calculation 3 7 2" xfId="1670" xr:uid="{00000000-0005-0000-0000-00007B020000}"/>
    <cellStyle name="Calculation 3 7 2 2" xfId="5569" xr:uid="{00000000-0005-0000-0000-00007C020000}"/>
    <cellStyle name="Calculation 3 7 2 3" xfId="9578" xr:uid="{FC2F5FBF-FC24-41D8-A85F-149693396D75}"/>
    <cellStyle name="Calculation 3 7 3" xfId="3527" xr:uid="{00000000-0005-0000-0000-00007D020000}"/>
    <cellStyle name="Calculation 3 7 3 2" xfId="7421" xr:uid="{00000000-0005-0000-0000-00007E020000}"/>
    <cellStyle name="Calculation 3 7 3 3" xfId="11430" xr:uid="{61CC00F6-721B-40D5-8A13-2628B4D42A8D}"/>
    <cellStyle name="Calculation 3 7 4" xfId="4850" xr:uid="{00000000-0005-0000-0000-00007F020000}"/>
    <cellStyle name="Calculation 3 7 5" xfId="8859" xr:uid="{69F1A51D-8DD2-4586-B432-EE99CC4AB12B}"/>
    <cellStyle name="Calculation 3 7 6" xfId="12750" xr:uid="{ACF400CC-3E97-4983-9658-4CD9A826C480}"/>
    <cellStyle name="Calculation 3 8" xfId="1623" xr:uid="{00000000-0005-0000-0000-000080020000}"/>
    <cellStyle name="Calculation 3 8 2" xfId="5522" xr:uid="{00000000-0005-0000-0000-000081020000}"/>
    <cellStyle name="Calculation 3 8 3" xfId="9531" xr:uid="{9B0904BC-8A38-41A5-A6BB-BC56196B3916}"/>
    <cellStyle name="Calculation 3 9" xfId="2894" xr:uid="{00000000-0005-0000-0000-000082020000}"/>
    <cellStyle name="Calculation 3 9 2" xfId="6788" xr:uid="{00000000-0005-0000-0000-000083020000}"/>
    <cellStyle name="Calculation 3 9 3" xfId="10797" xr:uid="{7FED5D2F-2AAF-4E71-B577-360D245F6444}"/>
    <cellStyle name="Calculation 4" xfId="222" xr:uid="{00000000-0005-0000-0000-000084020000}"/>
    <cellStyle name="Calculation 4 10" xfId="13471" xr:uid="{B7CFAB26-CC4E-4AE8-B876-CCF507A77BFB}"/>
    <cellStyle name="Calculation 4 2" xfId="383" xr:uid="{00000000-0005-0000-0000-000085020000}"/>
    <cellStyle name="Calculation 4 2 2" xfId="713" xr:uid="{00000000-0005-0000-0000-000086020000}"/>
    <cellStyle name="Calculation 4 2 2 2" xfId="1494" xr:uid="{00000000-0005-0000-0000-000087020000}"/>
    <cellStyle name="Calculation 4 2 2 2 2" xfId="1674" xr:uid="{00000000-0005-0000-0000-000088020000}"/>
    <cellStyle name="Calculation 4 2 2 2 2 2" xfId="5573" xr:uid="{00000000-0005-0000-0000-000089020000}"/>
    <cellStyle name="Calculation 4 2 2 2 2 3" xfId="9582" xr:uid="{7650189C-1F7D-4405-9A4E-46BADBC80F29}"/>
    <cellStyle name="Calculation 4 2 2 2 3" xfId="3865" xr:uid="{00000000-0005-0000-0000-00008A020000}"/>
    <cellStyle name="Calculation 4 2 2 2 3 2" xfId="7759" xr:uid="{00000000-0005-0000-0000-00008B020000}"/>
    <cellStyle name="Calculation 4 2 2 2 3 3" xfId="11768" xr:uid="{0B3101A8-7866-4C4B-B346-805BAB1E668F}"/>
    <cellStyle name="Calculation 4 2 2 2 4" xfId="5395" xr:uid="{00000000-0005-0000-0000-00008C020000}"/>
    <cellStyle name="Calculation 4 2 2 2 5" xfId="9404" xr:uid="{3F5626F5-B5DC-436D-A15B-9709E7D4374C}"/>
    <cellStyle name="Calculation 4 2 2 2 6" xfId="13295" xr:uid="{87C3E970-FE44-4E47-AFFA-F72D4053A9D1}"/>
    <cellStyle name="Calculation 4 2 2 3" xfId="1673" xr:uid="{00000000-0005-0000-0000-00008D020000}"/>
    <cellStyle name="Calculation 4 2 2 3 2" xfId="5572" xr:uid="{00000000-0005-0000-0000-00008E020000}"/>
    <cellStyle name="Calculation 4 2 2 3 3" xfId="9581" xr:uid="{9632909B-DD21-4972-9F25-D3BD5371B1F3}"/>
    <cellStyle name="Calculation 4 2 2 4" xfId="3439" xr:uid="{00000000-0005-0000-0000-00008F020000}"/>
    <cellStyle name="Calculation 4 2 2 4 2" xfId="7333" xr:uid="{00000000-0005-0000-0000-000090020000}"/>
    <cellStyle name="Calculation 4 2 2 4 3" xfId="11342" xr:uid="{0EB095B6-EE40-4E4C-8716-DA569854CC56}"/>
    <cellStyle name="Calculation 4 2 2 5" xfId="4617" xr:uid="{00000000-0005-0000-0000-000091020000}"/>
    <cellStyle name="Calculation 4 2 2 6" xfId="8626" xr:uid="{9E0AB4B9-B8C4-4FA6-B057-08064D2E2E93}"/>
    <cellStyle name="Calculation 4 2 2 7" xfId="12517" xr:uid="{5D82A4C7-7D51-4272-85CE-95105D26A7BA}"/>
    <cellStyle name="Calculation 4 2 3" xfId="1173" xr:uid="{00000000-0005-0000-0000-000092020000}"/>
    <cellStyle name="Calculation 4 2 3 2" xfId="1675" xr:uid="{00000000-0005-0000-0000-000093020000}"/>
    <cellStyle name="Calculation 4 2 3 2 2" xfId="5574" xr:uid="{00000000-0005-0000-0000-000094020000}"/>
    <cellStyle name="Calculation 4 2 3 2 3" xfId="9583" xr:uid="{A3536049-5D0F-418A-8BF3-80AC413006A8}"/>
    <cellStyle name="Calculation 4 2 3 3" xfId="3667" xr:uid="{00000000-0005-0000-0000-000095020000}"/>
    <cellStyle name="Calculation 4 2 3 3 2" xfId="7561" xr:uid="{00000000-0005-0000-0000-000096020000}"/>
    <cellStyle name="Calculation 4 2 3 3 3" xfId="11570" xr:uid="{38E8EBE9-7641-4BBD-950E-518D31740DBA}"/>
    <cellStyle name="Calculation 4 2 3 4" xfId="5074" xr:uid="{00000000-0005-0000-0000-000097020000}"/>
    <cellStyle name="Calculation 4 2 3 5" xfId="9083" xr:uid="{1AA7DAB1-94CA-4457-98A7-765B54C17F20}"/>
    <cellStyle name="Calculation 4 2 3 6" xfId="12974" xr:uid="{AFE9F68A-FE2F-4DCA-9BAC-0D06AA4AB361}"/>
    <cellStyle name="Calculation 4 2 4" xfId="1672" xr:uid="{00000000-0005-0000-0000-000098020000}"/>
    <cellStyle name="Calculation 4 2 4 2" xfId="5571" xr:uid="{00000000-0005-0000-0000-000099020000}"/>
    <cellStyle name="Calculation 4 2 4 3" xfId="9580" xr:uid="{C93647D0-7644-4D50-99C8-0DBB9C62559A}"/>
    <cellStyle name="Calculation 4 2 5" xfId="3118" xr:uid="{00000000-0005-0000-0000-00009A020000}"/>
    <cellStyle name="Calculation 4 2 5 2" xfId="7012" xr:uid="{00000000-0005-0000-0000-00009B020000}"/>
    <cellStyle name="Calculation 4 2 5 3" xfId="11021" xr:uid="{FDBCFA83-FBF2-41AE-8C77-DEC49D1FB171}"/>
    <cellStyle name="Calculation 4 2 6" xfId="4296" xr:uid="{00000000-0005-0000-0000-00009C020000}"/>
    <cellStyle name="Calculation 4 2 7" xfId="8305" xr:uid="{21EC0527-A94C-42FB-98B3-529DBD9CC028}"/>
    <cellStyle name="Calculation 4 2 8" xfId="12196" xr:uid="{B344F5A6-1369-4443-B89A-542D8C296D6B}"/>
    <cellStyle name="Calculation 4 3" xfId="552" xr:uid="{00000000-0005-0000-0000-00009D020000}"/>
    <cellStyle name="Calculation 4 3 2" xfId="1333" xr:uid="{00000000-0005-0000-0000-00009E020000}"/>
    <cellStyle name="Calculation 4 3 2 2" xfId="1677" xr:uid="{00000000-0005-0000-0000-00009F020000}"/>
    <cellStyle name="Calculation 4 3 2 2 2" xfId="5576" xr:uid="{00000000-0005-0000-0000-0000A0020000}"/>
    <cellStyle name="Calculation 4 3 2 2 3" xfId="9585" xr:uid="{BEA885DB-1816-4BC9-ADAD-D42D40D29946}"/>
    <cellStyle name="Calculation 4 3 2 3" xfId="3766" xr:uid="{00000000-0005-0000-0000-0000A1020000}"/>
    <cellStyle name="Calculation 4 3 2 3 2" xfId="7660" xr:uid="{00000000-0005-0000-0000-0000A2020000}"/>
    <cellStyle name="Calculation 4 3 2 3 3" xfId="11669" xr:uid="{D0B82B06-73C3-4B43-A01E-01C7CE74DC85}"/>
    <cellStyle name="Calculation 4 3 2 4" xfId="5234" xr:uid="{00000000-0005-0000-0000-0000A3020000}"/>
    <cellStyle name="Calculation 4 3 2 5" xfId="9243" xr:uid="{F6B7C60F-C0AA-4CB4-8F35-05F04A06BE4F}"/>
    <cellStyle name="Calculation 4 3 2 6" xfId="13134" xr:uid="{2234FB64-88AE-4526-8DC1-E3F667185DA2}"/>
    <cellStyle name="Calculation 4 3 3" xfId="1676" xr:uid="{00000000-0005-0000-0000-0000A4020000}"/>
    <cellStyle name="Calculation 4 3 3 2" xfId="5575" xr:uid="{00000000-0005-0000-0000-0000A5020000}"/>
    <cellStyle name="Calculation 4 3 3 3" xfId="9584" xr:uid="{2726326E-F613-49F7-9DDD-EC40C3FA6CD3}"/>
    <cellStyle name="Calculation 4 3 4" xfId="3278" xr:uid="{00000000-0005-0000-0000-0000A6020000}"/>
    <cellStyle name="Calculation 4 3 4 2" xfId="7172" xr:uid="{00000000-0005-0000-0000-0000A7020000}"/>
    <cellStyle name="Calculation 4 3 4 3" xfId="11181" xr:uid="{7E939B57-8195-4371-B79C-55EA0E4E0CD0}"/>
    <cellStyle name="Calculation 4 3 5" xfId="4456" xr:uid="{00000000-0005-0000-0000-0000A8020000}"/>
    <cellStyle name="Calculation 4 3 6" xfId="8465" xr:uid="{31F35273-545E-4EED-8DCA-52EF24FF055A}"/>
    <cellStyle name="Calculation 4 3 7" xfId="12356" xr:uid="{6C32A69A-9052-4765-94A1-8E9FF45A27B7}"/>
    <cellStyle name="Calculation 4 4" xfId="1012" xr:uid="{00000000-0005-0000-0000-0000A9020000}"/>
    <cellStyle name="Calculation 4 4 2" xfId="1678" xr:uid="{00000000-0005-0000-0000-0000AA020000}"/>
    <cellStyle name="Calculation 4 4 2 2" xfId="5577" xr:uid="{00000000-0005-0000-0000-0000AB020000}"/>
    <cellStyle name="Calculation 4 4 2 3" xfId="9586" xr:uid="{C14E319A-A95D-4A40-A762-439A61D98A78}"/>
    <cellStyle name="Calculation 4 4 3" xfId="3568" xr:uid="{00000000-0005-0000-0000-0000AC020000}"/>
    <cellStyle name="Calculation 4 4 3 2" xfId="7462" xr:uid="{00000000-0005-0000-0000-0000AD020000}"/>
    <cellStyle name="Calculation 4 4 3 3" xfId="11471" xr:uid="{2FEA3CC9-9A15-4D3E-89D6-C83713E39677}"/>
    <cellStyle name="Calculation 4 4 4" xfId="4913" xr:uid="{00000000-0005-0000-0000-0000AE020000}"/>
    <cellStyle name="Calculation 4 4 5" xfId="8922" xr:uid="{0B87493E-2641-4C3F-9A9D-7286B85862EE}"/>
    <cellStyle name="Calculation 4 4 6" xfId="12813" xr:uid="{DC6ADD0D-E852-4D13-AAC5-4DF30D7E84FA}"/>
    <cellStyle name="Calculation 4 5" xfId="1671" xr:uid="{00000000-0005-0000-0000-0000AF020000}"/>
    <cellStyle name="Calculation 4 5 2" xfId="5570" xr:uid="{00000000-0005-0000-0000-0000B0020000}"/>
    <cellStyle name="Calculation 4 5 3" xfId="9579" xr:uid="{D69BEE59-251F-4C32-B5F3-B6FCCB7CF21B}"/>
    <cellStyle name="Calculation 4 6" xfId="2957" xr:uid="{00000000-0005-0000-0000-0000B1020000}"/>
    <cellStyle name="Calculation 4 6 2" xfId="6851" xr:uid="{00000000-0005-0000-0000-0000B2020000}"/>
    <cellStyle name="Calculation 4 6 3" xfId="10860" xr:uid="{E026972D-BA80-479F-A3A6-9E52A643EFD5}"/>
    <cellStyle name="Calculation 4 7" xfId="4135" xr:uid="{00000000-0005-0000-0000-0000B3020000}"/>
    <cellStyle name="Calculation 4 8" xfId="8144" xr:uid="{C0DBE0AB-4CBC-4698-9F0A-0744ACCAE5FE}"/>
    <cellStyle name="Calculation 4 9" xfId="12035" xr:uid="{0D5AF951-AA91-4E42-88C3-B93410E223D9}"/>
    <cellStyle name="Calculation 5" xfId="294" xr:uid="{00000000-0005-0000-0000-0000B4020000}"/>
    <cellStyle name="Calculation 5 10" xfId="13543" xr:uid="{8441F89C-7FEC-4F53-915E-B3BA8C923ABA}"/>
    <cellStyle name="Calculation 5 2" xfId="450" xr:uid="{00000000-0005-0000-0000-0000B5020000}"/>
    <cellStyle name="Calculation 5 2 2" xfId="780" xr:uid="{00000000-0005-0000-0000-0000B6020000}"/>
    <cellStyle name="Calculation 5 2 2 2" xfId="1561" xr:uid="{00000000-0005-0000-0000-0000B7020000}"/>
    <cellStyle name="Calculation 5 2 2 2 2" xfId="1682" xr:uid="{00000000-0005-0000-0000-0000B8020000}"/>
    <cellStyle name="Calculation 5 2 2 2 2 2" xfId="5581" xr:uid="{00000000-0005-0000-0000-0000B9020000}"/>
    <cellStyle name="Calculation 5 2 2 2 2 3" xfId="9590" xr:uid="{38B204C3-3F2C-4A43-89A9-D2CF2D224F6B}"/>
    <cellStyle name="Calculation 5 2 2 2 3" xfId="3907" xr:uid="{00000000-0005-0000-0000-0000BA020000}"/>
    <cellStyle name="Calculation 5 2 2 2 3 2" xfId="7801" xr:uid="{00000000-0005-0000-0000-0000BB020000}"/>
    <cellStyle name="Calculation 5 2 2 2 3 3" xfId="11810" xr:uid="{889750E0-7534-468E-B6A1-38F6C1BC1282}"/>
    <cellStyle name="Calculation 5 2 2 2 4" xfId="5462" xr:uid="{00000000-0005-0000-0000-0000BC020000}"/>
    <cellStyle name="Calculation 5 2 2 2 5" xfId="9471" xr:uid="{08F1C9CA-8D44-4355-824A-0BD82B6FFD34}"/>
    <cellStyle name="Calculation 5 2 2 2 6" xfId="13362" xr:uid="{EEEF60BB-A0E4-4C86-8B1E-2412B8B97743}"/>
    <cellStyle name="Calculation 5 2 2 3" xfId="1681" xr:uid="{00000000-0005-0000-0000-0000BD020000}"/>
    <cellStyle name="Calculation 5 2 2 3 2" xfId="5580" xr:uid="{00000000-0005-0000-0000-0000BE020000}"/>
    <cellStyle name="Calculation 5 2 2 3 3" xfId="9589" xr:uid="{6DD3896C-9EEF-408E-A3C9-E78E66993A1B}"/>
    <cellStyle name="Calculation 5 2 2 4" xfId="3506" xr:uid="{00000000-0005-0000-0000-0000BF020000}"/>
    <cellStyle name="Calculation 5 2 2 4 2" xfId="7400" xr:uid="{00000000-0005-0000-0000-0000C0020000}"/>
    <cellStyle name="Calculation 5 2 2 4 3" xfId="11409" xr:uid="{212B1D28-E390-4BAF-B969-0B6663DBFB9C}"/>
    <cellStyle name="Calculation 5 2 2 5" xfId="4684" xr:uid="{00000000-0005-0000-0000-0000C1020000}"/>
    <cellStyle name="Calculation 5 2 2 6" xfId="8693" xr:uid="{DB3CE2A9-740B-4AB5-B6CF-57815F33B97F}"/>
    <cellStyle name="Calculation 5 2 2 7" xfId="12584" xr:uid="{F5ABF8E3-94DA-46EC-BF68-3369E5FF99C2}"/>
    <cellStyle name="Calculation 5 2 3" xfId="1240" xr:uid="{00000000-0005-0000-0000-0000C2020000}"/>
    <cellStyle name="Calculation 5 2 3 2" xfId="1683" xr:uid="{00000000-0005-0000-0000-0000C3020000}"/>
    <cellStyle name="Calculation 5 2 3 2 2" xfId="5582" xr:uid="{00000000-0005-0000-0000-0000C4020000}"/>
    <cellStyle name="Calculation 5 2 3 2 3" xfId="9591" xr:uid="{907F1B63-6185-44EB-97BA-15820403748F}"/>
    <cellStyle name="Calculation 5 2 3 3" xfId="3709" xr:uid="{00000000-0005-0000-0000-0000C5020000}"/>
    <cellStyle name="Calculation 5 2 3 3 2" xfId="7603" xr:uid="{00000000-0005-0000-0000-0000C6020000}"/>
    <cellStyle name="Calculation 5 2 3 3 3" xfId="11612" xr:uid="{F870618F-C2E3-4763-AF92-C29B2D30DB7F}"/>
    <cellStyle name="Calculation 5 2 3 4" xfId="5141" xr:uid="{00000000-0005-0000-0000-0000C7020000}"/>
    <cellStyle name="Calculation 5 2 3 5" xfId="9150" xr:uid="{51A29750-EE7F-465E-B2CD-43E6A55C2C37}"/>
    <cellStyle name="Calculation 5 2 3 6" xfId="13041" xr:uid="{58659CE2-0AF2-49DA-8D37-A2F0860FEC86}"/>
    <cellStyle name="Calculation 5 2 4" xfId="1680" xr:uid="{00000000-0005-0000-0000-0000C8020000}"/>
    <cellStyle name="Calculation 5 2 4 2" xfId="5579" xr:uid="{00000000-0005-0000-0000-0000C9020000}"/>
    <cellStyle name="Calculation 5 2 4 3" xfId="9588" xr:uid="{E366E28C-E4C5-43EE-A8D1-6031993EB2BF}"/>
    <cellStyle name="Calculation 5 2 5" xfId="3185" xr:uid="{00000000-0005-0000-0000-0000CA020000}"/>
    <cellStyle name="Calculation 5 2 5 2" xfId="7079" xr:uid="{00000000-0005-0000-0000-0000CB020000}"/>
    <cellStyle name="Calculation 5 2 5 3" xfId="11088" xr:uid="{C403F83E-CE97-4A94-A548-63240113A497}"/>
    <cellStyle name="Calculation 5 2 6" xfId="4363" xr:uid="{00000000-0005-0000-0000-0000CC020000}"/>
    <cellStyle name="Calculation 5 2 7" xfId="8372" xr:uid="{CB32DF7E-5323-4452-9556-A8F51001678A}"/>
    <cellStyle name="Calculation 5 2 8" xfId="12263" xr:uid="{F187107F-83A3-4457-B972-A5712D35E43C}"/>
    <cellStyle name="Calculation 5 3" xfId="624" xr:uid="{00000000-0005-0000-0000-0000CD020000}"/>
    <cellStyle name="Calculation 5 3 2" xfId="1405" xr:uid="{00000000-0005-0000-0000-0000CE020000}"/>
    <cellStyle name="Calculation 5 3 2 2" xfId="1685" xr:uid="{00000000-0005-0000-0000-0000CF020000}"/>
    <cellStyle name="Calculation 5 3 2 2 2" xfId="5584" xr:uid="{00000000-0005-0000-0000-0000D0020000}"/>
    <cellStyle name="Calculation 5 3 2 2 3" xfId="9593" xr:uid="{1CAC7F34-6F65-4574-AD69-2F13EBD6973A}"/>
    <cellStyle name="Calculation 5 3 2 3" xfId="3808" xr:uid="{00000000-0005-0000-0000-0000D1020000}"/>
    <cellStyle name="Calculation 5 3 2 3 2" xfId="7702" xr:uid="{00000000-0005-0000-0000-0000D2020000}"/>
    <cellStyle name="Calculation 5 3 2 3 3" xfId="11711" xr:uid="{5B494C43-DE68-493C-8A0A-F7A9712C37D4}"/>
    <cellStyle name="Calculation 5 3 2 4" xfId="5306" xr:uid="{00000000-0005-0000-0000-0000D3020000}"/>
    <cellStyle name="Calculation 5 3 2 5" xfId="9315" xr:uid="{96DFFEDF-9227-4926-982D-DDAA44DBDE50}"/>
    <cellStyle name="Calculation 5 3 2 6" xfId="13206" xr:uid="{AD5F47E9-C72C-4872-8621-6BE71913EF41}"/>
    <cellStyle name="Calculation 5 3 3" xfId="1684" xr:uid="{00000000-0005-0000-0000-0000D4020000}"/>
    <cellStyle name="Calculation 5 3 3 2" xfId="5583" xr:uid="{00000000-0005-0000-0000-0000D5020000}"/>
    <cellStyle name="Calculation 5 3 3 3" xfId="9592" xr:uid="{76CDBA75-BE5C-4634-83C1-0BCF9747A4BD}"/>
    <cellStyle name="Calculation 5 3 4" xfId="3350" xr:uid="{00000000-0005-0000-0000-0000D6020000}"/>
    <cellStyle name="Calculation 5 3 4 2" xfId="7244" xr:uid="{00000000-0005-0000-0000-0000D7020000}"/>
    <cellStyle name="Calculation 5 3 4 3" xfId="11253" xr:uid="{F127492C-C86E-4E4F-BCFB-CFBBE4E5D216}"/>
    <cellStyle name="Calculation 5 3 5" xfId="4528" xr:uid="{00000000-0005-0000-0000-0000D8020000}"/>
    <cellStyle name="Calculation 5 3 6" xfId="8537" xr:uid="{8F581302-00E8-4255-B539-BA8BAB36275E}"/>
    <cellStyle name="Calculation 5 3 7" xfId="12428" xr:uid="{E901104D-C89A-45A1-B277-D0F804F9E38D}"/>
    <cellStyle name="Calculation 5 4" xfId="1084" xr:uid="{00000000-0005-0000-0000-0000D9020000}"/>
    <cellStyle name="Calculation 5 4 2" xfId="1686" xr:uid="{00000000-0005-0000-0000-0000DA020000}"/>
    <cellStyle name="Calculation 5 4 2 2" xfId="5585" xr:uid="{00000000-0005-0000-0000-0000DB020000}"/>
    <cellStyle name="Calculation 5 4 2 3" xfId="9594" xr:uid="{1E185EFD-21EC-4824-8C3C-6DDD0045ACB9}"/>
    <cellStyle name="Calculation 5 4 3" xfId="3610" xr:uid="{00000000-0005-0000-0000-0000DC020000}"/>
    <cellStyle name="Calculation 5 4 3 2" xfId="7504" xr:uid="{00000000-0005-0000-0000-0000DD020000}"/>
    <cellStyle name="Calculation 5 4 3 3" xfId="11513" xr:uid="{4B525BBF-B682-48FB-9F17-DF4AC64A25AF}"/>
    <cellStyle name="Calculation 5 4 4" xfId="4985" xr:uid="{00000000-0005-0000-0000-0000DE020000}"/>
    <cellStyle name="Calculation 5 4 5" xfId="8994" xr:uid="{792C22B4-039C-491D-8DC0-C8369677122C}"/>
    <cellStyle name="Calculation 5 4 6" xfId="12885" xr:uid="{6740CC74-B6FE-46F9-8E6A-852D93581DDE}"/>
    <cellStyle name="Calculation 5 5" xfId="1679" xr:uid="{00000000-0005-0000-0000-0000DF020000}"/>
    <cellStyle name="Calculation 5 5 2" xfId="5578" xr:uid="{00000000-0005-0000-0000-0000E0020000}"/>
    <cellStyle name="Calculation 5 5 3" xfId="9587" xr:uid="{02DED190-9495-4566-B3F3-F00F9F6C785E}"/>
    <cellStyle name="Calculation 5 6" xfId="3029" xr:uid="{00000000-0005-0000-0000-0000E1020000}"/>
    <cellStyle name="Calculation 5 6 2" xfId="6923" xr:uid="{00000000-0005-0000-0000-0000E2020000}"/>
    <cellStyle name="Calculation 5 6 3" xfId="10932" xr:uid="{66A84499-D88D-473F-B457-2CA56FD6357F}"/>
    <cellStyle name="Calculation 5 7" xfId="4207" xr:uid="{00000000-0005-0000-0000-0000E3020000}"/>
    <cellStyle name="Calculation 5 8" xfId="8216" xr:uid="{3B603339-1AF7-493F-9767-0D6347575441}"/>
    <cellStyle name="Calculation 5 9" xfId="12107" xr:uid="{94D2F3DC-1E42-43A1-A1C8-E7C49AB5EE9A}"/>
    <cellStyle name="Calculation 6" xfId="308" xr:uid="{00000000-0005-0000-0000-0000E4020000}"/>
    <cellStyle name="Calculation 6 2" xfId="638" xr:uid="{00000000-0005-0000-0000-0000E5020000}"/>
    <cellStyle name="Calculation 6 2 2" xfId="1419" xr:uid="{00000000-0005-0000-0000-0000E6020000}"/>
    <cellStyle name="Calculation 6 2 2 2" xfId="1689" xr:uid="{00000000-0005-0000-0000-0000E7020000}"/>
    <cellStyle name="Calculation 6 2 2 2 2" xfId="5588" xr:uid="{00000000-0005-0000-0000-0000E8020000}"/>
    <cellStyle name="Calculation 6 2 2 2 3" xfId="9597" xr:uid="{4D9A1E3E-4771-4B61-99C7-879B6F97390E}"/>
    <cellStyle name="Calculation 6 2 2 3" xfId="3815" xr:uid="{00000000-0005-0000-0000-0000E9020000}"/>
    <cellStyle name="Calculation 6 2 2 3 2" xfId="7709" xr:uid="{00000000-0005-0000-0000-0000EA020000}"/>
    <cellStyle name="Calculation 6 2 2 3 3" xfId="11718" xr:uid="{E31BD95B-FA93-486F-AB9E-FAEB3EE23625}"/>
    <cellStyle name="Calculation 6 2 2 4" xfId="5320" xr:uid="{00000000-0005-0000-0000-0000EB020000}"/>
    <cellStyle name="Calculation 6 2 2 5" xfId="9329" xr:uid="{A76AB75F-C6FD-45B6-8857-E94C1C6DCFB0}"/>
    <cellStyle name="Calculation 6 2 2 6" xfId="13220" xr:uid="{7126A51E-2FF5-48EC-A498-FC1D9FDF9A5D}"/>
    <cellStyle name="Calculation 6 2 3" xfId="1688" xr:uid="{00000000-0005-0000-0000-0000EC020000}"/>
    <cellStyle name="Calculation 6 2 3 2" xfId="5587" xr:uid="{00000000-0005-0000-0000-0000ED020000}"/>
    <cellStyle name="Calculation 6 2 3 3" xfId="9596" xr:uid="{C6322573-6155-41B3-B923-2087991A63B7}"/>
    <cellStyle name="Calculation 6 2 4" xfId="3364" xr:uid="{00000000-0005-0000-0000-0000EE020000}"/>
    <cellStyle name="Calculation 6 2 4 2" xfId="7258" xr:uid="{00000000-0005-0000-0000-0000EF020000}"/>
    <cellStyle name="Calculation 6 2 4 3" xfId="11267" xr:uid="{4A8ADD1F-616B-4CAD-8769-AE9A9F4D19FD}"/>
    <cellStyle name="Calculation 6 2 5" xfId="4542" xr:uid="{00000000-0005-0000-0000-0000F0020000}"/>
    <cellStyle name="Calculation 6 2 6" xfId="8551" xr:uid="{928083C7-3551-4ABE-A805-A5EAA003C2CB}"/>
    <cellStyle name="Calculation 6 2 7" xfId="12442" xr:uid="{F53E9629-FB5F-45E4-A057-FA252F0ADCF6}"/>
    <cellStyle name="Calculation 6 3" xfId="1098" xr:uid="{00000000-0005-0000-0000-0000F1020000}"/>
    <cellStyle name="Calculation 6 3 2" xfId="1690" xr:uid="{00000000-0005-0000-0000-0000F2020000}"/>
    <cellStyle name="Calculation 6 3 2 2" xfId="5589" xr:uid="{00000000-0005-0000-0000-0000F3020000}"/>
    <cellStyle name="Calculation 6 3 2 3" xfId="9598" xr:uid="{5FF0469A-F599-4171-BBE0-86F1C2954FD7}"/>
    <cellStyle name="Calculation 6 3 3" xfId="3617" xr:uid="{00000000-0005-0000-0000-0000F4020000}"/>
    <cellStyle name="Calculation 6 3 3 2" xfId="7511" xr:uid="{00000000-0005-0000-0000-0000F5020000}"/>
    <cellStyle name="Calculation 6 3 3 3" xfId="11520" xr:uid="{42F577F6-A059-4FF6-9EF9-08F6D549CB84}"/>
    <cellStyle name="Calculation 6 3 4" xfId="4999" xr:uid="{00000000-0005-0000-0000-0000F6020000}"/>
    <cellStyle name="Calculation 6 3 5" xfId="9008" xr:uid="{7162B1DB-0540-47CE-8801-61262D16576B}"/>
    <cellStyle name="Calculation 6 3 6" xfId="12899" xr:uid="{785D4DE6-BF63-4030-9E45-AC819AC1FDE9}"/>
    <cellStyle name="Calculation 6 4" xfId="1687" xr:uid="{00000000-0005-0000-0000-0000F7020000}"/>
    <cellStyle name="Calculation 6 4 2" xfId="5586" xr:uid="{00000000-0005-0000-0000-0000F8020000}"/>
    <cellStyle name="Calculation 6 4 3" xfId="9595" xr:uid="{1D712691-F977-4728-A6E1-3F094E8B60F2}"/>
    <cellStyle name="Calculation 6 5" xfId="3043" xr:uid="{00000000-0005-0000-0000-0000F9020000}"/>
    <cellStyle name="Calculation 6 5 2" xfId="6937" xr:uid="{00000000-0005-0000-0000-0000FA020000}"/>
    <cellStyle name="Calculation 6 5 3" xfId="10946" xr:uid="{4A539942-13AC-4154-9FA2-A766B77DDC8E}"/>
    <cellStyle name="Calculation 6 6" xfId="4221" xr:uid="{00000000-0005-0000-0000-0000FB020000}"/>
    <cellStyle name="Calculation 6 7" xfId="8230" xr:uid="{1A09C298-2576-4F5D-8AAC-F057D5153FB9}"/>
    <cellStyle name="Calculation 6 8" xfId="12121" xr:uid="{39DE45E1-871E-4AE6-A1D4-298447F617E7}"/>
    <cellStyle name="Calculation 7" xfId="470" xr:uid="{00000000-0005-0000-0000-0000FC020000}"/>
    <cellStyle name="Calculation 7 2" xfId="1254" xr:uid="{00000000-0005-0000-0000-0000FD020000}"/>
    <cellStyle name="Calculation 7 2 2" xfId="1692" xr:uid="{00000000-0005-0000-0000-0000FE020000}"/>
    <cellStyle name="Calculation 7 2 2 2" xfId="5591" xr:uid="{00000000-0005-0000-0000-0000FF020000}"/>
    <cellStyle name="Calculation 7 2 2 3" xfId="9600" xr:uid="{8B5F6F77-7100-41D2-AC21-00D40BEAAC89}"/>
    <cellStyle name="Calculation 7 2 3" xfId="3716" xr:uid="{00000000-0005-0000-0000-000000030000}"/>
    <cellStyle name="Calculation 7 2 3 2" xfId="7610" xr:uid="{00000000-0005-0000-0000-000001030000}"/>
    <cellStyle name="Calculation 7 2 3 3" xfId="11619" xr:uid="{BD676342-2974-407F-BA66-57BC077D797D}"/>
    <cellStyle name="Calculation 7 2 4" xfId="5155" xr:uid="{00000000-0005-0000-0000-000002030000}"/>
    <cellStyle name="Calculation 7 2 5" xfId="9164" xr:uid="{68F60D69-6AD7-4E0A-B927-253AB5D01DF7}"/>
    <cellStyle name="Calculation 7 2 6" xfId="13055" xr:uid="{87517D6D-D869-4628-9B9F-9E9BEA92FAA2}"/>
    <cellStyle name="Calculation 7 3" xfId="1691" xr:uid="{00000000-0005-0000-0000-000003030000}"/>
    <cellStyle name="Calculation 7 3 2" xfId="5590" xr:uid="{00000000-0005-0000-0000-000004030000}"/>
    <cellStyle name="Calculation 7 3 3" xfId="9599" xr:uid="{27E7E177-0EF9-4453-A619-E31CEFA082D9}"/>
    <cellStyle name="Calculation 7 4" xfId="3199" xr:uid="{00000000-0005-0000-0000-000005030000}"/>
    <cellStyle name="Calculation 7 4 2" xfId="7093" xr:uid="{00000000-0005-0000-0000-000006030000}"/>
    <cellStyle name="Calculation 7 4 3" xfId="11102" xr:uid="{EA07A0AE-7269-4883-85D2-E73ECE177B32}"/>
    <cellStyle name="Calculation 7 5" xfId="4377" xr:uid="{00000000-0005-0000-0000-000007030000}"/>
    <cellStyle name="Calculation 7 6" xfId="8386" xr:uid="{401F0CE9-6664-4ED0-B797-45D104C4F45D}"/>
    <cellStyle name="Calculation 7 7" xfId="12277" xr:uid="{7B8A76C1-0FD0-4502-85F1-CA0D7859D4FA}"/>
    <cellStyle name="Calculation 8" xfId="933" xr:uid="{00000000-0005-0000-0000-000008030000}"/>
    <cellStyle name="Calculation 8 2" xfId="1693" xr:uid="{00000000-0005-0000-0000-000009030000}"/>
    <cellStyle name="Calculation 8 2 2" xfId="5592" xr:uid="{00000000-0005-0000-0000-00000A030000}"/>
    <cellStyle name="Calculation 8 2 3" xfId="9601" xr:uid="{FA886695-1A98-4F29-952B-5789AEF4A5D2}"/>
    <cellStyle name="Calculation 8 3" xfId="3518" xr:uid="{00000000-0005-0000-0000-00000B030000}"/>
    <cellStyle name="Calculation 8 3 2" xfId="7412" xr:uid="{00000000-0005-0000-0000-00000C030000}"/>
    <cellStyle name="Calculation 8 3 3" xfId="11421" xr:uid="{1F9FB506-7C33-4997-9506-C0C498121569}"/>
    <cellStyle name="Calculation 8 4" xfId="4834" xr:uid="{00000000-0005-0000-0000-00000D030000}"/>
    <cellStyle name="Calculation 8 5" xfId="8843" xr:uid="{557E352C-E2DF-4F8F-AB91-624BC6267EF7}"/>
    <cellStyle name="Calculation 8 6" xfId="12734" xr:uid="{57B133A0-2594-41D7-B1B4-F2024CE6E0DF}"/>
    <cellStyle name="Calculation 9" xfId="1574" xr:uid="{00000000-0005-0000-0000-00000E030000}"/>
    <cellStyle name="Calculation 9 2" xfId="5473" xr:uid="{00000000-0005-0000-0000-00000F030000}"/>
    <cellStyle name="Calculation 9 3" xfId="9482" xr:uid="{CAE42047-37BB-40ED-9568-4106B07C24DB}"/>
    <cellStyle name="Cálculo" xfId="7988" xr:uid="{1A366CF0-D27E-4AAD-A57E-0318B42FA40B}"/>
    <cellStyle name="Cálculo 2" xfId="8031" xr:uid="{E2C9FDB5-A43A-45C2-B3FC-97E50FB66883}"/>
    <cellStyle name="Cálculo 3" xfId="8046" xr:uid="{0A94AF22-0DF4-4FDD-B068-50AB4A8E3245}"/>
    <cellStyle name="Celda de comprobación" xfId="7989" xr:uid="{97E4F3AD-E0F1-4AE6-AA84-2E275617ADAC}"/>
    <cellStyle name="Celda vinculada" xfId="7990" xr:uid="{E467A1E9-10DD-423E-96A7-51C67645B637}"/>
    <cellStyle name="Check Cell" xfId="90" xr:uid="{00000000-0005-0000-0000-000010030000}"/>
    <cellStyle name="Encabezado 4" xfId="7991" xr:uid="{E58C9028-F3DE-4864-8B2D-4D858CAA3D34}"/>
    <cellStyle name="Énfasis1" xfId="7992" xr:uid="{F128ACB2-41D9-4777-ADE4-D3809A34482A}"/>
    <cellStyle name="Énfasis2" xfId="7993" xr:uid="{AC20CF8F-8665-432E-8EC5-C2A59733283A}"/>
    <cellStyle name="Énfasis3" xfId="7994" xr:uid="{D89E84D7-2486-446C-8C35-E048DFF6DAE4}"/>
    <cellStyle name="Énfasis4" xfId="7995" xr:uid="{2173348E-048B-47D9-A834-D27742FD0C40}"/>
    <cellStyle name="Énfasis5" xfId="7996" xr:uid="{6C1AB3DB-EE2F-4AB5-ACFE-B904111DC7B0}"/>
    <cellStyle name="Énfasis6" xfId="7997" xr:uid="{39B67C73-33CF-46E5-A421-44F187CCDB26}"/>
    <cellStyle name="Entrada" xfId="7998" xr:uid="{50B41488-BA69-43A6-A97D-8AC21D29F094}"/>
    <cellStyle name="Entrada 2" xfId="8032" xr:uid="{EA418D81-05E3-4372-9672-972E5A626DF2}"/>
    <cellStyle name="Entrada 3" xfId="8047" xr:uid="{6811D839-1DAA-4EDD-BAAB-C90F8DFF448D}"/>
    <cellStyle name="Excel Built-in Excel Built-in Excel Built-in Normal" xfId="9" xr:uid="{00000000-0005-0000-0000-000011030000}"/>
    <cellStyle name="Excel Built-in Excel Built-in Excel Built-in Normal 2" xfId="1695" xr:uid="{00000000-0005-0000-0000-000012030000}"/>
    <cellStyle name="Excel Built-in Excel Built-in Excel Built-in Normal 3" xfId="1694" xr:uid="{00000000-0005-0000-0000-000013030000}"/>
    <cellStyle name="Excel Built-in Normal" xfId="13377" xr:uid="{F1E6E02E-4F77-4D9A-A447-FB679E49212F}"/>
    <cellStyle name="Excel Built-in Normal 1" xfId="13375" xr:uid="{5DDDFCF3-64BF-4E13-AE78-E6C76A3BCA77}"/>
    <cellStyle name="Excel Built-in Normal 2" xfId="13578" xr:uid="{07C11DBB-39F7-43C6-BEE8-FBDCEFB41CB6}"/>
    <cellStyle name="Explanatory Text" xfId="91" xr:uid="{00000000-0005-0000-0000-000014030000}"/>
    <cellStyle name="Good" xfId="92" xr:uid="{00000000-0005-0000-0000-000015030000}"/>
    <cellStyle name="Heading 1" xfId="93" xr:uid="{00000000-0005-0000-0000-000016030000}"/>
    <cellStyle name="Heading 2" xfId="94" xr:uid="{00000000-0005-0000-0000-000017030000}"/>
    <cellStyle name="Heading 3" xfId="95" xr:uid="{00000000-0005-0000-0000-000018030000}"/>
    <cellStyle name="Heading 4" xfId="96" xr:uid="{00000000-0005-0000-0000-000019030000}"/>
    <cellStyle name="Incorrecto" xfId="7999" xr:uid="{9BD0852A-11B7-4C44-8B55-130EF266A047}"/>
    <cellStyle name="Input" xfId="97" xr:uid="{00000000-0005-0000-0000-00001A030000}"/>
    <cellStyle name="Input 10" xfId="2879" xr:uid="{00000000-0005-0000-0000-00001B030000}"/>
    <cellStyle name="Input 10 2" xfId="6773" xr:uid="{00000000-0005-0000-0000-00001C030000}"/>
    <cellStyle name="Input 10 3" xfId="10782" xr:uid="{B21339C2-F8C2-4008-890D-4511A7A78808}"/>
    <cellStyle name="Input 11" xfId="4057" xr:uid="{00000000-0005-0000-0000-00001D030000}"/>
    <cellStyle name="Input 12" xfId="8066" xr:uid="{8A11212F-32BD-40B7-8DEE-CFC76FA74D38}"/>
    <cellStyle name="Input 13" xfId="11957" xr:uid="{702B5B66-1BD1-426E-91E7-C5BCE19EAFBF}"/>
    <cellStyle name="Input 14" xfId="13393" xr:uid="{0A6B3DF8-4E18-4498-A537-1A82F25DAF8E}"/>
    <cellStyle name="Input 2" xfId="113" xr:uid="{00000000-0005-0000-0000-00001E030000}"/>
    <cellStyle name="Input 2 10" xfId="4067" xr:uid="{00000000-0005-0000-0000-00001F030000}"/>
    <cellStyle name="Input 2 11" xfId="8076" xr:uid="{A481BFBE-2B3D-4F59-BC8B-DF8B5059949F}"/>
    <cellStyle name="Input 2 12" xfId="11967" xr:uid="{DC586527-26F1-458F-A23B-AA44F1845C43}"/>
    <cellStyle name="Input 2 13" xfId="13403" xr:uid="{FD9AACD3-F651-42EA-AD8B-71BCFFC43AFF}"/>
    <cellStyle name="Input 2 2" xfId="172" xr:uid="{00000000-0005-0000-0000-000020030000}"/>
    <cellStyle name="Input 2 2 10" xfId="8097" xr:uid="{27CF1188-78F3-4448-99E0-A5B4D44B348B}"/>
    <cellStyle name="Input 2 2 11" xfId="11988" xr:uid="{874ED1D9-337C-4D9D-8D87-3DBA6C7EE044}"/>
    <cellStyle name="Input 2 2 12" xfId="13424" xr:uid="{0D229004-F05D-4064-8B0E-0DD6E2C16E46}"/>
    <cellStyle name="Input 2 2 2" xfId="273" xr:uid="{00000000-0005-0000-0000-000021030000}"/>
    <cellStyle name="Input 2 2 2 10" xfId="13522" xr:uid="{F5AF08A1-2242-4522-9AC9-B96B410974BC}"/>
    <cellStyle name="Input 2 2 2 2" xfId="429" xr:uid="{00000000-0005-0000-0000-000022030000}"/>
    <cellStyle name="Input 2 2 2 2 2" xfId="759" xr:uid="{00000000-0005-0000-0000-000023030000}"/>
    <cellStyle name="Input 2 2 2 2 2 2" xfId="1540" xr:uid="{00000000-0005-0000-0000-000024030000}"/>
    <cellStyle name="Input 2 2 2 2 2 2 2" xfId="1702" xr:uid="{00000000-0005-0000-0000-000025030000}"/>
    <cellStyle name="Input 2 2 2 2 2 2 2 2" xfId="5599" xr:uid="{00000000-0005-0000-0000-000026030000}"/>
    <cellStyle name="Input 2 2 2 2 2 2 2 3" xfId="9608" xr:uid="{FF097409-1587-4B2C-8873-661FD1E693C9}"/>
    <cellStyle name="Input 2 2 2 2 2 2 3" xfId="3894" xr:uid="{00000000-0005-0000-0000-000027030000}"/>
    <cellStyle name="Input 2 2 2 2 2 2 3 2" xfId="7788" xr:uid="{00000000-0005-0000-0000-000028030000}"/>
    <cellStyle name="Input 2 2 2 2 2 2 3 3" xfId="11797" xr:uid="{E965185F-32F5-4041-93A2-174CD980AAEB}"/>
    <cellStyle name="Input 2 2 2 2 2 2 4" xfId="5441" xr:uid="{00000000-0005-0000-0000-000029030000}"/>
    <cellStyle name="Input 2 2 2 2 2 2 5" xfId="9450" xr:uid="{28DD204B-16FB-4184-A001-4B4827CF6318}"/>
    <cellStyle name="Input 2 2 2 2 2 2 6" xfId="13341" xr:uid="{8AA45B7F-5CF1-4A8B-8C1D-1FE4149E64FA}"/>
    <cellStyle name="Input 2 2 2 2 2 3" xfId="1701" xr:uid="{00000000-0005-0000-0000-00002A030000}"/>
    <cellStyle name="Input 2 2 2 2 2 3 2" xfId="5598" xr:uid="{00000000-0005-0000-0000-00002B030000}"/>
    <cellStyle name="Input 2 2 2 2 2 3 3" xfId="9607" xr:uid="{63DFC81A-8C9B-4A19-8CC9-C3B6EBE0A484}"/>
    <cellStyle name="Input 2 2 2 2 2 4" xfId="3485" xr:uid="{00000000-0005-0000-0000-00002C030000}"/>
    <cellStyle name="Input 2 2 2 2 2 4 2" xfId="7379" xr:uid="{00000000-0005-0000-0000-00002D030000}"/>
    <cellStyle name="Input 2 2 2 2 2 4 3" xfId="11388" xr:uid="{BA099A1B-E5D5-4842-BCDE-B265B851EC66}"/>
    <cellStyle name="Input 2 2 2 2 2 5" xfId="4663" xr:uid="{00000000-0005-0000-0000-00002E030000}"/>
    <cellStyle name="Input 2 2 2 2 2 6" xfId="8672" xr:uid="{E4F78C34-52AE-49A0-80F5-742ABB3B3FE9}"/>
    <cellStyle name="Input 2 2 2 2 2 7" xfId="12563" xr:uid="{0000DCB2-911C-44C6-A194-54454950BE9F}"/>
    <cellStyle name="Input 2 2 2 2 3" xfId="1219" xr:uid="{00000000-0005-0000-0000-00002F030000}"/>
    <cellStyle name="Input 2 2 2 2 3 2" xfId="1703" xr:uid="{00000000-0005-0000-0000-000030030000}"/>
    <cellStyle name="Input 2 2 2 2 3 2 2" xfId="5600" xr:uid="{00000000-0005-0000-0000-000031030000}"/>
    <cellStyle name="Input 2 2 2 2 3 2 3" xfId="9609" xr:uid="{E470CB3C-D415-4F23-A416-76DF882E6F46}"/>
    <cellStyle name="Input 2 2 2 2 3 3" xfId="3696" xr:uid="{00000000-0005-0000-0000-000032030000}"/>
    <cellStyle name="Input 2 2 2 2 3 3 2" xfId="7590" xr:uid="{00000000-0005-0000-0000-000033030000}"/>
    <cellStyle name="Input 2 2 2 2 3 3 3" xfId="11599" xr:uid="{61737903-25F4-4730-9909-F3A74B5E17AE}"/>
    <cellStyle name="Input 2 2 2 2 3 4" xfId="5120" xr:uid="{00000000-0005-0000-0000-000034030000}"/>
    <cellStyle name="Input 2 2 2 2 3 5" xfId="9129" xr:uid="{C988615A-0686-4E30-90B0-68285F356AA7}"/>
    <cellStyle name="Input 2 2 2 2 3 6" xfId="13020" xr:uid="{7E6091EB-C036-4374-A2F2-7F4D5FA4CF27}"/>
    <cellStyle name="Input 2 2 2 2 4" xfId="1700" xr:uid="{00000000-0005-0000-0000-000035030000}"/>
    <cellStyle name="Input 2 2 2 2 4 2" xfId="5597" xr:uid="{00000000-0005-0000-0000-000036030000}"/>
    <cellStyle name="Input 2 2 2 2 4 3" xfId="9606" xr:uid="{6DAABBBF-F495-4758-AF8C-EC9AA946D213}"/>
    <cellStyle name="Input 2 2 2 2 5" xfId="3164" xr:uid="{00000000-0005-0000-0000-000037030000}"/>
    <cellStyle name="Input 2 2 2 2 5 2" xfId="7058" xr:uid="{00000000-0005-0000-0000-000038030000}"/>
    <cellStyle name="Input 2 2 2 2 5 3" xfId="11067" xr:uid="{4144CF49-6329-4DE6-8162-C5C04F5A5572}"/>
    <cellStyle name="Input 2 2 2 2 6" xfId="4342" xr:uid="{00000000-0005-0000-0000-000039030000}"/>
    <cellStyle name="Input 2 2 2 2 7" xfId="8351" xr:uid="{79DC8643-3C54-4963-889B-A84D656F9D61}"/>
    <cellStyle name="Input 2 2 2 2 8" xfId="12242" xr:uid="{2F8885D4-AEC1-465B-A63B-59D4CD95C8B1}"/>
    <cellStyle name="Input 2 2 2 3" xfId="603" xr:uid="{00000000-0005-0000-0000-00003A030000}"/>
    <cellStyle name="Input 2 2 2 3 2" xfId="1384" xr:uid="{00000000-0005-0000-0000-00003B030000}"/>
    <cellStyle name="Input 2 2 2 3 2 2" xfId="1705" xr:uid="{00000000-0005-0000-0000-00003C030000}"/>
    <cellStyle name="Input 2 2 2 3 2 2 2" xfId="5602" xr:uid="{00000000-0005-0000-0000-00003D030000}"/>
    <cellStyle name="Input 2 2 2 3 2 2 3" xfId="9611" xr:uid="{B4310D13-0F95-4F8B-8E4D-3DD11F7E8E03}"/>
    <cellStyle name="Input 2 2 2 3 2 3" xfId="3795" xr:uid="{00000000-0005-0000-0000-00003E030000}"/>
    <cellStyle name="Input 2 2 2 3 2 3 2" xfId="7689" xr:uid="{00000000-0005-0000-0000-00003F030000}"/>
    <cellStyle name="Input 2 2 2 3 2 3 3" xfId="11698" xr:uid="{D17D0439-4B25-4652-856E-B9DB1A983785}"/>
    <cellStyle name="Input 2 2 2 3 2 4" xfId="5285" xr:uid="{00000000-0005-0000-0000-000040030000}"/>
    <cellStyle name="Input 2 2 2 3 2 5" xfId="9294" xr:uid="{9D362F81-A07F-4769-9D73-8ABA785A76FA}"/>
    <cellStyle name="Input 2 2 2 3 2 6" xfId="13185" xr:uid="{496FDB9C-8DAE-4793-B5C8-26599002DBB4}"/>
    <cellStyle name="Input 2 2 2 3 3" xfId="1704" xr:uid="{00000000-0005-0000-0000-000041030000}"/>
    <cellStyle name="Input 2 2 2 3 3 2" xfId="5601" xr:uid="{00000000-0005-0000-0000-000042030000}"/>
    <cellStyle name="Input 2 2 2 3 3 3" xfId="9610" xr:uid="{E945FEFA-C978-4239-9FEF-BDE41A5DC387}"/>
    <cellStyle name="Input 2 2 2 3 4" xfId="3329" xr:uid="{00000000-0005-0000-0000-000043030000}"/>
    <cellStyle name="Input 2 2 2 3 4 2" xfId="7223" xr:uid="{00000000-0005-0000-0000-000044030000}"/>
    <cellStyle name="Input 2 2 2 3 4 3" xfId="11232" xr:uid="{18E2B638-AA15-4F10-8D6C-8CC9543E6B76}"/>
    <cellStyle name="Input 2 2 2 3 5" xfId="4507" xr:uid="{00000000-0005-0000-0000-000045030000}"/>
    <cellStyle name="Input 2 2 2 3 6" xfId="8516" xr:uid="{5529F99C-5AB1-4F4D-AA16-ADE1D2F47377}"/>
    <cellStyle name="Input 2 2 2 3 7" xfId="12407" xr:uid="{D00BF1C0-567C-411B-8BA9-460BCCADBCC9}"/>
    <cellStyle name="Input 2 2 2 4" xfId="1063" xr:uid="{00000000-0005-0000-0000-000046030000}"/>
    <cellStyle name="Input 2 2 2 4 2" xfId="1706" xr:uid="{00000000-0005-0000-0000-000047030000}"/>
    <cellStyle name="Input 2 2 2 4 2 2" xfId="5603" xr:uid="{00000000-0005-0000-0000-000048030000}"/>
    <cellStyle name="Input 2 2 2 4 2 3" xfId="9612" xr:uid="{3E757433-3165-4125-A9DC-1B36206886F4}"/>
    <cellStyle name="Input 2 2 2 4 3" xfId="3597" xr:uid="{00000000-0005-0000-0000-000049030000}"/>
    <cellStyle name="Input 2 2 2 4 3 2" xfId="7491" xr:uid="{00000000-0005-0000-0000-00004A030000}"/>
    <cellStyle name="Input 2 2 2 4 3 3" xfId="11500" xr:uid="{61FA7028-6054-4434-B0E3-56627FF011A6}"/>
    <cellStyle name="Input 2 2 2 4 4" xfId="4964" xr:uid="{00000000-0005-0000-0000-00004B030000}"/>
    <cellStyle name="Input 2 2 2 4 5" xfId="8973" xr:uid="{51095C06-1D32-4361-A6D5-EB80D7A456BF}"/>
    <cellStyle name="Input 2 2 2 4 6" xfId="12864" xr:uid="{D84ECD45-033B-4C71-BBC2-AED7FE91ACDE}"/>
    <cellStyle name="Input 2 2 2 5" xfId="1699" xr:uid="{00000000-0005-0000-0000-00004C030000}"/>
    <cellStyle name="Input 2 2 2 5 2" xfId="5596" xr:uid="{00000000-0005-0000-0000-00004D030000}"/>
    <cellStyle name="Input 2 2 2 5 3" xfId="9605" xr:uid="{37EE487D-568F-4D27-8E90-9596557F3245}"/>
    <cellStyle name="Input 2 2 2 6" xfId="3008" xr:uid="{00000000-0005-0000-0000-00004E030000}"/>
    <cellStyle name="Input 2 2 2 6 2" xfId="6902" xr:uid="{00000000-0005-0000-0000-00004F030000}"/>
    <cellStyle name="Input 2 2 2 6 3" xfId="10911" xr:uid="{D51E0410-368A-45B8-BB5B-FE749477308F}"/>
    <cellStyle name="Input 2 2 2 7" xfId="4186" xr:uid="{00000000-0005-0000-0000-000050030000}"/>
    <cellStyle name="Input 2 2 2 8" xfId="8195" xr:uid="{38B42BDA-74B2-4FA7-9CFA-3E86876FC1BF}"/>
    <cellStyle name="Input 2 2 2 9" xfId="12086" xr:uid="{89278697-A5DC-474B-809C-A2941D91ABC7}"/>
    <cellStyle name="Input 2 2 3" xfId="266" xr:uid="{00000000-0005-0000-0000-000051030000}"/>
    <cellStyle name="Input 2 2 3 10" xfId="13515" xr:uid="{133F0435-80FC-435D-8C1D-42938374565A}"/>
    <cellStyle name="Input 2 2 3 2" xfId="423" xr:uid="{00000000-0005-0000-0000-000052030000}"/>
    <cellStyle name="Input 2 2 3 2 2" xfId="753" xr:uid="{00000000-0005-0000-0000-000053030000}"/>
    <cellStyle name="Input 2 2 3 2 2 2" xfId="1534" xr:uid="{00000000-0005-0000-0000-000054030000}"/>
    <cellStyle name="Input 2 2 3 2 2 2 2" xfId="1710" xr:uid="{00000000-0005-0000-0000-000055030000}"/>
    <cellStyle name="Input 2 2 3 2 2 2 2 2" xfId="5607" xr:uid="{00000000-0005-0000-0000-000056030000}"/>
    <cellStyle name="Input 2 2 3 2 2 2 2 3" xfId="9616" xr:uid="{D53E91EB-6428-4491-B0A5-FB7621D55849}"/>
    <cellStyle name="Input 2 2 3 2 2 2 3" xfId="3889" xr:uid="{00000000-0005-0000-0000-000057030000}"/>
    <cellStyle name="Input 2 2 3 2 2 2 3 2" xfId="7783" xr:uid="{00000000-0005-0000-0000-000058030000}"/>
    <cellStyle name="Input 2 2 3 2 2 2 3 3" xfId="11792" xr:uid="{62DE83CB-00BC-4A57-A661-0B2212AFC502}"/>
    <cellStyle name="Input 2 2 3 2 2 2 4" xfId="5435" xr:uid="{00000000-0005-0000-0000-000059030000}"/>
    <cellStyle name="Input 2 2 3 2 2 2 5" xfId="9444" xr:uid="{56F60668-4BA1-441D-B91F-78EEDC8D46DB}"/>
    <cellStyle name="Input 2 2 3 2 2 2 6" xfId="13335" xr:uid="{8BA517CB-F521-49A0-9035-7839FD5641AD}"/>
    <cellStyle name="Input 2 2 3 2 2 3" xfId="1709" xr:uid="{00000000-0005-0000-0000-00005A030000}"/>
    <cellStyle name="Input 2 2 3 2 2 3 2" xfId="5606" xr:uid="{00000000-0005-0000-0000-00005B030000}"/>
    <cellStyle name="Input 2 2 3 2 2 3 3" xfId="9615" xr:uid="{993052A3-6A9B-4D6D-B338-8AF0A9B6A014}"/>
    <cellStyle name="Input 2 2 3 2 2 4" xfId="3479" xr:uid="{00000000-0005-0000-0000-00005C030000}"/>
    <cellStyle name="Input 2 2 3 2 2 4 2" xfId="7373" xr:uid="{00000000-0005-0000-0000-00005D030000}"/>
    <cellStyle name="Input 2 2 3 2 2 4 3" xfId="11382" xr:uid="{8A1B0DBF-747F-467A-9FF6-2E07C75F56CC}"/>
    <cellStyle name="Input 2 2 3 2 2 5" xfId="4657" xr:uid="{00000000-0005-0000-0000-00005E030000}"/>
    <cellStyle name="Input 2 2 3 2 2 6" xfId="8666" xr:uid="{107C5DB7-9B9F-4E19-A138-0D48F33B75A2}"/>
    <cellStyle name="Input 2 2 3 2 2 7" xfId="12557" xr:uid="{5764A2DF-EE60-4426-91F4-1F222B46E7D8}"/>
    <cellStyle name="Input 2 2 3 2 3" xfId="1213" xr:uid="{00000000-0005-0000-0000-00005F030000}"/>
    <cellStyle name="Input 2 2 3 2 3 2" xfId="1711" xr:uid="{00000000-0005-0000-0000-000060030000}"/>
    <cellStyle name="Input 2 2 3 2 3 2 2" xfId="5608" xr:uid="{00000000-0005-0000-0000-000061030000}"/>
    <cellStyle name="Input 2 2 3 2 3 2 3" xfId="9617" xr:uid="{5C708D0A-5D9A-448B-87F9-4BFEFFD8A1CA}"/>
    <cellStyle name="Input 2 2 3 2 3 3" xfId="3691" xr:uid="{00000000-0005-0000-0000-000062030000}"/>
    <cellStyle name="Input 2 2 3 2 3 3 2" xfId="7585" xr:uid="{00000000-0005-0000-0000-000063030000}"/>
    <cellStyle name="Input 2 2 3 2 3 3 3" xfId="11594" xr:uid="{F8D6490A-11B2-4A05-97C8-FDA5ED431262}"/>
    <cellStyle name="Input 2 2 3 2 3 4" xfId="5114" xr:uid="{00000000-0005-0000-0000-000064030000}"/>
    <cellStyle name="Input 2 2 3 2 3 5" xfId="9123" xr:uid="{A170FAED-72B4-430A-B79D-E9C24E6E611E}"/>
    <cellStyle name="Input 2 2 3 2 3 6" xfId="13014" xr:uid="{CBEC048B-97AD-4058-988C-77AAC3BD762A}"/>
    <cellStyle name="Input 2 2 3 2 4" xfId="1708" xr:uid="{00000000-0005-0000-0000-000065030000}"/>
    <cellStyle name="Input 2 2 3 2 4 2" xfId="5605" xr:uid="{00000000-0005-0000-0000-000066030000}"/>
    <cellStyle name="Input 2 2 3 2 4 3" xfId="9614" xr:uid="{99DCF5F4-40FE-45AD-8C50-A76EFF9600ED}"/>
    <cellStyle name="Input 2 2 3 2 5" xfId="3158" xr:uid="{00000000-0005-0000-0000-000067030000}"/>
    <cellStyle name="Input 2 2 3 2 5 2" xfId="7052" xr:uid="{00000000-0005-0000-0000-000068030000}"/>
    <cellStyle name="Input 2 2 3 2 5 3" xfId="11061" xr:uid="{FDD7CA5E-FB65-4CE9-99D5-DF1E01F391ED}"/>
    <cellStyle name="Input 2 2 3 2 6" xfId="4336" xr:uid="{00000000-0005-0000-0000-000069030000}"/>
    <cellStyle name="Input 2 2 3 2 7" xfId="8345" xr:uid="{3BB09072-408E-4E88-9B4A-20BDEA8AB923}"/>
    <cellStyle name="Input 2 2 3 2 8" xfId="12236" xr:uid="{D12BC51A-4EAB-4D43-9B98-8963BA9D9FA3}"/>
    <cellStyle name="Input 2 2 3 3" xfId="596" xr:uid="{00000000-0005-0000-0000-00006A030000}"/>
    <cellStyle name="Input 2 2 3 3 2" xfId="1377" xr:uid="{00000000-0005-0000-0000-00006B030000}"/>
    <cellStyle name="Input 2 2 3 3 2 2" xfId="1713" xr:uid="{00000000-0005-0000-0000-00006C030000}"/>
    <cellStyle name="Input 2 2 3 3 2 2 2" xfId="5610" xr:uid="{00000000-0005-0000-0000-00006D030000}"/>
    <cellStyle name="Input 2 2 3 3 2 2 3" xfId="9619" xr:uid="{EC3D6713-B947-441C-BFCD-13965ED32DFD}"/>
    <cellStyle name="Input 2 2 3 3 2 3" xfId="3790" xr:uid="{00000000-0005-0000-0000-00006E030000}"/>
    <cellStyle name="Input 2 2 3 3 2 3 2" xfId="7684" xr:uid="{00000000-0005-0000-0000-00006F030000}"/>
    <cellStyle name="Input 2 2 3 3 2 3 3" xfId="11693" xr:uid="{A2CB1BC4-6757-464F-8BAA-7CC1AA1FF730}"/>
    <cellStyle name="Input 2 2 3 3 2 4" xfId="5278" xr:uid="{00000000-0005-0000-0000-000070030000}"/>
    <cellStyle name="Input 2 2 3 3 2 5" xfId="9287" xr:uid="{A62702B1-22AF-4CA4-828F-E9D4CE66EBEF}"/>
    <cellStyle name="Input 2 2 3 3 2 6" xfId="13178" xr:uid="{7AFCD8FF-2149-4186-873C-1969447C3335}"/>
    <cellStyle name="Input 2 2 3 3 3" xfId="1712" xr:uid="{00000000-0005-0000-0000-000071030000}"/>
    <cellStyle name="Input 2 2 3 3 3 2" xfId="5609" xr:uid="{00000000-0005-0000-0000-000072030000}"/>
    <cellStyle name="Input 2 2 3 3 3 3" xfId="9618" xr:uid="{A5D2652C-B6F9-42F1-8BA7-FDAA7070D922}"/>
    <cellStyle name="Input 2 2 3 3 4" xfId="3322" xr:uid="{00000000-0005-0000-0000-000073030000}"/>
    <cellStyle name="Input 2 2 3 3 4 2" xfId="7216" xr:uid="{00000000-0005-0000-0000-000074030000}"/>
    <cellStyle name="Input 2 2 3 3 4 3" xfId="11225" xr:uid="{5429100C-2D7F-4F4B-B1A4-0378F89DD67C}"/>
    <cellStyle name="Input 2 2 3 3 5" xfId="4500" xr:uid="{00000000-0005-0000-0000-000075030000}"/>
    <cellStyle name="Input 2 2 3 3 6" xfId="8509" xr:uid="{E41BA9CF-4484-45EB-BFA6-AEF809BE3BA8}"/>
    <cellStyle name="Input 2 2 3 3 7" xfId="12400" xr:uid="{B458F631-4A89-4CD7-B7B3-969C4EBD59C7}"/>
    <cellStyle name="Input 2 2 3 4" xfId="1056" xr:uid="{00000000-0005-0000-0000-000076030000}"/>
    <cellStyle name="Input 2 2 3 4 2" xfId="1714" xr:uid="{00000000-0005-0000-0000-000077030000}"/>
    <cellStyle name="Input 2 2 3 4 2 2" xfId="5611" xr:uid="{00000000-0005-0000-0000-000078030000}"/>
    <cellStyle name="Input 2 2 3 4 2 3" xfId="9620" xr:uid="{222AC179-08C2-4C41-8CE3-55F1425B3496}"/>
    <cellStyle name="Input 2 2 3 4 3" xfId="3592" xr:uid="{00000000-0005-0000-0000-000079030000}"/>
    <cellStyle name="Input 2 2 3 4 3 2" xfId="7486" xr:uid="{00000000-0005-0000-0000-00007A030000}"/>
    <cellStyle name="Input 2 2 3 4 3 3" xfId="11495" xr:uid="{0CED06E2-1679-4568-B547-D77518E11D25}"/>
    <cellStyle name="Input 2 2 3 4 4" xfId="4957" xr:uid="{00000000-0005-0000-0000-00007B030000}"/>
    <cellStyle name="Input 2 2 3 4 5" xfId="8966" xr:uid="{8ADBE575-1A8D-4030-ADDF-98B37AF43210}"/>
    <cellStyle name="Input 2 2 3 4 6" xfId="12857" xr:uid="{0AC7D7F5-AEA9-42D9-99CD-1A583EAAF30A}"/>
    <cellStyle name="Input 2 2 3 5" xfId="1707" xr:uid="{00000000-0005-0000-0000-00007C030000}"/>
    <cellStyle name="Input 2 2 3 5 2" xfId="5604" xr:uid="{00000000-0005-0000-0000-00007D030000}"/>
    <cellStyle name="Input 2 2 3 5 3" xfId="9613" xr:uid="{8A32B441-F1AE-4CAD-8FE7-67BD158F3B63}"/>
    <cellStyle name="Input 2 2 3 6" xfId="3001" xr:uid="{00000000-0005-0000-0000-00007E030000}"/>
    <cellStyle name="Input 2 2 3 6 2" xfId="6895" xr:uid="{00000000-0005-0000-0000-00007F030000}"/>
    <cellStyle name="Input 2 2 3 6 3" xfId="10904" xr:uid="{43A3CE15-8C28-41B5-9023-D1EDA00CD95C}"/>
    <cellStyle name="Input 2 2 3 7" xfId="4179" xr:uid="{00000000-0005-0000-0000-000080030000}"/>
    <cellStyle name="Input 2 2 3 8" xfId="8188" xr:uid="{D1C1D335-1CC1-4E9A-B0C0-E323120A12EF}"/>
    <cellStyle name="Input 2 2 3 9" xfId="12079" xr:uid="{1C14AA7A-CDC0-4445-BCCE-C7E97F45C830}"/>
    <cellStyle name="Input 2 2 4" xfId="340" xr:uid="{00000000-0005-0000-0000-000081030000}"/>
    <cellStyle name="Input 2 2 4 2" xfId="670" xr:uid="{00000000-0005-0000-0000-000082030000}"/>
    <cellStyle name="Input 2 2 4 2 2" xfId="1451" xr:uid="{00000000-0005-0000-0000-000083030000}"/>
    <cellStyle name="Input 2 2 4 2 2 2" xfId="1717" xr:uid="{00000000-0005-0000-0000-000084030000}"/>
    <cellStyle name="Input 2 2 4 2 2 2 2" xfId="5614" xr:uid="{00000000-0005-0000-0000-000085030000}"/>
    <cellStyle name="Input 2 2 4 2 2 2 3" xfId="9623" xr:uid="{5ED7AE82-27E5-4866-9B07-38AC3E59F2D0}"/>
    <cellStyle name="Input 2 2 4 2 2 3" xfId="3835" xr:uid="{00000000-0005-0000-0000-000086030000}"/>
    <cellStyle name="Input 2 2 4 2 2 3 2" xfId="7729" xr:uid="{00000000-0005-0000-0000-000087030000}"/>
    <cellStyle name="Input 2 2 4 2 2 3 3" xfId="11738" xr:uid="{666E5E9F-58E7-4D6C-B823-26011D23E02E}"/>
    <cellStyle name="Input 2 2 4 2 2 4" xfId="5352" xr:uid="{00000000-0005-0000-0000-000088030000}"/>
    <cellStyle name="Input 2 2 4 2 2 5" xfId="9361" xr:uid="{B43A5F33-D77F-40E1-9787-0D77D88B6518}"/>
    <cellStyle name="Input 2 2 4 2 2 6" xfId="13252" xr:uid="{3F1ADD48-D114-4A80-A5E5-D43648207EED}"/>
    <cellStyle name="Input 2 2 4 2 3" xfId="1716" xr:uid="{00000000-0005-0000-0000-000089030000}"/>
    <cellStyle name="Input 2 2 4 2 3 2" xfId="5613" xr:uid="{00000000-0005-0000-0000-00008A030000}"/>
    <cellStyle name="Input 2 2 4 2 3 3" xfId="9622" xr:uid="{7E524C89-312C-473B-9894-FC49CB7AAEBC}"/>
    <cellStyle name="Input 2 2 4 2 4" xfId="3396" xr:uid="{00000000-0005-0000-0000-00008B030000}"/>
    <cellStyle name="Input 2 2 4 2 4 2" xfId="7290" xr:uid="{00000000-0005-0000-0000-00008C030000}"/>
    <cellStyle name="Input 2 2 4 2 4 3" xfId="11299" xr:uid="{9DA75526-1BD0-4C64-81A3-F175140C71F9}"/>
    <cellStyle name="Input 2 2 4 2 5" xfId="4574" xr:uid="{00000000-0005-0000-0000-00008D030000}"/>
    <cellStyle name="Input 2 2 4 2 6" xfId="8583" xr:uid="{9025D357-842C-41BD-964C-A2329EBC9BBD}"/>
    <cellStyle name="Input 2 2 4 2 7" xfId="12474" xr:uid="{8A36239A-469F-4FD9-A2A7-7FFC85E03926}"/>
    <cellStyle name="Input 2 2 4 3" xfId="1130" xr:uid="{00000000-0005-0000-0000-00008E030000}"/>
    <cellStyle name="Input 2 2 4 3 2" xfId="1718" xr:uid="{00000000-0005-0000-0000-00008F030000}"/>
    <cellStyle name="Input 2 2 4 3 2 2" xfId="5615" xr:uid="{00000000-0005-0000-0000-000090030000}"/>
    <cellStyle name="Input 2 2 4 3 2 3" xfId="9624" xr:uid="{B3151058-C899-42A7-8D46-95376E9CD5F6}"/>
    <cellStyle name="Input 2 2 4 3 3" xfId="3637" xr:uid="{00000000-0005-0000-0000-000091030000}"/>
    <cellStyle name="Input 2 2 4 3 3 2" xfId="7531" xr:uid="{00000000-0005-0000-0000-000092030000}"/>
    <cellStyle name="Input 2 2 4 3 3 3" xfId="11540" xr:uid="{EADEA673-1065-4269-9346-7FEFC1DEA0A7}"/>
    <cellStyle name="Input 2 2 4 3 4" xfId="5031" xr:uid="{00000000-0005-0000-0000-000093030000}"/>
    <cellStyle name="Input 2 2 4 3 5" xfId="9040" xr:uid="{4F9CD22B-2A37-467D-9473-4C979B8B3337}"/>
    <cellStyle name="Input 2 2 4 3 6" xfId="12931" xr:uid="{39181092-5C28-4345-BA7A-4017E668AD00}"/>
    <cellStyle name="Input 2 2 4 4" xfId="1715" xr:uid="{00000000-0005-0000-0000-000094030000}"/>
    <cellStyle name="Input 2 2 4 4 2" xfId="5612" xr:uid="{00000000-0005-0000-0000-000095030000}"/>
    <cellStyle name="Input 2 2 4 4 3" xfId="9621" xr:uid="{7B1C7AB4-FDCB-47BD-9F36-32167B40A0D4}"/>
    <cellStyle name="Input 2 2 4 5" xfId="3075" xr:uid="{00000000-0005-0000-0000-000096030000}"/>
    <cellStyle name="Input 2 2 4 5 2" xfId="6969" xr:uid="{00000000-0005-0000-0000-000097030000}"/>
    <cellStyle name="Input 2 2 4 5 3" xfId="10978" xr:uid="{8F18F5D7-4BD6-4F8C-97B5-4D6B512F0B12}"/>
    <cellStyle name="Input 2 2 4 6" xfId="4253" xr:uid="{00000000-0005-0000-0000-000098030000}"/>
    <cellStyle name="Input 2 2 4 7" xfId="8262" xr:uid="{4D0664EB-7E2D-4134-A98B-C9A2998564C6}"/>
    <cellStyle name="Input 2 2 4 8" xfId="12153" xr:uid="{CA32B413-1204-4514-BC80-E231B582C794}"/>
    <cellStyle name="Input 2 2 5" xfId="505" xr:uid="{00000000-0005-0000-0000-000099030000}"/>
    <cellStyle name="Input 2 2 5 2" xfId="1286" xr:uid="{00000000-0005-0000-0000-00009A030000}"/>
    <cellStyle name="Input 2 2 5 2 2" xfId="1720" xr:uid="{00000000-0005-0000-0000-00009B030000}"/>
    <cellStyle name="Input 2 2 5 2 2 2" xfId="5617" xr:uid="{00000000-0005-0000-0000-00009C030000}"/>
    <cellStyle name="Input 2 2 5 2 2 3" xfId="9626" xr:uid="{D19C7803-F83A-4D95-98F0-886FDBAD0853}"/>
    <cellStyle name="Input 2 2 5 2 3" xfId="3736" xr:uid="{00000000-0005-0000-0000-00009D030000}"/>
    <cellStyle name="Input 2 2 5 2 3 2" xfId="7630" xr:uid="{00000000-0005-0000-0000-00009E030000}"/>
    <cellStyle name="Input 2 2 5 2 3 3" xfId="11639" xr:uid="{0F9345C1-1272-4EEE-BB59-A437FE89956E}"/>
    <cellStyle name="Input 2 2 5 2 4" xfId="5187" xr:uid="{00000000-0005-0000-0000-00009F030000}"/>
    <cellStyle name="Input 2 2 5 2 5" xfId="9196" xr:uid="{F1F576D7-D5CD-4271-A19D-830095C26E8A}"/>
    <cellStyle name="Input 2 2 5 2 6" xfId="13087" xr:uid="{914872A8-0432-467F-964B-A8B9D40E3EF1}"/>
    <cellStyle name="Input 2 2 5 3" xfId="1719" xr:uid="{00000000-0005-0000-0000-0000A0030000}"/>
    <cellStyle name="Input 2 2 5 3 2" xfId="5616" xr:uid="{00000000-0005-0000-0000-0000A1030000}"/>
    <cellStyle name="Input 2 2 5 3 3" xfId="9625" xr:uid="{8D2BF819-C830-4B5B-BFF4-CE5AD682EE67}"/>
    <cellStyle name="Input 2 2 5 4" xfId="3231" xr:uid="{00000000-0005-0000-0000-0000A2030000}"/>
    <cellStyle name="Input 2 2 5 4 2" xfId="7125" xr:uid="{00000000-0005-0000-0000-0000A3030000}"/>
    <cellStyle name="Input 2 2 5 4 3" xfId="11134" xr:uid="{46A18268-CCDC-45DA-9791-ABA079D142CE}"/>
    <cellStyle name="Input 2 2 5 5" xfId="4409" xr:uid="{00000000-0005-0000-0000-0000A4030000}"/>
    <cellStyle name="Input 2 2 5 6" xfId="8418" xr:uid="{E07D1DC0-A92D-4749-BBAA-483D1E0247E0}"/>
    <cellStyle name="Input 2 2 5 7" xfId="12309" xr:uid="{170FAA1A-9D91-4F8F-B1C0-94048C59EFB5}"/>
    <cellStyle name="Input 2 2 6" xfId="965" xr:uid="{00000000-0005-0000-0000-0000A5030000}"/>
    <cellStyle name="Input 2 2 6 2" xfId="1721" xr:uid="{00000000-0005-0000-0000-0000A6030000}"/>
    <cellStyle name="Input 2 2 6 2 2" xfId="5618" xr:uid="{00000000-0005-0000-0000-0000A7030000}"/>
    <cellStyle name="Input 2 2 6 2 3" xfId="9627" xr:uid="{8C6A5386-625B-418E-9864-33F1702107BA}"/>
    <cellStyle name="Input 2 2 6 3" xfId="3538" xr:uid="{00000000-0005-0000-0000-0000A8030000}"/>
    <cellStyle name="Input 2 2 6 3 2" xfId="7432" xr:uid="{00000000-0005-0000-0000-0000A9030000}"/>
    <cellStyle name="Input 2 2 6 3 3" xfId="11441" xr:uid="{AA840349-FC33-4402-BBAF-4208FC51AF17}"/>
    <cellStyle name="Input 2 2 6 4" xfId="4866" xr:uid="{00000000-0005-0000-0000-0000AA030000}"/>
    <cellStyle name="Input 2 2 6 5" xfId="8875" xr:uid="{3E29A1DE-70DD-48EA-9A25-0A046AFBBB18}"/>
    <cellStyle name="Input 2 2 6 6" xfId="12766" xr:uid="{9D1402FF-8046-444D-AF5C-9D5ADC89666C}"/>
    <cellStyle name="Input 2 2 7" xfId="1698" xr:uid="{00000000-0005-0000-0000-0000AB030000}"/>
    <cellStyle name="Input 2 2 7 2" xfId="5595" xr:uid="{00000000-0005-0000-0000-0000AC030000}"/>
    <cellStyle name="Input 2 2 7 3" xfId="9604" xr:uid="{38DB4F1A-C338-4ED3-A576-73543AE9C602}"/>
    <cellStyle name="Input 2 2 8" xfId="2910" xr:uid="{00000000-0005-0000-0000-0000AD030000}"/>
    <cellStyle name="Input 2 2 8 2" xfId="6804" xr:uid="{00000000-0005-0000-0000-0000AE030000}"/>
    <cellStyle name="Input 2 2 8 3" xfId="10813" xr:uid="{27E34FB6-AA01-4809-9464-8D5906385DA3}"/>
    <cellStyle name="Input 2 2 9" xfId="4088" xr:uid="{00000000-0005-0000-0000-0000AF030000}"/>
    <cellStyle name="Input 2 3" xfId="239" xr:uid="{00000000-0005-0000-0000-0000B0030000}"/>
    <cellStyle name="Input 2 3 10" xfId="13488" xr:uid="{3296BD9E-7AB8-4750-BE93-52595823A44A}"/>
    <cellStyle name="Input 2 3 2" xfId="398" xr:uid="{00000000-0005-0000-0000-0000B1030000}"/>
    <cellStyle name="Input 2 3 2 2" xfId="728" xr:uid="{00000000-0005-0000-0000-0000B2030000}"/>
    <cellStyle name="Input 2 3 2 2 2" xfId="1509" xr:uid="{00000000-0005-0000-0000-0000B3030000}"/>
    <cellStyle name="Input 2 3 2 2 2 2" xfId="1725" xr:uid="{00000000-0005-0000-0000-0000B4030000}"/>
    <cellStyle name="Input 2 3 2 2 2 2 2" xfId="5622" xr:uid="{00000000-0005-0000-0000-0000B5030000}"/>
    <cellStyle name="Input 2 3 2 2 2 2 3" xfId="9631" xr:uid="{D8B317D0-C78A-48A6-BDE1-7A753C677E51}"/>
    <cellStyle name="Input 2 3 2 2 2 3" xfId="3874" xr:uid="{00000000-0005-0000-0000-0000B6030000}"/>
    <cellStyle name="Input 2 3 2 2 2 3 2" xfId="7768" xr:uid="{00000000-0005-0000-0000-0000B7030000}"/>
    <cellStyle name="Input 2 3 2 2 2 3 3" xfId="11777" xr:uid="{8BCCF61A-371A-4F7D-A7BE-B83FDA33FF27}"/>
    <cellStyle name="Input 2 3 2 2 2 4" xfId="5410" xr:uid="{00000000-0005-0000-0000-0000B8030000}"/>
    <cellStyle name="Input 2 3 2 2 2 5" xfId="9419" xr:uid="{8190EB36-36C9-4530-B863-A2B7C66517A5}"/>
    <cellStyle name="Input 2 3 2 2 2 6" xfId="13310" xr:uid="{AB047A67-F402-458A-8931-8E5766734F8C}"/>
    <cellStyle name="Input 2 3 2 2 3" xfId="1724" xr:uid="{00000000-0005-0000-0000-0000B9030000}"/>
    <cellStyle name="Input 2 3 2 2 3 2" xfId="5621" xr:uid="{00000000-0005-0000-0000-0000BA030000}"/>
    <cellStyle name="Input 2 3 2 2 3 3" xfId="9630" xr:uid="{BCFFA528-1B5B-4376-A982-A2B36A715287}"/>
    <cellStyle name="Input 2 3 2 2 4" xfId="3454" xr:uid="{00000000-0005-0000-0000-0000BB030000}"/>
    <cellStyle name="Input 2 3 2 2 4 2" xfId="7348" xr:uid="{00000000-0005-0000-0000-0000BC030000}"/>
    <cellStyle name="Input 2 3 2 2 4 3" xfId="11357" xr:uid="{5A1DDE66-7B94-4A33-8F84-EB803A5B40A4}"/>
    <cellStyle name="Input 2 3 2 2 5" xfId="4632" xr:uid="{00000000-0005-0000-0000-0000BD030000}"/>
    <cellStyle name="Input 2 3 2 2 6" xfId="8641" xr:uid="{21C705B1-29DE-4435-A92F-229DC6AAD4FF}"/>
    <cellStyle name="Input 2 3 2 2 7" xfId="12532" xr:uid="{976B8D08-3026-495A-B7CB-3DBB2677CEFB}"/>
    <cellStyle name="Input 2 3 2 3" xfId="1188" xr:uid="{00000000-0005-0000-0000-0000BE030000}"/>
    <cellStyle name="Input 2 3 2 3 2" xfId="1726" xr:uid="{00000000-0005-0000-0000-0000BF030000}"/>
    <cellStyle name="Input 2 3 2 3 2 2" xfId="5623" xr:uid="{00000000-0005-0000-0000-0000C0030000}"/>
    <cellStyle name="Input 2 3 2 3 2 3" xfId="9632" xr:uid="{31439578-6450-43D7-9B23-EA668267D1FC}"/>
    <cellStyle name="Input 2 3 2 3 3" xfId="3676" xr:uid="{00000000-0005-0000-0000-0000C1030000}"/>
    <cellStyle name="Input 2 3 2 3 3 2" xfId="7570" xr:uid="{00000000-0005-0000-0000-0000C2030000}"/>
    <cellStyle name="Input 2 3 2 3 3 3" xfId="11579" xr:uid="{E632CA15-6933-446E-9809-45D695BB6C0E}"/>
    <cellStyle name="Input 2 3 2 3 4" xfId="5089" xr:uid="{00000000-0005-0000-0000-0000C3030000}"/>
    <cellStyle name="Input 2 3 2 3 5" xfId="9098" xr:uid="{7CB04FCD-8A44-4C8B-B418-DC731873789B}"/>
    <cellStyle name="Input 2 3 2 3 6" xfId="12989" xr:uid="{65FB5F9E-49AB-449D-B3DE-5106467B10EC}"/>
    <cellStyle name="Input 2 3 2 4" xfId="1723" xr:uid="{00000000-0005-0000-0000-0000C4030000}"/>
    <cellStyle name="Input 2 3 2 4 2" xfId="5620" xr:uid="{00000000-0005-0000-0000-0000C5030000}"/>
    <cellStyle name="Input 2 3 2 4 3" xfId="9629" xr:uid="{F4650911-A65C-4CDD-9E56-CE627ED2431A}"/>
    <cellStyle name="Input 2 3 2 5" xfId="3133" xr:uid="{00000000-0005-0000-0000-0000C6030000}"/>
    <cellStyle name="Input 2 3 2 5 2" xfId="7027" xr:uid="{00000000-0005-0000-0000-0000C7030000}"/>
    <cellStyle name="Input 2 3 2 5 3" xfId="11036" xr:uid="{F19E641B-D34E-41C9-9F4C-161FF043ECBE}"/>
    <cellStyle name="Input 2 3 2 6" xfId="4311" xr:uid="{00000000-0005-0000-0000-0000C8030000}"/>
    <cellStyle name="Input 2 3 2 7" xfId="8320" xr:uid="{891E9FC8-FEEA-4E19-BBBA-17FEE9B4AA4D}"/>
    <cellStyle name="Input 2 3 2 8" xfId="12211" xr:uid="{0B821C18-5959-4973-97E2-A3D0F90F667B}"/>
    <cellStyle name="Input 2 3 3" xfId="569" xr:uid="{00000000-0005-0000-0000-0000C9030000}"/>
    <cellStyle name="Input 2 3 3 2" xfId="1350" xr:uid="{00000000-0005-0000-0000-0000CA030000}"/>
    <cellStyle name="Input 2 3 3 2 2" xfId="1728" xr:uid="{00000000-0005-0000-0000-0000CB030000}"/>
    <cellStyle name="Input 2 3 3 2 2 2" xfId="5625" xr:uid="{00000000-0005-0000-0000-0000CC030000}"/>
    <cellStyle name="Input 2 3 3 2 2 3" xfId="9634" xr:uid="{64D66D9F-D152-4AB7-B01A-5D56A4AE44DB}"/>
    <cellStyle name="Input 2 3 3 2 3" xfId="3775" xr:uid="{00000000-0005-0000-0000-0000CD030000}"/>
    <cellStyle name="Input 2 3 3 2 3 2" xfId="7669" xr:uid="{00000000-0005-0000-0000-0000CE030000}"/>
    <cellStyle name="Input 2 3 3 2 3 3" xfId="11678" xr:uid="{8CBFAAA6-1DF4-4B85-86DE-F429B7BE8345}"/>
    <cellStyle name="Input 2 3 3 2 4" xfId="5251" xr:uid="{00000000-0005-0000-0000-0000CF030000}"/>
    <cellStyle name="Input 2 3 3 2 5" xfId="9260" xr:uid="{E049D4E1-12A5-41B9-9BCA-D4E5B798E2A7}"/>
    <cellStyle name="Input 2 3 3 2 6" xfId="13151" xr:uid="{2AE9372E-BB34-4781-93C6-74F888C6BDD1}"/>
    <cellStyle name="Input 2 3 3 3" xfId="1727" xr:uid="{00000000-0005-0000-0000-0000D0030000}"/>
    <cellStyle name="Input 2 3 3 3 2" xfId="5624" xr:uid="{00000000-0005-0000-0000-0000D1030000}"/>
    <cellStyle name="Input 2 3 3 3 3" xfId="9633" xr:uid="{B424C7E8-B449-4B43-B610-03E232F6E35A}"/>
    <cellStyle name="Input 2 3 3 4" xfId="3295" xr:uid="{00000000-0005-0000-0000-0000D2030000}"/>
    <cellStyle name="Input 2 3 3 4 2" xfId="7189" xr:uid="{00000000-0005-0000-0000-0000D3030000}"/>
    <cellStyle name="Input 2 3 3 4 3" xfId="11198" xr:uid="{1B58A933-42ED-4CAD-A783-1ED859AA090B}"/>
    <cellStyle name="Input 2 3 3 5" xfId="4473" xr:uid="{00000000-0005-0000-0000-0000D4030000}"/>
    <cellStyle name="Input 2 3 3 6" xfId="8482" xr:uid="{9D58A2E3-56DA-42EF-9797-F013BA2F13D3}"/>
    <cellStyle name="Input 2 3 3 7" xfId="12373" xr:uid="{8D8C385B-114F-461C-ABE1-A131B30A567F}"/>
    <cellStyle name="Input 2 3 4" xfId="1029" xr:uid="{00000000-0005-0000-0000-0000D5030000}"/>
    <cellStyle name="Input 2 3 4 2" xfId="1729" xr:uid="{00000000-0005-0000-0000-0000D6030000}"/>
    <cellStyle name="Input 2 3 4 2 2" xfId="5626" xr:uid="{00000000-0005-0000-0000-0000D7030000}"/>
    <cellStyle name="Input 2 3 4 2 3" xfId="9635" xr:uid="{7B7B7161-4E0C-4B00-A35C-F1588708EAD9}"/>
    <cellStyle name="Input 2 3 4 3" xfId="3577" xr:uid="{00000000-0005-0000-0000-0000D8030000}"/>
    <cellStyle name="Input 2 3 4 3 2" xfId="7471" xr:uid="{00000000-0005-0000-0000-0000D9030000}"/>
    <cellStyle name="Input 2 3 4 3 3" xfId="11480" xr:uid="{88E8F254-6BD0-4337-8509-587F930CBCBA}"/>
    <cellStyle name="Input 2 3 4 4" xfId="4930" xr:uid="{00000000-0005-0000-0000-0000DA030000}"/>
    <cellStyle name="Input 2 3 4 5" xfId="8939" xr:uid="{E96D3217-50CB-4289-950C-92A867579267}"/>
    <cellStyle name="Input 2 3 4 6" xfId="12830" xr:uid="{D909EA6F-576A-463A-8687-B56488075FB9}"/>
    <cellStyle name="Input 2 3 5" xfId="1722" xr:uid="{00000000-0005-0000-0000-0000DB030000}"/>
    <cellStyle name="Input 2 3 5 2" xfId="5619" xr:uid="{00000000-0005-0000-0000-0000DC030000}"/>
    <cellStyle name="Input 2 3 5 3" xfId="9628" xr:uid="{84BC1D58-B6E9-42F7-A73D-D2808D2B7C96}"/>
    <cellStyle name="Input 2 3 6" xfId="2974" xr:uid="{00000000-0005-0000-0000-0000DD030000}"/>
    <cellStyle name="Input 2 3 6 2" xfId="6868" xr:uid="{00000000-0005-0000-0000-0000DE030000}"/>
    <cellStyle name="Input 2 3 6 3" xfId="10877" xr:uid="{7526975E-E5FF-4F85-8ED0-A33FB6B10825}"/>
    <cellStyle name="Input 2 3 7" xfId="4152" xr:uid="{00000000-0005-0000-0000-0000DF030000}"/>
    <cellStyle name="Input 2 3 8" xfId="8161" xr:uid="{D298E297-736B-4D8A-9841-A19A2BB7162D}"/>
    <cellStyle name="Input 2 3 9" xfId="12052" xr:uid="{D146AE81-E1FF-4656-8EA0-3FDAB296F812}"/>
    <cellStyle name="Input 2 4" xfId="298" xr:uid="{00000000-0005-0000-0000-0000E0030000}"/>
    <cellStyle name="Input 2 4 10" xfId="13547" xr:uid="{4F3FF5F5-C5CB-4829-A2F8-53BA5801F9C5}"/>
    <cellStyle name="Input 2 4 2" xfId="453" xr:uid="{00000000-0005-0000-0000-0000E1030000}"/>
    <cellStyle name="Input 2 4 2 2" xfId="783" xr:uid="{00000000-0005-0000-0000-0000E2030000}"/>
    <cellStyle name="Input 2 4 2 2 2" xfId="1564" xr:uid="{00000000-0005-0000-0000-0000E3030000}"/>
    <cellStyle name="Input 2 4 2 2 2 2" xfId="1733" xr:uid="{00000000-0005-0000-0000-0000E4030000}"/>
    <cellStyle name="Input 2 4 2 2 2 2 2" xfId="5630" xr:uid="{00000000-0005-0000-0000-0000E5030000}"/>
    <cellStyle name="Input 2 4 2 2 2 2 3" xfId="9639" xr:uid="{4FA6C2C5-AEF3-4F64-BA11-563C528663EB}"/>
    <cellStyle name="Input 2 4 2 2 2 3" xfId="3909" xr:uid="{00000000-0005-0000-0000-0000E6030000}"/>
    <cellStyle name="Input 2 4 2 2 2 3 2" xfId="7803" xr:uid="{00000000-0005-0000-0000-0000E7030000}"/>
    <cellStyle name="Input 2 4 2 2 2 3 3" xfId="11812" xr:uid="{E35468E6-9C5F-4D1D-B06A-3851E8107F1B}"/>
    <cellStyle name="Input 2 4 2 2 2 4" xfId="5465" xr:uid="{00000000-0005-0000-0000-0000E8030000}"/>
    <cellStyle name="Input 2 4 2 2 2 5" xfId="9474" xr:uid="{21DBA6AD-A045-4A3A-9748-EF7077BD4A00}"/>
    <cellStyle name="Input 2 4 2 2 2 6" xfId="13365" xr:uid="{CEC19C47-5BAF-43A3-A032-B4272E4F07A0}"/>
    <cellStyle name="Input 2 4 2 2 3" xfId="1732" xr:uid="{00000000-0005-0000-0000-0000E9030000}"/>
    <cellStyle name="Input 2 4 2 2 3 2" xfId="5629" xr:uid="{00000000-0005-0000-0000-0000EA030000}"/>
    <cellStyle name="Input 2 4 2 2 3 3" xfId="9638" xr:uid="{28CB7B84-303A-4223-B557-48A6D4347454}"/>
    <cellStyle name="Input 2 4 2 2 4" xfId="3509" xr:uid="{00000000-0005-0000-0000-0000EB030000}"/>
    <cellStyle name="Input 2 4 2 2 4 2" xfId="7403" xr:uid="{00000000-0005-0000-0000-0000EC030000}"/>
    <cellStyle name="Input 2 4 2 2 4 3" xfId="11412" xr:uid="{307975DE-B059-4648-91A7-0FF59511F474}"/>
    <cellStyle name="Input 2 4 2 2 5" xfId="4687" xr:uid="{00000000-0005-0000-0000-0000ED030000}"/>
    <cellStyle name="Input 2 4 2 2 6" xfId="8696" xr:uid="{ABBF1349-0CCF-4A71-BD0C-D38E001DF4A5}"/>
    <cellStyle name="Input 2 4 2 2 7" xfId="12587" xr:uid="{B85D6742-5320-46D0-8D54-B2710672168A}"/>
    <cellStyle name="Input 2 4 2 3" xfId="1243" xr:uid="{00000000-0005-0000-0000-0000EE030000}"/>
    <cellStyle name="Input 2 4 2 3 2" xfId="1734" xr:uid="{00000000-0005-0000-0000-0000EF030000}"/>
    <cellStyle name="Input 2 4 2 3 2 2" xfId="5631" xr:uid="{00000000-0005-0000-0000-0000F0030000}"/>
    <cellStyle name="Input 2 4 2 3 2 3" xfId="9640" xr:uid="{78151EAF-C0CD-4E6C-8DF2-AE024CBD74CB}"/>
    <cellStyle name="Input 2 4 2 3 3" xfId="3711" xr:uid="{00000000-0005-0000-0000-0000F1030000}"/>
    <cellStyle name="Input 2 4 2 3 3 2" xfId="7605" xr:uid="{00000000-0005-0000-0000-0000F2030000}"/>
    <cellStyle name="Input 2 4 2 3 3 3" xfId="11614" xr:uid="{4A7A8E2C-0583-4EF3-B355-FEFF594620F1}"/>
    <cellStyle name="Input 2 4 2 3 4" xfId="5144" xr:uid="{00000000-0005-0000-0000-0000F3030000}"/>
    <cellStyle name="Input 2 4 2 3 5" xfId="9153" xr:uid="{D37864B0-BE35-4591-8642-548E9E93BD07}"/>
    <cellStyle name="Input 2 4 2 3 6" xfId="13044" xr:uid="{086E202A-6ACB-4860-A3FB-6FA4C8A56991}"/>
    <cellStyle name="Input 2 4 2 4" xfId="1731" xr:uid="{00000000-0005-0000-0000-0000F4030000}"/>
    <cellStyle name="Input 2 4 2 4 2" xfId="5628" xr:uid="{00000000-0005-0000-0000-0000F5030000}"/>
    <cellStyle name="Input 2 4 2 4 3" xfId="9637" xr:uid="{7FD7982F-46D5-4FE6-9E3B-F82DC7DBDAC1}"/>
    <cellStyle name="Input 2 4 2 5" xfId="3188" xr:uid="{00000000-0005-0000-0000-0000F6030000}"/>
    <cellStyle name="Input 2 4 2 5 2" xfId="7082" xr:uid="{00000000-0005-0000-0000-0000F7030000}"/>
    <cellStyle name="Input 2 4 2 5 3" xfId="11091" xr:uid="{BFF40867-2CFD-4D6B-9D14-80DA1E869AB3}"/>
    <cellStyle name="Input 2 4 2 6" xfId="4366" xr:uid="{00000000-0005-0000-0000-0000F8030000}"/>
    <cellStyle name="Input 2 4 2 7" xfId="8375" xr:uid="{92E0F43A-FC7B-44EC-9B67-9219E9528F4D}"/>
    <cellStyle name="Input 2 4 2 8" xfId="12266" xr:uid="{0E472FE6-B7C5-4505-9DD6-E6DC335B65A3}"/>
    <cellStyle name="Input 2 4 3" xfId="628" xr:uid="{00000000-0005-0000-0000-0000F9030000}"/>
    <cellStyle name="Input 2 4 3 2" xfId="1409" xr:uid="{00000000-0005-0000-0000-0000FA030000}"/>
    <cellStyle name="Input 2 4 3 2 2" xfId="1736" xr:uid="{00000000-0005-0000-0000-0000FB030000}"/>
    <cellStyle name="Input 2 4 3 2 2 2" xfId="5633" xr:uid="{00000000-0005-0000-0000-0000FC030000}"/>
    <cellStyle name="Input 2 4 3 2 2 3" xfId="9642" xr:uid="{150C7467-E69B-4484-BD79-CD4AEC77F953}"/>
    <cellStyle name="Input 2 4 3 2 3" xfId="3810" xr:uid="{00000000-0005-0000-0000-0000FD030000}"/>
    <cellStyle name="Input 2 4 3 2 3 2" xfId="7704" xr:uid="{00000000-0005-0000-0000-0000FE030000}"/>
    <cellStyle name="Input 2 4 3 2 3 3" xfId="11713" xr:uid="{EDF1EF89-B1AB-425B-A1B6-C496982A0A94}"/>
    <cellStyle name="Input 2 4 3 2 4" xfId="5310" xr:uid="{00000000-0005-0000-0000-0000FF030000}"/>
    <cellStyle name="Input 2 4 3 2 5" xfId="9319" xr:uid="{8B5D53F6-3332-4C0F-B61D-FE769A98CB22}"/>
    <cellStyle name="Input 2 4 3 2 6" xfId="13210" xr:uid="{E8DA66BA-28DC-4FA8-9F31-67E28D0802B1}"/>
    <cellStyle name="Input 2 4 3 3" xfId="1735" xr:uid="{00000000-0005-0000-0000-000000040000}"/>
    <cellStyle name="Input 2 4 3 3 2" xfId="5632" xr:uid="{00000000-0005-0000-0000-000001040000}"/>
    <cellStyle name="Input 2 4 3 3 3" xfId="9641" xr:uid="{C11AF5B3-ADC9-4821-BD13-50053CF28CA3}"/>
    <cellStyle name="Input 2 4 3 4" xfId="3354" xr:uid="{00000000-0005-0000-0000-000002040000}"/>
    <cellStyle name="Input 2 4 3 4 2" xfId="7248" xr:uid="{00000000-0005-0000-0000-000003040000}"/>
    <cellStyle name="Input 2 4 3 4 3" xfId="11257" xr:uid="{65F77235-B12A-4898-B661-636DEA1D4C26}"/>
    <cellStyle name="Input 2 4 3 5" xfId="4532" xr:uid="{00000000-0005-0000-0000-000004040000}"/>
    <cellStyle name="Input 2 4 3 6" xfId="8541" xr:uid="{13A617BD-95B2-41F7-AC92-45996D090E03}"/>
    <cellStyle name="Input 2 4 3 7" xfId="12432" xr:uid="{46A0C09D-C8F1-4C8C-B0C4-C3540C23E375}"/>
    <cellStyle name="Input 2 4 4" xfId="1088" xr:uid="{00000000-0005-0000-0000-000005040000}"/>
    <cellStyle name="Input 2 4 4 2" xfId="1737" xr:uid="{00000000-0005-0000-0000-000006040000}"/>
    <cellStyle name="Input 2 4 4 2 2" xfId="5634" xr:uid="{00000000-0005-0000-0000-000007040000}"/>
    <cellStyle name="Input 2 4 4 2 3" xfId="9643" xr:uid="{C72E6021-A39D-4186-88AC-A7EE7EE07493}"/>
    <cellStyle name="Input 2 4 4 3" xfId="3612" xr:uid="{00000000-0005-0000-0000-000008040000}"/>
    <cellStyle name="Input 2 4 4 3 2" xfId="7506" xr:uid="{00000000-0005-0000-0000-000009040000}"/>
    <cellStyle name="Input 2 4 4 3 3" xfId="11515" xr:uid="{30EC9E46-3D33-4185-B077-505F9A8904BB}"/>
    <cellStyle name="Input 2 4 4 4" xfId="4989" xr:uid="{00000000-0005-0000-0000-00000A040000}"/>
    <cellStyle name="Input 2 4 4 5" xfId="8998" xr:uid="{A10D5D8E-F192-4501-8778-F707F0BC4A13}"/>
    <cellStyle name="Input 2 4 4 6" xfId="12889" xr:uid="{5B473D86-E027-4EB0-BE3E-4799EE109491}"/>
    <cellStyle name="Input 2 4 5" xfId="1730" xr:uid="{00000000-0005-0000-0000-00000B040000}"/>
    <cellStyle name="Input 2 4 5 2" xfId="5627" xr:uid="{00000000-0005-0000-0000-00000C040000}"/>
    <cellStyle name="Input 2 4 5 3" xfId="9636" xr:uid="{7FB594E5-B8C8-406F-B56F-5AFACC0E9C32}"/>
    <cellStyle name="Input 2 4 6" xfId="3033" xr:uid="{00000000-0005-0000-0000-00000D040000}"/>
    <cellStyle name="Input 2 4 6 2" xfId="6927" xr:uid="{00000000-0005-0000-0000-00000E040000}"/>
    <cellStyle name="Input 2 4 6 3" xfId="10936" xr:uid="{A9B04ABA-45D6-49A6-B689-5E0C78A3AA34}"/>
    <cellStyle name="Input 2 4 7" xfId="4211" xr:uid="{00000000-0005-0000-0000-00000F040000}"/>
    <cellStyle name="Input 2 4 8" xfId="8220" xr:uid="{1642B0DF-70CF-4198-BF8E-455C742D0AB0}"/>
    <cellStyle name="Input 2 4 9" xfId="12111" xr:uid="{9A768AAA-7E32-4C39-9477-1A199D323FBB}"/>
    <cellStyle name="Input 2 5" xfId="319" xr:uid="{00000000-0005-0000-0000-000010040000}"/>
    <cellStyle name="Input 2 5 2" xfId="649" xr:uid="{00000000-0005-0000-0000-000011040000}"/>
    <cellStyle name="Input 2 5 2 2" xfId="1430" xr:uid="{00000000-0005-0000-0000-000012040000}"/>
    <cellStyle name="Input 2 5 2 2 2" xfId="1740" xr:uid="{00000000-0005-0000-0000-000013040000}"/>
    <cellStyle name="Input 2 5 2 2 2 2" xfId="5637" xr:uid="{00000000-0005-0000-0000-000014040000}"/>
    <cellStyle name="Input 2 5 2 2 2 3" xfId="9646" xr:uid="{BF741463-0905-4127-A5E8-69080A5A29BF}"/>
    <cellStyle name="Input 2 5 2 2 3" xfId="3822" xr:uid="{00000000-0005-0000-0000-000015040000}"/>
    <cellStyle name="Input 2 5 2 2 3 2" xfId="7716" xr:uid="{00000000-0005-0000-0000-000016040000}"/>
    <cellStyle name="Input 2 5 2 2 3 3" xfId="11725" xr:uid="{A2F8EB9E-9D28-4860-A27F-EA11E8DB856D}"/>
    <cellStyle name="Input 2 5 2 2 4" xfId="5331" xr:uid="{00000000-0005-0000-0000-000017040000}"/>
    <cellStyle name="Input 2 5 2 2 5" xfId="9340" xr:uid="{BC61FAF9-230D-4963-9865-46292DE547EA}"/>
    <cellStyle name="Input 2 5 2 2 6" xfId="13231" xr:uid="{49A03B96-CDC5-464B-9E35-03B5F0F646EB}"/>
    <cellStyle name="Input 2 5 2 3" xfId="1739" xr:uid="{00000000-0005-0000-0000-000018040000}"/>
    <cellStyle name="Input 2 5 2 3 2" xfId="5636" xr:uid="{00000000-0005-0000-0000-000019040000}"/>
    <cellStyle name="Input 2 5 2 3 3" xfId="9645" xr:uid="{59F1A552-6513-4045-BB1C-E3F625859AF1}"/>
    <cellStyle name="Input 2 5 2 4" xfId="3375" xr:uid="{00000000-0005-0000-0000-00001A040000}"/>
    <cellStyle name="Input 2 5 2 4 2" xfId="7269" xr:uid="{00000000-0005-0000-0000-00001B040000}"/>
    <cellStyle name="Input 2 5 2 4 3" xfId="11278" xr:uid="{64D41869-A9B4-43C8-8A94-AD844810E573}"/>
    <cellStyle name="Input 2 5 2 5" xfId="4553" xr:uid="{00000000-0005-0000-0000-00001C040000}"/>
    <cellStyle name="Input 2 5 2 6" xfId="8562" xr:uid="{B237A9E0-7CDF-4FF7-BECA-51D0607424B8}"/>
    <cellStyle name="Input 2 5 2 7" xfId="12453" xr:uid="{3B1CC307-6024-4646-BCB9-8453C2CD97A2}"/>
    <cellStyle name="Input 2 5 3" xfId="1109" xr:uid="{00000000-0005-0000-0000-00001D040000}"/>
    <cellStyle name="Input 2 5 3 2" xfId="1741" xr:uid="{00000000-0005-0000-0000-00001E040000}"/>
    <cellStyle name="Input 2 5 3 2 2" xfId="5638" xr:uid="{00000000-0005-0000-0000-00001F040000}"/>
    <cellStyle name="Input 2 5 3 2 3" xfId="9647" xr:uid="{B51BB39A-D6B9-4FCA-ACFC-B1FFC3F30D2A}"/>
    <cellStyle name="Input 2 5 3 3" xfId="3624" xr:uid="{00000000-0005-0000-0000-000020040000}"/>
    <cellStyle name="Input 2 5 3 3 2" xfId="7518" xr:uid="{00000000-0005-0000-0000-000021040000}"/>
    <cellStyle name="Input 2 5 3 3 3" xfId="11527" xr:uid="{589C9EA3-03BA-4E59-AB01-CE813C787802}"/>
    <cellStyle name="Input 2 5 3 4" xfId="5010" xr:uid="{00000000-0005-0000-0000-000022040000}"/>
    <cellStyle name="Input 2 5 3 5" xfId="9019" xr:uid="{8FF1DE24-1764-4182-8150-A0A68B63D679}"/>
    <cellStyle name="Input 2 5 3 6" xfId="12910" xr:uid="{2E65E6C7-1651-446F-A1B6-D7F2BFCAEF83}"/>
    <cellStyle name="Input 2 5 4" xfId="1738" xr:uid="{00000000-0005-0000-0000-000023040000}"/>
    <cellStyle name="Input 2 5 4 2" xfId="5635" xr:uid="{00000000-0005-0000-0000-000024040000}"/>
    <cellStyle name="Input 2 5 4 3" xfId="9644" xr:uid="{43347FB8-B55B-400B-B213-FE939708A34F}"/>
    <cellStyle name="Input 2 5 5" xfId="3054" xr:uid="{00000000-0005-0000-0000-000025040000}"/>
    <cellStyle name="Input 2 5 5 2" xfId="6948" xr:uid="{00000000-0005-0000-0000-000026040000}"/>
    <cellStyle name="Input 2 5 5 3" xfId="10957" xr:uid="{F50F7109-4C80-45A4-8DCF-E9BD44270036}"/>
    <cellStyle name="Input 2 5 6" xfId="4232" xr:uid="{00000000-0005-0000-0000-000027040000}"/>
    <cellStyle name="Input 2 5 7" xfId="8241" xr:uid="{37C649E9-D9BC-453D-86B6-F7C7682F8680}"/>
    <cellStyle name="Input 2 5 8" xfId="12132" xr:uid="{4ADAAF79-ED62-41A9-B24D-2175FFF7FD7B}"/>
    <cellStyle name="Input 2 6" xfId="481" xr:uid="{00000000-0005-0000-0000-000028040000}"/>
    <cellStyle name="Input 2 6 2" xfId="1265" xr:uid="{00000000-0005-0000-0000-000029040000}"/>
    <cellStyle name="Input 2 6 2 2" xfId="1743" xr:uid="{00000000-0005-0000-0000-00002A040000}"/>
    <cellStyle name="Input 2 6 2 2 2" xfId="5640" xr:uid="{00000000-0005-0000-0000-00002B040000}"/>
    <cellStyle name="Input 2 6 2 2 3" xfId="9649" xr:uid="{5DE61B2E-380A-4A6F-AA1A-ADA1A2EB6255}"/>
    <cellStyle name="Input 2 6 2 3" xfId="3723" xr:uid="{00000000-0005-0000-0000-00002C040000}"/>
    <cellStyle name="Input 2 6 2 3 2" xfId="7617" xr:uid="{00000000-0005-0000-0000-00002D040000}"/>
    <cellStyle name="Input 2 6 2 3 3" xfId="11626" xr:uid="{0D521CE4-85C5-4727-ACDA-2584106472C0}"/>
    <cellStyle name="Input 2 6 2 4" xfId="5166" xr:uid="{00000000-0005-0000-0000-00002E040000}"/>
    <cellStyle name="Input 2 6 2 5" xfId="9175" xr:uid="{7120B943-0901-49E7-B07D-BBC5B8B8836B}"/>
    <cellStyle name="Input 2 6 2 6" xfId="13066" xr:uid="{76D069B1-DF17-49F7-8B84-515677FC09C5}"/>
    <cellStyle name="Input 2 6 3" xfId="1742" xr:uid="{00000000-0005-0000-0000-00002F040000}"/>
    <cellStyle name="Input 2 6 3 2" xfId="5639" xr:uid="{00000000-0005-0000-0000-000030040000}"/>
    <cellStyle name="Input 2 6 3 3" xfId="9648" xr:uid="{3AB356CB-631F-48D8-9472-6FB786875C12}"/>
    <cellStyle name="Input 2 6 4" xfId="3210" xr:uid="{00000000-0005-0000-0000-000031040000}"/>
    <cellStyle name="Input 2 6 4 2" xfId="7104" xr:uid="{00000000-0005-0000-0000-000032040000}"/>
    <cellStyle name="Input 2 6 4 3" xfId="11113" xr:uid="{7167C94D-0B03-472D-82A3-57E81DEC4D3E}"/>
    <cellStyle name="Input 2 6 5" xfId="4388" xr:uid="{00000000-0005-0000-0000-000033040000}"/>
    <cellStyle name="Input 2 6 6" xfId="8397" xr:uid="{161EB301-6433-46B0-B59B-A5EB755EB3FF}"/>
    <cellStyle name="Input 2 6 7" xfId="12288" xr:uid="{5F1AE240-1758-4439-86F7-AB319A097D1B}"/>
    <cellStyle name="Input 2 7" xfId="944" xr:uid="{00000000-0005-0000-0000-000034040000}"/>
    <cellStyle name="Input 2 7 2" xfId="1744" xr:uid="{00000000-0005-0000-0000-000035040000}"/>
    <cellStyle name="Input 2 7 2 2" xfId="5641" xr:uid="{00000000-0005-0000-0000-000036040000}"/>
    <cellStyle name="Input 2 7 2 3" xfId="9650" xr:uid="{836C19A6-4BBC-4A47-BB4B-07EAD6D7DB79}"/>
    <cellStyle name="Input 2 7 3" xfId="3525" xr:uid="{00000000-0005-0000-0000-000037040000}"/>
    <cellStyle name="Input 2 7 3 2" xfId="7419" xr:uid="{00000000-0005-0000-0000-000038040000}"/>
    <cellStyle name="Input 2 7 3 3" xfId="11428" xr:uid="{8DA3BD97-6D5C-4FDB-84D1-AA5C5ADB9B9D}"/>
    <cellStyle name="Input 2 7 4" xfId="4845" xr:uid="{00000000-0005-0000-0000-000039040000}"/>
    <cellStyle name="Input 2 7 5" xfId="8854" xr:uid="{90FCE5D4-5DD3-4B41-B711-8831954F8921}"/>
    <cellStyle name="Input 2 7 6" xfId="12745" xr:uid="{FF7FAA55-D74E-4194-8E54-6FD89202D1DB}"/>
    <cellStyle name="Input 2 8" xfId="1697" xr:uid="{00000000-0005-0000-0000-00003A040000}"/>
    <cellStyle name="Input 2 8 2" xfId="5594" xr:uid="{00000000-0005-0000-0000-00003B040000}"/>
    <cellStyle name="Input 2 8 3" xfId="9603" xr:uid="{0EABBC6F-545B-464D-9190-65A69AB96AED}"/>
    <cellStyle name="Input 2 9" xfId="2889" xr:uid="{00000000-0005-0000-0000-00003C040000}"/>
    <cellStyle name="Input 2 9 2" xfId="6783" xr:uid="{00000000-0005-0000-0000-00003D040000}"/>
    <cellStyle name="Input 2 9 3" xfId="10792" xr:uid="{1017E6BD-8A0F-4BDB-81E9-E06859139664}"/>
    <cellStyle name="Input 3" xfId="169" xr:uid="{00000000-0005-0000-0000-00003E040000}"/>
    <cellStyle name="Input 3 10" xfId="4085" xr:uid="{00000000-0005-0000-0000-00003F040000}"/>
    <cellStyle name="Input 3 11" xfId="8094" xr:uid="{2A831FB7-1B2B-4AED-BCE8-EB4F73A1B070}"/>
    <cellStyle name="Input 3 12" xfId="11985" xr:uid="{4C487AA1-BDCC-4F5C-AD9A-01CEC35697A4}"/>
    <cellStyle name="Input 3 13" xfId="13421" xr:uid="{815AF54F-2276-4E73-A5AB-D78344FDD4BD}"/>
    <cellStyle name="Input 3 2" xfId="173" xr:uid="{00000000-0005-0000-0000-000040040000}"/>
    <cellStyle name="Input 3 2 10" xfId="8098" xr:uid="{D56D12E9-1A4A-4F2B-B83D-94911E45F66C}"/>
    <cellStyle name="Input 3 2 11" xfId="11989" xr:uid="{3E76F8AB-2FFE-4629-90F4-54BA1F5E46D4}"/>
    <cellStyle name="Input 3 2 12" xfId="13425" xr:uid="{6749ED98-256E-471F-88AB-9C301630233C}"/>
    <cellStyle name="Input 3 2 2" xfId="274" xr:uid="{00000000-0005-0000-0000-000041040000}"/>
    <cellStyle name="Input 3 2 2 10" xfId="13523" xr:uid="{EB3D2D34-5620-4E12-BCB8-91688BA1FF03}"/>
    <cellStyle name="Input 3 2 2 2" xfId="430" xr:uid="{00000000-0005-0000-0000-000042040000}"/>
    <cellStyle name="Input 3 2 2 2 2" xfId="760" xr:uid="{00000000-0005-0000-0000-000043040000}"/>
    <cellStyle name="Input 3 2 2 2 2 2" xfId="1541" xr:uid="{00000000-0005-0000-0000-000044040000}"/>
    <cellStyle name="Input 3 2 2 2 2 2 2" xfId="1750" xr:uid="{00000000-0005-0000-0000-000045040000}"/>
    <cellStyle name="Input 3 2 2 2 2 2 2 2" xfId="5647" xr:uid="{00000000-0005-0000-0000-000046040000}"/>
    <cellStyle name="Input 3 2 2 2 2 2 2 3" xfId="9656" xr:uid="{5A7AE481-58FC-486D-85F0-438F547926B6}"/>
    <cellStyle name="Input 3 2 2 2 2 2 3" xfId="3895" xr:uid="{00000000-0005-0000-0000-000047040000}"/>
    <cellStyle name="Input 3 2 2 2 2 2 3 2" xfId="7789" xr:uid="{00000000-0005-0000-0000-000048040000}"/>
    <cellStyle name="Input 3 2 2 2 2 2 3 3" xfId="11798" xr:uid="{0D062FD0-4316-425C-A7DC-F470960381D9}"/>
    <cellStyle name="Input 3 2 2 2 2 2 4" xfId="5442" xr:uid="{00000000-0005-0000-0000-000049040000}"/>
    <cellStyle name="Input 3 2 2 2 2 2 5" xfId="9451" xr:uid="{76A1C081-60A0-47A4-818A-EEC1F7C53E56}"/>
    <cellStyle name="Input 3 2 2 2 2 2 6" xfId="13342" xr:uid="{8CFB4277-7B15-4BF3-A8B1-33E3C27DD452}"/>
    <cellStyle name="Input 3 2 2 2 2 3" xfId="1749" xr:uid="{00000000-0005-0000-0000-00004A040000}"/>
    <cellStyle name="Input 3 2 2 2 2 3 2" xfId="5646" xr:uid="{00000000-0005-0000-0000-00004B040000}"/>
    <cellStyle name="Input 3 2 2 2 2 3 3" xfId="9655" xr:uid="{CEB750B6-B3DD-4980-B1F8-DFD4BE4B370F}"/>
    <cellStyle name="Input 3 2 2 2 2 4" xfId="3486" xr:uid="{00000000-0005-0000-0000-00004C040000}"/>
    <cellStyle name="Input 3 2 2 2 2 4 2" xfId="7380" xr:uid="{00000000-0005-0000-0000-00004D040000}"/>
    <cellStyle name="Input 3 2 2 2 2 4 3" xfId="11389" xr:uid="{B6EEA845-0943-4803-AE78-8550ACC93538}"/>
    <cellStyle name="Input 3 2 2 2 2 5" xfId="4664" xr:uid="{00000000-0005-0000-0000-00004E040000}"/>
    <cellStyle name="Input 3 2 2 2 2 6" xfId="8673" xr:uid="{8DC4A453-3CE0-40B5-B133-F8CDB084C0A3}"/>
    <cellStyle name="Input 3 2 2 2 2 7" xfId="12564" xr:uid="{BFDF1467-D5B3-41CC-8567-B68407059469}"/>
    <cellStyle name="Input 3 2 2 2 3" xfId="1220" xr:uid="{00000000-0005-0000-0000-00004F040000}"/>
    <cellStyle name="Input 3 2 2 2 3 2" xfId="1751" xr:uid="{00000000-0005-0000-0000-000050040000}"/>
    <cellStyle name="Input 3 2 2 2 3 2 2" xfId="5648" xr:uid="{00000000-0005-0000-0000-000051040000}"/>
    <cellStyle name="Input 3 2 2 2 3 2 3" xfId="9657" xr:uid="{8B3E066F-AA70-4CB8-AE14-1745F93AAA0A}"/>
    <cellStyle name="Input 3 2 2 2 3 3" xfId="3697" xr:uid="{00000000-0005-0000-0000-000052040000}"/>
    <cellStyle name="Input 3 2 2 2 3 3 2" xfId="7591" xr:uid="{00000000-0005-0000-0000-000053040000}"/>
    <cellStyle name="Input 3 2 2 2 3 3 3" xfId="11600" xr:uid="{C55F2719-55E5-4839-8932-6D28A9044B45}"/>
    <cellStyle name="Input 3 2 2 2 3 4" xfId="5121" xr:uid="{00000000-0005-0000-0000-000054040000}"/>
    <cellStyle name="Input 3 2 2 2 3 5" xfId="9130" xr:uid="{E55384A2-55CF-44F9-9782-C6758C3675F5}"/>
    <cellStyle name="Input 3 2 2 2 3 6" xfId="13021" xr:uid="{12A2B571-664A-4DBC-A3BF-42EB151B67A6}"/>
    <cellStyle name="Input 3 2 2 2 4" xfId="1748" xr:uid="{00000000-0005-0000-0000-000055040000}"/>
    <cellStyle name="Input 3 2 2 2 4 2" xfId="5645" xr:uid="{00000000-0005-0000-0000-000056040000}"/>
    <cellStyle name="Input 3 2 2 2 4 3" xfId="9654" xr:uid="{7F81219A-B9E2-4CFD-97A8-FE0A8C5B5231}"/>
    <cellStyle name="Input 3 2 2 2 5" xfId="3165" xr:uid="{00000000-0005-0000-0000-000057040000}"/>
    <cellStyle name="Input 3 2 2 2 5 2" xfId="7059" xr:uid="{00000000-0005-0000-0000-000058040000}"/>
    <cellStyle name="Input 3 2 2 2 5 3" xfId="11068" xr:uid="{FD4DCD6E-AC8C-4626-BA4F-8393C706FCC1}"/>
    <cellStyle name="Input 3 2 2 2 6" xfId="4343" xr:uid="{00000000-0005-0000-0000-000059040000}"/>
    <cellStyle name="Input 3 2 2 2 7" xfId="8352" xr:uid="{AF96EF2A-973F-4BF3-BBB0-4901ED22B219}"/>
    <cellStyle name="Input 3 2 2 2 8" xfId="12243" xr:uid="{07990AD7-8D11-4D4F-91FF-12FEBBB709E7}"/>
    <cellStyle name="Input 3 2 2 3" xfId="604" xr:uid="{00000000-0005-0000-0000-00005A040000}"/>
    <cellStyle name="Input 3 2 2 3 2" xfId="1385" xr:uid="{00000000-0005-0000-0000-00005B040000}"/>
    <cellStyle name="Input 3 2 2 3 2 2" xfId="1753" xr:uid="{00000000-0005-0000-0000-00005C040000}"/>
    <cellStyle name="Input 3 2 2 3 2 2 2" xfId="5650" xr:uid="{00000000-0005-0000-0000-00005D040000}"/>
    <cellStyle name="Input 3 2 2 3 2 2 3" xfId="9659" xr:uid="{8D181F76-CFA6-480B-AE96-49F16A7676FD}"/>
    <cellStyle name="Input 3 2 2 3 2 3" xfId="3796" xr:uid="{00000000-0005-0000-0000-00005E040000}"/>
    <cellStyle name="Input 3 2 2 3 2 3 2" xfId="7690" xr:uid="{00000000-0005-0000-0000-00005F040000}"/>
    <cellStyle name="Input 3 2 2 3 2 3 3" xfId="11699" xr:uid="{EED60EEB-AEF9-448D-A6C2-BE62EEA95AEE}"/>
    <cellStyle name="Input 3 2 2 3 2 4" xfId="5286" xr:uid="{00000000-0005-0000-0000-000060040000}"/>
    <cellStyle name="Input 3 2 2 3 2 5" xfId="9295" xr:uid="{D1F5A494-9B65-4D58-A6BE-EFDC47BB61FD}"/>
    <cellStyle name="Input 3 2 2 3 2 6" xfId="13186" xr:uid="{43AE5156-3619-46CC-B240-D845ADC997DA}"/>
    <cellStyle name="Input 3 2 2 3 3" xfId="1752" xr:uid="{00000000-0005-0000-0000-000061040000}"/>
    <cellStyle name="Input 3 2 2 3 3 2" xfId="5649" xr:uid="{00000000-0005-0000-0000-000062040000}"/>
    <cellStyle name="Input 3 2 2 3 3 3" xfId="9658" xr:uid="{4F1167AA-D7B6-47D1-8D92-CE90E811E5B5}"/>
    <cellStyle name="Input 3 2 2 3 4" xfId="3330" xr:uid="{00000000-0005-0000-0000-000063040000}"/>
    <cellStyle name="Input 3 2 2 3 4 2" xfId="7224" xr:uid="{00000000-0005-0000-0000-000064040000}"/>
    <cellStyle name="Input 3 2 2 3 4 3" xfId="11233" xr:uid="{4F0E8783-730F-494B-BF22-A51DAF9D709F}"/>
    <cellStyle name="Input 3 2 2 3 5" xfId="4508" xr:uid="{00000000-0005-0000-0000-000065040000}"/>
    <cellStyle name="Input 3 2 2 3 6" xfId="8517" xr:uid="{E1C365D7-3862-47FA-847B-FFBC49BF3D17}"/>
    <cellStyle name="Input 3 2 2 3 7" xfId="12408" xr:uid="{579D7244-30E2-4201-963A-B2C81FB65EFE}"/>
    <cellStyle name="Input 3 2 2 4" xfId="1064" xr:uid="{00000000-0005-0000-0000-000066040000}"/>
    <cellStyle name="Input 3 2 2 4 2" xfId="1754" xr:uid="{00000000-0005-0000-0000-000067040000}"/>
    <cellStyle name="Input 3 2 2 4 2 2" xfId="5651" xr:uid="{00000000-0005-0000-0000-000068040000}"/>
    <cellStyle name="Input 3 2 2 4 2 3" xfId="9660" xr:uid="{1F68B5D6-FA34-40CD-940A-C7B12554AB53}"/>
    <cellStyle name="Input 3 2 2 4 3" xfId="3598" xr:uid="{00000000-0005-0000-0000-000069040000}"/>
    <cellStyle name="Input 3 2 2 4 3 2" xfId="7492" xr:uid="{00000000-0005-0000-0000-00006A040000}"/>
    <cellStyle name="Input 3 2 2 4 3 3" xfId="11501" xr:uid="{08220454-8A15-41E3-BD34-05AB014A2B68}"/>
    <cellStyle name="Input 3 2 2 4 4" xfId="4965" xr:uid="{00000000-0005-0000-0000-00006B040000}"/>
    <cellStyle name="Input 3 2 2 4 5" xfId="8974" xr:uid="{CF4454DD-4958-4F9D-848D-58A6330A19EA}"/>
    <cellStyle name="Input 3 2 2 4 6" xfId="12865" xr:uid="{9BCD35F3-D1E4-46C6-9B38-B5F1F85CFAE1}"/>
    <cellStyle name="Input 3 2 2 5" xfId="1747" xr:uid="{00000000-0005-0000-0000-00006C040000}"/>
    <cellStyle name="Input 3 2 2 5 2" xfId="5644" xr:uid="{00000000-0005-0000-0000-00006D040000}"/>
    <cellStyle name="Input 3 2 2 5 3" xfId="9653" xr:uid="{BBAE3614-84F2-4251-AD58-69A104C46555}"/>
    <cellStyle name="Input 3 2 2 6" xfId="3009" xr:uid="{00000000-0005-0000-0000-00006E040000}"/>
    <cellStyle name="Input 3 2 2 6 2" xfId="6903" xr:uid="{00000000-0005-0000-0000-00006F040000}"/>
    <cellStyle name="Input 3 2 2 6 3" xfId="10912" xr:uid="{F75D6A62-B3D7-4AD5-AA05-AE17FD5EAF2C}"/>
    <cellStyle name="Input 3 2 2 7" xfId="4187" xr:uid="{00000000-0005-0000-0000-000070040000}"/>
    <cellStyle name="Input 3 2 2 8" xfId="8196" xr:uid="{7176F38F-4F4A-4DB5-8632-ADAA7FC598A5}"/>
    <cellStyle name="Input 3 2 2 9" xfId="12087" xr:uid="{1BCD2E97-32D9-4F35-984C-C725DAF3B63B}"/>
    <cellStyle name="Input 3 2 3" xfId="223" xr:uid="{00000000-0005-0000-0000-000071040000}"/>
    <cellStyle name="Input 3 2 3 10" xfId="13472" xr:uid="{48AA0C74-4C41-4DCE-A9DC-8D89BC926E06}"/>
    <cellStyle name="Input 3 2 3 2" xfId="384" xr:uid="{00000000-0005-0000-0000-000072040000}"/>
    <cellStyle name="Input 3 2 3 2 2" xfId="714" xr:uid="{00000000-0005-0000-0000-000073040000}"/>
    <cellStyle name="Input 3 2 3 2 2 2" xfId="1495" xr:uid="{00000000-0005-0000-0000-000074040000}"/>
    <cellStyle name="Input 3 2 3 2 2 2 2" xfId="1758" xr:uid="{00000000-0005-0000-0000-000075040000}"/>
    <cellStyle name="Input 3 2 3 2 2 2 2 2" xfId="5655" xr:uid="{00000000-0005-0000-0000-000076040000}"/>
    <cellStyle name="Input 3 2 3 2 2 2 2 3" xfId="9664" xr:uid="{6F39F623-A435-463A-9A04-BDDEEC2B3CDD}"/>
    <cellStyle name="Input 3 2 3 2 2 2 3" xfId="3866" xr:uid="{00000000-0005-0000-0000-000077040000}"/>
    <cellStyle name="Input 3 2 3 2 2 2 3 2" xfId="7760" xr:uid="{00000000-0005-0000-0000-000078040000}"/>
    <cellStyle name="Input 3 2 3 2 2 2 3 3" xfId="11769" xr:uid="{C8AF7701-B529-4568-A57C-22F50A037700}"/>
    <cellStyle name="Input 3 2 3 2 2 2 4" xfId="5396" xr:uid="{00000000-0005-0000-0000-000079040000}"/>
    <cellStyle name="Input 3 2 3 2 2 2 5" xfId="9405" xr:uid="{F1AADBB0-A1BE-43EB-BCDE-E0C6544BD634}"/>
    <cellStyle name="Input 3 2 3 2 2 2 6" xfId="13296" xr:uid="{6CF1B662-D4DF-43EA-808D-DB553B880DED}"/>
    <cellStyle name="Input 3 2 3 2 2 3" xfId="1757" xr:uid="{00000000-0005-0000-0000-00007A040000}"/>
    <cellStyle name="Input 3 2 3 2 2 3 2" xfId="5654" xr:uid="{00000000-0005-0000-0000-00007B040000}"/>
    <cellStyle name="Input 3 2 3 2 2 3 3" xfId="9663" xr:uid="{0A48F1FE-8CA9-49EE-98A2-C4E571D2B821}"/>
    <cellStyle name="Input 3 2 3 2 2 4" xfId="3440" xr:uid="{00000000-0005-0000-0000-00007C040000}"/>
    <cellStyle name="Input 3 2 3 2 2 4 2" xfId="7334" xr:uid="{00000000-0005-0000-0000-00007D040000}"/>
    <cellStyle name="Input 3 2 3 2 2 4 3" xfId="11343" xr:uid="{DD9EEABE-4B78-40AC-9FF9-66035268FA87}"/>
    <cellStyle name="Input 3 2 3 2 2 5" xfId="4618" xr:uid="{00000000-0005-0000-0000-00007E040000}"/>
    <cellStyle name="Input 3 2 3 2 2 6" xfId="8627" xr:uid="{D88B87B1-4153-48E7-BD6A-38C43C991A5A}"/>
    <cellStyle name="Input 3 2 3 2 2 7" xfId="12518" xr:uid="{7B2C1CE0-66E6-461D-B5A7-8CCEDE4DDC78}"/>
    <cellStyle name="Input 3 2 3 2 3" xfId="1174" xr:uid="{00000000-0005-0000-0000-00007F040000}"/>
    <cellStyle name="Input 3 2 3 2 3 2" xfId="1759" xr:uid="{00000000-0005-0000-0000-000080040000}"/>
    <cellStyle name="Input 3 2 3 2 3 2 2" xfId="5656" xr:uid="{00000000-0005-0000-0000-000081040000}"/>
    <cellStyle name="Input 3 2 3 2 3 2 3" xfId="9665" xr:uid="{C3A7E166-A0FD-46DC-9F0D-44BB328D2590}"/>
    <cellStyle name="Input 3 2 3 2 3 3" xfId="3668" xr:uid="{00000000-0005-0000-0000-000082040000}"/>
    <cellStyle name="Input 3 2 3 2 3 3 2" xfId="7562" xr:uid="{00000000-0005-0000-0000-000083040000}"/>
    <cellStyle name="Input 3 2 3 2 3 3 3" xfId="11571" xr:uid="{DFBFAF17-8CC3-4157-AABF-B57EBC02B163}"/>
    <cellStyle name="Input 3 2 3 2 3 4" xfId="5075" xr:uid="{00000000-0005-0000-0000-000084040000}"/>
    <cellStyle name="Input 3 2 3 2 3 5" xfId="9084" xr:uid="{BEC979D0-E4F5-4EE3-85FF-F08E24DAAC8D}"/>
    <cellStyle name="Input 3 2 3 2 3 6" xfId="12975" xr:uid="{F7F8473B-8504-4ED2-9588-B81335C7787F}"/>
    <cellStyle name="Input 3 2 3 2 4" xfId="1756" xr:uid="{00000000-0005-0000-0000-000085040000}"/>
    <cellStyle name="Input 3 2 3 2 4 2" xfId="5653" xr:uid="{00000000-0005-0000-0000-000086040000}"/>
    <cellStyle name="Input 3 2 3 2 4 3" xfId="9662" xr:uid="{04A44059-2573-4399-92ED-BC81AA4CF4CB}"/>
    <cellStyle name="Input 3 2 3 2 5" xfId="3119" xr:uid="{00000000-0005-0000-0000-000087040000}"/>
    <cellStyle name="Input 3 2 3 2 5 2" xfId="7013" xr:uid="{00000000-0005-0000-0000-000088040000}"/>
    <cellStyle name="Input 3 2 3 2 5 3" xfId="11022" xr:uid="{08D03588-07F1-4FEE-81A7-128AE4240360}"/>
    <cellStyle name="Input 3 2 3 2 6" xfId="4297" xr:uid="{00000000-0005-0000-0000-000089040000}"/>
    <cellStyle name="Input 3 2 3 2 7" xfId="8306" xr:uid="{92998D8B-09FD-4C5D-A87D-396B0BBCFF29}"/>
    <cellStyle name="Input 3 2 3 2 8" xfId="12197" xr:uid="{6C36DA94-3FA6-4BD4-8E51-E44BF0C97D8A}"/>
    <cellStyle name="Input 3 2 3 3" xfId="553" xr:uid="{00000000-0005-0000-0000-00008A040000}"/>
    <cellStyle name="Input 3 2 3 3 2" xfId="1334" xr:uid="{00000000-0005-0000-0000-00008B040000}"/>
    <cellStyle name="Input 3 2 3 3 2 2" xfId="1761" xr:uid="{00000000-0005-0000-0000-00008C040000}"/>
    <cellStyle name="Input 3 2 3 3 2 2 2" xfId="5658" xr:uid="{00000000-0005-0000-0000-00008D040000}"/>
    <cellStyle name="Input 3 2 3 3 2 2 3" xfId="9667" xr:uid="{0BF983B1-FC0D-4611-B913-C8F4F242A491}"/>
    <cellStyle name="Input 3 2 3 3 2 3" xfId="3767" xr:uid="{00000000-0005-0000-0000-00008E040000}"/>
    <cellStyle name="Input 3 2 3 3 2 3 2" xfId="7661" xr:uid="{00000000-0005-0000-0000-00008F040000}"/>
    <cellStyle name="Input 3 2 3 3 2 3 3" xfId="11670" xr:uid="{E214222C-24D7-4D7C-9250-96B0E037BACB}"/>
    <cellStyle name="Input 3 2 3 3 2 4" xfId="5235" xr:uid="{00000000-0005-0000-0000-000090040000}"/>
    <cellStyle name="Input 3 2 3 3 2 5" xfId="9244" xr:uid="{EC9AA796-66AF-4BBC-A07C-23A0D9A4B5CC}"/>
    <cellStyle name="Input 3 2 3 3 2 6" xfId="13135" xr:uid="{32BED0BE-B5E4-4399-96B8-842F4153F7F5}"/>
    <cellStyle name="Input 3 2 3 3 3" xfId="1760" xr:uid="{00000000-0005-0000-0000-000091040000}"/>
    <cellStyle name="Input 3 2 3 3 3 2" xfId="5657" xr:uid="{00000000-0005-0000-0000-000092040000}"/>
    <cellStyle name="Input 3 2 3 3 3 3" xfId="9666" xr:uid="{60A36EE4-0684-48D2-8FCF-444878576DF3}"/>
    <cellStyle name="Input 3 2 3 3 4" xfId="3279" xr:uid="{00000000-0005-0000-0000-000093040000}"/>
    <cellStyle name="Input 3 2 3 3 4 2" xfId="7173" xr:uid="{00000000-0005-0000-0000-000094040000}"/>
    <cellStyle name="Input 3 2 3 3 4 3" xfId="11182" xr:uid="{A02AD3E4-A55D-4B9C-BB94-765550632E88}"/>
    <cellStyle name="Input 3 2 3 3 5" xfId="4457" xr:uid="{00000000-0005-0000-0000-000095040000}"/>
    <cellStyle name="Input 3 2 3 3 6" xfId="8466" xr:uid="{0E35BEF6-F0FC-4D67-91D4-7FAC15678087}"/>
    <cellStyle name="Input 3 2 3 3 7" xfId="12357" xr:uid="{D8F61597-6B75-4B81-950F-B6F44E91B69D}"/>
    <cellStyle name="Input 3 2 3 4" xfId="1013" xr:uid="{00000000-0005-0000-0000-000096040000}"/>
    <cellStyle name="Input 3 2 3 4 2" xfId="1762" xr:uid="{00000000-0005-0000-0000-000097040000}"/>
    <cellStyle name="Input 3 2 3 4 2 2" xfId="5659" xr:uid="{00000000-0005-0000-0000-000098040000}"/>
    <cellStyle name="Input 3 2 3 4 2 3" xfId="9668" xr:uid="{B8E9D340-0231-45D4-B51A-6ACB0C03A4C3}"/>
    <cellStyle name="Input 3 2 3 4 3" xfId="3569" xr:uid="{00000000-0005-0000-0000-000099040000}"/>
    <cellStyle name="Input 3 2 3 4 3 2" xfId="7463" xr:uid="{00000000-0005-0000-0000-00009A040000}"/>
    <cellStyle name="Input 3 2 3 4 3 3" xfId="11472" xr:uid="{9752FFEA-65A3-4882-AF3F-CAE52196624A}"/>
    <cellStyle name="Input 3 2 3 4 4" xfId="4914" xr:uid="{00000000-0005-0000-0000-00009B040000}"/>
    <cellStyle name="Input 3 2 3 4 5" xfId="8923" xr:uid="{F80F7AEF-E2F1-4DD0-B72D-A1C6958426D8}"/>
    <cellStyle name="Input 3 2 3 4 6" xfId="12814" xr:uid="{848D1054-5A7B-4B9D-AAC6-E9C673B93EF0}"/>
    <cellStyle name="Input 3 2 3 5" xfId="1755" xr:uid="{00000000-0005-0000-0000-00009C040000}"/>
    <cellStyle name="Input 3 2 3 5 2" xfId="5652" xr:uid="{00000000-0005-0000-0000-00009D040000}"/>
    <cellStyle name="Input 3 2 3 5 3" xfId="9661" xr:uid="{3702FFF6-5008-479A-A24F-353621BFE7DC}"/>
    <cellStyle name="Input 3 2 3 6" xfId="2958" xr:uid="{00000000-0005-0000-0000-00009E040000}"/>
    <cellStyle name="Input 3 2 3 6 2" xfId="6852" xr:uid="{00000000-0005-0000-0000-00009F040000}"/>
    <cellStyle name="Input 3 2 3 6 3" xfId="10861" xr:uid="{1E0D772B-3F88-4E07-8A78-1557746E7A62}"/>
    <cellStyle name="Input 3 2 3 7" xfId="4136" xr:uid="{00000000-0005-0000-0000-0000A0040000}"/>
    <cellStyle name="Input 3 2 3 8" xfId="8145" xr:uid="{017849C9-868A-4B00-83DC-7BB1FF4A5F58}"/>
    <cellStyle name="Input 3 2 3 9" xfId="12036" xr:uid="{96C17E02-0FFE-4865-BB47-3B761E3E8ECC}"/>
    <cellStyle name="Input 3 2 4" xfId="341" xr:uid="{00000000-0005-0000-0000-0000A1040000}"/>
    <cellStyle name="Input 3 2 4 2" xfId="671" xr:uid="{00000000-0005-0000-0000-0000A2040000}"/>
    <cellStyle name="Input 3 2 4 2 2" xfId="1452" xr:uid="{00000000-0005-0000-0000-0000A3040000}"/>
    <cellStyle name="Input 3 2 4 2 2 2" xfId="1765" xr:uid="{00000000-0005-0000-0000-0000A4040000}"/>
    <cellStyle name="Input 3 2 4 2 2 2 2" xfId="5662" xr:uid="{00000000-0005-0000-0000-0000A5040000}"/>
    <cellStyle name="Input 3 2 4 2 2 2 3" xfId="9671" xr:uid="{22BAC063-28A2-4D01-BF1A-16B9EF43F064}"/>
    <cellStyle name="Input 3 2 4 2 2 3" xfId="3836" xr:uid="{00000000-0005-0000-0000-0000A6040000}"/>
    <cellStyle name="Input 3 2 4 2 2 3 2" xfId="7730" xr:uid="{00000000-0005-0000-0000-0000A7040000}"/>
    <cellStyle name="Input 3 2 4 2 2 3 3" xfId="11739" xr:uid="{C987228B-C7D2-4229-8408-9D3AD2308842}"/>
    <cellStyle name="Input 3 2 4 2 2 4" xfId="5353" xr:uid="{00000000-0005-0000-0000-0000A8040000}"/>
    <cellStyle name="Input 3 2 4 2 2 5" xfId="9362" xr:uid="{F9421A18-56D3-4F6B-BAFA-6B9E7B3BC7D4}"/>
    <cellStyle name="Input 3 2 4 2 2 6" xfId="13253" xr:uid="{329B2DCC-0CC5-46D4-BD58-CDE02944E35B}"/>
    <cellStyle name="Input 3 2 4 2 3" xfId="1764" xr:uid="{00000000-0005-0000-0000-0000A9040000}"/>
    <cellStyle name="Input 3 2 4 2 3 2" xfId="5661" xr:uid="{00000000-0005-0000-0000-0000AA040000}"/>
    <cellStyle name="Input 3 2 4 2 3 3" xfId="9670" xr:uid="{E161C08D-C2D0-40BE-9719-432B444DD45F}"/>
    <cellStyle name="Input 3 2 4 2 4" xfId="3397" xr:uid="{00000000-0005-0000-0000-0000AB040000}"/>
    <cellStyle name="Input 3 2 4 2 4 2" xfId="7291" xr:uid="{00000000-0005-0000-0000-0000AC040000}"/>
    <cellStyle name="Input 3 2 4 2 4 3" xfId="11300" xr:uid="{98811E49-E2F4-4D36-B0C6-02AEED2E350A}"/>
    <cellStyle name="Input 3 2 4 2 5" xfId="4575" xr:uid="{00000000-0005-0000-0000-0000AD040000}"/>
    <cellStyle name="Input 3 2 4 2 6" xfId="8584" xr:uid="{59925E30-A880-4109-825C-689B16927F30}"/>
    <cellStyle name="Input 3 2 4 2 7" xfId="12475" xr:uid="{50D22D5D-3FCC-4235-A7E7-FCE372E62503}"/>
    <cellStyle name="Input 3 2 4 3" xfId="1131" xr:uid="{00000000-0005-0000-0000-0000AE040000}"/>
    <cellStyle name="Input 3 2 4 3 2" xfId="1766" xr:uid="{00000000-0005-0000-0000-0000AF040000}"/>
    <cellStyle name="Input 3 2 4 3 2 2" xfId="5663" xr:uid="{00000000-0005-0000-0000-0000B0040000}"/>
    <cellStyle name="Input 3 2 4 3 2 3" xfId="9672" xr:uid="{2A12A46B-B6CD-48A0-86E0-139A94BF3DE3}"/>
    <cellStyle name="Input 3 2 4 3 3" xfId="3638" xr:uid="{00000000-0005-0000-0000-0000B1040000}"/>
    <cellStyle name="Input 3 2 4 3 3 2" xfId="7532" xr:uid="{00000000-0005-0000-0000-0000B2040000}"/>
    <cellStyle name="Input 3 2 4 3 3 3" xfId="11541" xr:uid="{2A439AD1-D4D8-40D5-8CC7-2B757BF8C87C}"/>
    <cellStyle name="Input 3 2 4 3 4" xfId="5032" xr:uid="{00000000-0005-0000-0000-0000B3040000}"/>
    <cellStyle name="Input 3 2 4 3 5" xfId="9041" xr:uid="{FB1455E8-FC8D-4A11-8240-6DA0F443444F}"/>
    <cellStyle name="Input 3 2 4 3 6" xfId="12932" xr:uid="{3EC86811-5D2E-4160-9797-640E25A44DB8}"/>
    <cellStyle name="Input 3 2 4 4" xfId="1763" xr:uid="{00000000-0005-0000-0000-0000B4040000}"/>
    <cellStyle name="Input 3 2 4 4 2" xfId="5660" xr:uid="{00000000-0005-0000-0000-0000B5040000}"/>
    <cellStyle name="Input 3 2 4 4 3" xfId="9669" xr:uid="{1D190501-2BD6-4A88-99F2-5441C71CD40B}"/>
    <cellStyle name="Input 3 2 4 5" xfId="3076" xr:uid="{00000000-0005-0000-0000-0000B6040000}"/>
    <cellStyle name="Input 3 2 4 5 2" xfId="6970" xr:uid="{00000000-0005-0000-0000-0000B7040000}"/>
    <cellStyle name="Input 3 2 4 5 3" xfId="10979" xr:uid="{E094B1C8-0DD3-4CB1-AAD9-7928C5D2A96D}"/>
    <cellStyle name="Input 3 2 4 6" xfId="4254" xr:uid="{00000000-0005-0000-0000-0000B8040000}"/>
    <cellStyle name="Input 3 2 4 7" xfId="8263" xr:uid="{430C37AC-9FCB-43DF-9A9E-6C1CFB68F953}"/>
    <cellStyle name="Input 3 2 4 8" xfId="12154" xr:uid="{7795330F-B813-4E8F-A6F4-9213F1974F4C}"/>
    <cellStyle name="Input 3 2 5" xfId="506" xr:uid="{00000000-0005-0000-0000-0000B9040000}"/>
    <cellStyle name="Input 3 2 5 2" xfId="1287" xr:uid="{00000000-0005-0000-0000-0000BA040000}"/>
    <cellStyle name="Input 3 2 5 2 2" xfId="1768" xr:uid="{00000000-0005-0000-0000-0000BB040000}"/>
    <cellStyle name="Input 3 2 5 2 2 2" xfId="5665" xr:uid="{00000000-0005-0000-0000-0000BC040000}"/>
    <cellStyle name="Input 3 2 5 2 2 3" xfId="9674" xr:uid="{5D57E0B7-3D13-443A-98F6-42BF82D5342F}"/>
    <cellStyle name="Input 3 2 5 2 3" xfId="3737" xr:uid="{00000000-0005-0000-0000-0000BD040000}"/>
    <cellStyle name="Input 3 2 5 2 3 2" xfId="7631" xr:uid="{00000000-0005-0000-0000-0000BE040000}"/>
    <cellStyle name="Input 3 2 5 2 3 3" xfId="11640" xr:uid="{E2887B71-9F47-4C56-9925-57F3683FE06D}"/>
    <cellStyle name="Input 3 2 5 2 4" xfId="5188" xr:uid="{00000000-0005-0000-0000-0000BF040000}"/>
    <cellStyle name="Input 3 2 5 2 5" xfId="9197" xr:uid="{12A84EB3-BB38-41D3-BFC6-174497288D14}"/>
    <cellStyle name="Input 3 2 5 2 6" xfId="13088" xr:uid="{6BA6E26D-13E6-47E1-8EA1-B89D8BE34F99}"/>
    <cellStyle name="Input 3 2 5 3" xfId="1767" xr:uid="{00000000-0005-0000-0000-0000C0040000}"/>
    <cellStyle name="Input 3 2 5 3 2" xfId="5664" xr:uid="{00000000-0005-0000-0000-0000C1040000}"/>
    <cellStyle name="Input 3 2 5 3 3" xfId="9673" xr:uid="{E6C03661-AE27-4FBB-A111-59940DF32A01}"/>
    <cellStyle name="Input 3 2 5 4" xfId="3232" xr:uid="{00000000-0005-0000-0000-0000C2040000}"/>
    <cellStyle name="Input 3 2 5 4 2" xfId="7126" xr:uid="{00000000-0005-0000-0000-0000C3040000}"/>
    <cellStyle name="Input 3 2 5 4 3" xfId="11135" xr:uid="{173342C6-C56E-4AAD-A5DB-BA630C6E4634}"/>
    <cellStyle name="Input 3 2 5 5" xfId="4410" xr:uid="{00000000-0005-0000-0000-0000C4040000}"/>
    <cellStyle name="Input 3 2 5 6" xfId="8419" xr:uid="{9F0939AC-B6CE-4803-8088-99C8643CF84C}"/>
    <cellStyle name="Input 3 2 5 7" xfId="12310" xr:uid="{E7EB770E-7910-4D6A-82C6-B32FA92B593D}"/>
    <cellStyle name="Input 3 2 6" xfId="966" xr:uid="{00000000-0005-0000-0000-0000C5040000}"/>
    <cellStyle name="Input 3 2 6 2" xfId="1769" xr:uid="{00000000-0005-0000-0000-0000C6040000}"/>
    <cellStyle name="Input 3 2 6 2 2" xfId="5666" xr:uid="{00000000-0005-0000-0000-0000C7040000}"/>
    <cellStyle name="Input 3 2 6 2 3" xfId="9675" xr:uid="{4F4D9004-7EF8-41D2-86DC-7A8BE18C0F0E}"/>
    <cellStyle name="Input 3 2 6 3" xfId="3539" xr:uid="{00000000-0005-0000-0000-0000C8040000}"/>
    <cellStyle name="Input 3 2 6 3 2" xfId="7433" xr:uid="{00000000-0005-0000-0000-0000C9040000}"/>
    <cellStyle name="Input 3 2 6 3 3" xfId="11442" xr:uid="{97A198E2-2F94-43E9-A243-2FFCC9448172}"/>
    <cellStyle name="Input 3 2 6 4" xfId="4867" xr:uid="{00000000-0005-0000-0000-0000CA040000}"/>
    <cellStyle name="Input 3 2 6 5" xfId="8876" xr:uid="{B3E71AF3-65E1-44D5-8082-41C55CD679BE}"/>
    <cellStyle name="Input 3 2 6 6" xfId="12767" xr:uid="{AEB8C96D-FFD7-47FC-BEA9-3942D75384C1}"/>
    <cellStyle name="Input 3 2 7" xfId="1746" xr:uid="{00000000-0005-0000-0000-0000CB040000}"/>
    <cellStyle name="Input 3 2 7 2" xfId="5643" xr:uid="{00000000-0005-0000-0000-0000CC040000}"/>
    <cellStyle name="Input 3 2 7 3" xfId="9652" xr:uid="{FF509EDF-6FC4-4096-A990-0F33F3D7DC2D}"/>
    <cellStyle name="Input 3 2 8" xfId="2911" xr:uid="{00000000-0005-0000-0000-0000CD040000}"/>
    <cellStyle name="Input 3 2 8 2" xfId="6805" xr:uid="{00000000-0005-0000-0000-0000CE040000}"/>
    <cellStyle name="Input 3 2 8 3" xfId="10814" xr:uid="{F3497FFC-FEFA-424B-B9A5-8D2985AC581F}"/>
    <cellStyle name="Input 3 2 9" xfId="4089" xr:uid="{00000000-0005-0000-0000-0000CF040000}"/>
    <cellStyle name="Input 3 3" xfId="270" xr:uid="{00000000-0005-0000-0000-0000D0040000}"/>
    <cellStyle name="Input 3 3 10" xfId="13519" xr:uid="{B6CD03EA-5EE4-4A78-B845-C74AB6A5483C}"/>
    <cellStyle name="Input 3 3 2" xfId="426" xr:uid="{00000000-0005-0000-0000-0000D1040000}"/>
    <cellStyle name="Input 3 3 2 2" xfId="756" xr:uid="{00000000-0005-0000-0000-0000D2040000}"/>
    <cellStyle name="Input 3 3 2 2 2" xfId="1537" xr:uid="{00000000-0005-0000-0000-0000D3040000}"/>
    <cellStyle name="Input 3 3 2 2 2 2" xfId="1773" xr:uid="{00000000-0005-0000-0000-0000D4040000}"/>
    <cellStyle name="Input 3 3 2 2 2 2 2" xfId="5670" xr:uid="{00000000-0005-0000-0000-0000D5040000}"/>
    <cellStyle name="Input 3 3 2 2 2 2 3" xfId="9679" xr:uid="{BC492C78-596E-43B0-AA75-DD516FB336A8}"/>
    <cellStyle name="Input 3 3 2 2 2 3" xfId="3891" xr:uid="{00000000-0005-0000-0000-0000D6040000}"/>
    <cellStyle name="Input 3 3 2 2 2 3 2" xfId="7785" xr:uid="{00000000-0005-0000-0000-0000D7040000}"/>
    <cellStyle name="Input 3 3 2 2 2 3 3" xfId="11794" xr:uid="{01F87F0C-451E-4899-AB81-0D7FC3DB3941}"/>
    <cellStyle name="Input 3 3 2 2 2 4" xfId="5438" xr:uid="{00000000-0005-0000-0000-0000D8040000}"/>
    <cellStyle name="Input 3 3 2 2 2 5" xfId="9447" xr:uid="{6C163DD4-EA7A-4EB0-AFE7-A0F85C7E5785}"/>
    <cellStyle name="Input 3 3 2 2 2 6" xfId="13338" xr:uid="{7940FC26-F96C-498A-BB62-96F12A99DFC7}"/>
    <cellStyle name="Input 3 3 2 2 3" xfId="1772" xr:uid="{00000000-0005-0000-0000-0000D9040000}"/>
    <cellStyle name="Input 3 3 2 2 3 2" xfId="5669" xr:uid="{00000000-0005-0000-0000-0000DA040000}"/>
    <cellStyle name="Input 3 3 2 2 3 3" xfId="9678" xr:uid="{7AF1D0B0-6475-4533-B03D-7E4C7CA54B14}"/>
    <cellStyle name="Input 3 3 2 2 4" xfId="3482" xr:uid="{00000000-0005-0000-0000-0000DB040000}"/>
    <cellStyle name="Input 3 3 2 2 4 2" xfId="7376" xr:uid="{00000000-0005-0000-0000-0000DC040000}"/>
    <cellStyle name="Input 3 3 2 2 4 3" xfId="11385" xr:uid="{B42E0867-0D79-4CEA-8636-9EC6AE35CF33}"/>
    <cellStyle name="Input 3 3 2 2 5" xfId="4660" xr:uid="{00000000-0005-0000-0000-0000DD040000}"/>
    <cellStyle name="Input 3 3 2 2 6" xfId="8669" xr:uid="{FF83F3F2-0C73-4DF7-8521-A2FBA4226910}"/>
    <cellStyle name="Input 3 3 2 2 7" xfId="12560" xr:uid="{1FDFF613-8FCB-4A1F-B0CB-0BD2B326D961}"/>
    <cellStyle name="Input 3 3 2 3" xfId="1216" xr:uid="{00000000-0005-0000-0000-0000DE040000}"/>
    <cellStyle name="Input 3 3 2 3 2" xfId="1774" xr:uid="{00000000-0005-0000-0000-0000DF040000}"/>
    <cellStyle name="Input 3 3 2 3 2 2" xfId="5671" xr:uid="{00000000-0005-0000-0000-0000E0040000}"/>
    <cellStyle name="Input 3 3 2 3 2 3" xfId="9680" xr:uid="{D5100515-5963-4A76-A93B-9CA8CFA04623}"/>
    <cellStyle name="Input 3 3 2 3 3" xfId="3693" xr:uid="{00000000-0005-0000-0000-0000E1040000}"/>
    <cellStyle name="Input 3 3 2 3 3 2" xfId="7587" xr:uid="{00000000-0005-0000-0000-0000E2040000}"/>
    <cellStyle name="Input 3 3 2 3 3 3" xfId="11596" xr:uid="{35B84A00-AE24-4768-8951-8DC016014C1B}"/>
    <cellStyle name="Input 3 3 2 3 4" xfId="5117" xr:uid="{00000000-0005-0000-0000-0000E3040000}"/>
    <cellStyle name="Input 3 3 2 3 5" xfId="9126" xr:uid="{564E8207-6A28-4973-AA19-92A66F400173}"/>
    <cellStyle name="Input 3 3 2 3 6" xfId="13017" xr:uid="{B00EE73E-7E59-4473-87F2-1434A23B2E1F}"/>
    <cellStyle name="Input 3 3 2 4" xfId="1771" xr:uid="{00000000-0005-0000-0000-0000E4040000}"/>
    <cellStyle name="Input 3 3 2 4 2" xfId="5668" xr:uid="{00000000-0005-0000-0000-0000E5040000}"/>
    <cellStyle name="Input 3 3 2 4 3" xfId="9677" xr:uid="{53F3B53C-CA24-48BF-B63B-1FC88E7A3DA5}"/>
    <cellStyle name="Input 3 3 2 5" xfId="3161" xr:uid="{00000000-0005-0000-0000-0000E6040000}"/>
    <cellStyle name="Input 3 3 2 5 2" xfId="7055" xr:uid="{00000000-0005-0000-0000-0000E7040000}"/>
    <cellStyle name="Input 3 3 2 5 3" xfId="11064" xr:uid="{A27D484E-2F15-4958-BBD1-B6C469FF9DF6}"/>
    <cellStyle name="Input 3 3 2 6" xfId="4339" xr:uid="{00000000-0005-0000-0000-0000E8040000}"/>
    <cellStyle name="Input 3 3 2 7" xfId="8348" xr:uid="{64B5DFCB-EFBA-4DBE-BFEC-2EFCAAD39723}"/>
    <cellStyle name="Input 3 3 2 8" xfId="12239" xr:uid="{9436C9E5-1250-4600-9176-0DDC6098F549}"/>
    <cellStyle name="Input 3 3 3" xfId="600" xr:uid="{00000000-0005-0000-0000-0000E9040000}"/>
    <cellStyle name="Input 3 3 3 2" xfId="1381" xr:uid="{00000000-0005-0000-0000-0000EA040000}"/>
    <cellStyle name="Input 3 3 3 2 2" xfId="1776" xr:uid="{00000000-0005-0000-0000-0000EB040000}"/>
    <cellStyle name="Input 3 3 3 2 2 2" xfId="5673" xr:uid="{00000000-0005-0000-0000-0000EC040000}"/>
    <cellStyle name="Input 3 3 3 2 2 3" xfId="9682" xr:uid="{A0012153-8AB4-4139-B957-2AAD91BFA791}"/>
    <cellStyle name="Input 3 3 3 2 3" xfId="3792" xr:uid="{00000000-0005-0000-0000-0000ED040000}"/>
    <cellStyle name="Input 3 3 3 2 3 2" xfId="7686" xr:uid="{00000000-0005-0000-0000-0000EE040000}"/>
    <cellStyle name="Input 3 3 3 2 3 3" xfId="11695" xr:uid="{0BC8529C-C588-48F8-9FDA-FD719F10B75E}"/>
    <cellStyle name="Input 3 3 3 2 4" xfId="5282" xr:uid="{00000000-0005-0000-0000-0000EF040000}"/>
    <cellStyle name="Input 3 3 3 2 5" xfId="9291" xr:uid="{C79D8DF5-7252-46A3-83E9-3ED489C360F2}"/>
    <cellStyle name="Input 3 3 3 2 6" xfId="13182" xr:uid="{C8AB8C46-F801-4BA7-B4C7-9D94BB11F647}"/>
    <cellStyle name="Input 3 3 3 3" xfId="1775" xr:uid="{00000000-0005-0000-0000-0000F0040000}"/>
    <cellStyle name="Input 3 3 3 3 2" xfId="5672" xr:uid="{00000000-0005-0000-0000-0000F1040000}"/>
    <cellStyle name="Input 3 3 3 3 3" xfId="9681" xr:uid="{F12D9053-269E-4176-BED2-DF6743B73C7E}"/>
    <cellStyle name="Input 3 3 3 4" xfId="3326" xr:uid="{00000000-0005-0000-0000-0000F2040000}"/>
    <cellStyle name="Input 3 3 3 4 2" xfId="7220" xr:uid="{00000000-0005-0000-0000-0000F3040000}"/>
    <cellStyle name="Input 3 3 3 4 3" xfId="11229" xr:uid="{987C9FC1-8795-44E6-A559-D9450797FAF4}"/>
    <cellStyle name="Input 3 3 3 5" xfId="4504" xr:uid="{00000000-0005-0000-0000-0000F4040000}"/>
    <cellStyle name="Input 3 3 3 6" xfId="8513" xr:uid="{68181605-85B7-4A99-A7C8-C4AE5759FCD5}"/>
    <cellStyle name="Input 3 3 3 7" xfId="12404" xr:uid="{4005F19B-ACD2-4D0E-A610-9A365304BD1F}"/>
    <cellStyle name="Input 3 3 4" xfId="1060" xr:uid="{00000000-0005-0000-0000-0000F5040000}"/>
    <cellStyle name="Input 3 3 4 2" xfId="1777" xr:uid="{00000000-0005-0000-0000-0000F6040000}"/>
    <cellStyle name="Input 3 3 4 2 2" xfId="5674" xr:uid="{00000000-0005-0000-0000-0000F7040000}"/>
    <cellStyle name="Input 3 3 4 2 3" xfId="9683" xr:uid="{38B5993B-2539-4461-BFF7-C8272910F379}"/>
    <cellStyle name="Input 3 3 4 3" xfId="3594" xr:uid="{00000000-0005-0000-0000-0000F8040000}"/>
    <cellStyle name="Input 3 3 4 3 2" xfId="7488" xr:uid="{00000000-0005-0000-0000-0000F9040000}"/>
    <cellStyle name="Input 3 3 4 3 3" xfId="11497" xr:uid="{B72866C2-7E2E-45A4-B3D0-886EA92D504B}"/>
    <cellStyle name="Input 3 3 4 4" xfId="4961" xr:uid="{00000000-0005-0000-0000-0000FA040000}"/>
    <cellStyle name="Input 3 3 4 5" xfId="8970" xr:uid="{5CD01C77-9AAE-4BA0-BF93-B8B71AD5AA3D}"/>
    <cellStyle name="Input 3 3 4 6" xfId="12861" xr:uid="{2B6E87C6-78F9-46D4-B9C8-82729FA01931}"/>
    <cellStyle name="Input 3 3 5" xfId="1770" xr:uid="{00000000-0005-0000-0000-0000FB040000}"/>
    <cellStyle name="Input 3 3 5 2" xfId="5667" xr:uid="{00000000-0005-0000-0000-0000FC040000}"/>
    <cellStyle name="Input 3 3 5 3" xfId="9676" xr:uid="{D6AB6785-5507-43AA-81EB-1A2D15CFCC16}"/>
    <cellStyle name="Input 3 3 6" xfId="3005" xr:uid="{00000000-0005-0000-0000-0000FD040000}"/>
    <cellStyle name="Input 3 3 6 2" xfId="6899" xr:uid="{00000000-0005-0000-0000-0000FE040000}"/>
    <cellStyle name="Input 3 3 6 3" xfId="10908" xr:uid="{401F34F9-A06C-4FEE-9B9D-5349A7712A91}"/>
    <cellStyle name="Input 3 3 7" xfId="4183" xr:uid="{00000000-0005-0000-0000-0000FF040000}"/>
    <cellStyle name="Input 3 3 8" xfId="8192" xr:uid="{018F022C-A8AC-495D-86F6-56F340109D20}"/>
    <cellStyle name="Input 3 3 9" xfId="12083" xr:uid="{0F746D8E-465F-4F4D-AEA8-C6FD86CC7385}"/>
    <cellStyle name="Input 3 4" xfId="211" xr:uid="{00000000-0005-0000-0000-000000050000}"/>
    <cellStyle name="Input 3 4 10" xfId="13460" xr:uid="{2C0B1E10-0C18-4A57-9EA7-1361D97BA197}"/>
    <cellStyle name="Input 3 4 2" xfId="374" xr:uid="{00000000-0005-0000-0000-000001050000}"/>
    <cellStyle name="Input 3 4 2 2" xfId="704" xr:uid="{00000000-0005-0000-0000-000002050000}"/>
    <cellStyle name="Input 3 4 2 2 2" xfId="1485" xr:uid="{00000000-0005-0000-0000-000003050000}"/>
    <cellStyle name="Input 3 4 2 2 2 2" xfId="1781" xr:uid="{00000000-0005-0000-0000-000004050000}"/>
    <cellStyle name="Input 3 4 2 2 2 2 2" xfId="5678" xr:uid="{00000000-0005-0000-0000-000005050000}"/>
    <cellStyle name="Input 3 4 2 2 2 2 3" xfId="9687" xr:uid="{D656FA8C-4A3E-4EAF-B121-80851CB3F523}"/>
    <cellStyle name="Input 3 4 2 2 2 3" xfId="3857" xr:uid="{00000000-0005-0000-0000-000006050000}"/>
    <cellStyle name="Input 3 4 2 2 2 3 2" xfId="7751" xr:uid="{00000000-0005-0000-0000-000007050000}"/>
    <cellStyle name="Input 3 4 2 2 2 3 3" xfId="11760" xr:uid="{D2DA8F63-4102-45FE-A426-5B911CECF853}"/>
    <cellStyle name="Input 3 4 2 2 2 4" xfId="5386" xr:uid="{00000000-0005-0000-0000-000008050000}"/>
    <cellStyle name="Input 3 4 2 2 2 5" xfId="9395" xr:uid="{127F0830-28D5-4E62-A08B-167288E5B1C0}"/>
    <cellStyle name="Input 3 4 2 2 2 6" xfId="13286" xr:uid="{796FE004-A98E-45CA-8436-4F738A1DD86F}"/>
    <cellStyle name="Input 3 4 2 2 3" xfId="1780" xr:uid="{00000000-0005-0000-0000-000009050000}"/>
    <cellStyle name="Input 3 4 2 2 3 2" xfId="5677" xr:uid="{00000000-0005-0000-0000-00000A050000}"/>
    <cellStyle name="Input 3 4 2 2 3 3" xfId="9686" xr:uid="{5296D459-4D13-4489-90A5-C98B2E08DF11}"/>
    <cellStyle name="Input 3 4 2 2 4" xfId="3430" xr:uid="{00000000-0005-0000-0000-00000B050000}"/>
    <cellStyle name="Input 3 4 2 2 4 2" xfId="7324" xr:uid="{00000000-0005-0000-0000-00000C050000}"/>
    <cellStyle name="Input 3 4 2 2 4 3" xfId="11333" xr:uid="{B174A39E-5654-420C-9212-4F30B3B16132}"/>
    <cellStyle name="Input 3 4 2 2 5" xfId="4608" xr:uid="{00000000-0005-0000-0000-00000D050000}"/>
    <cellStyle name="Input 3 4 2 2 6" xfId="8617" xr:uid="{8A056C1D-31DC-4CAD-8A08-1606936470FF}"/>
    <cellStyle name="Input 3 4 2 2 7" xfId="12508" xr:uid="{4FDFE606-F373-4AA0-9B16-6D70F18D1228}"/>
    <cellStyle name="Input 3 4 2 3" xfId="1164" xr:uid="{00000000-0005-0000-0000-00000E050000}"/>
    <cellStyle name="Input 3 4 2 3 2" xfId="1782" xr:uid="{00000000-0005-0000-0000-00000F050000}"/>
    <cellStyle name="Input 3 4 2 3 2 2" xfId="5679" xr:uid="{00000000-0005-0000-0000-000010050000}"/>
    <cellStyle name="Input 3 4 2 3 2 3" xfId="9688" xr:uid="{6CA6AAB8-218F-4BA9-AFC5-A4CB2F9A13EC}"/>
    <cellStyle name="Input 3 4 2 3 3" xfId="3659" xr:uid="{00000000-0005-0000-0000-000011050000}"/>
    <cellStyle name="Input 3 4 2 3 3 2" xfId="7553" xr:uid="{00000000-0005-0000-0000-000012050000}"/>
    <cellStyle name="Input 3 4 2 3 3 3" xfId="11562" xr:uid="{C3B49F1B-E5DA-4C31-A20F-7E0EDFB1C0F0}"/>
    <cellStyle name="Input 3 4 2 3 4" xfId="5065" xr:uid="{00000000-0005-0000-0000-000013050000}"/>
    <cellStyle name="Input 3 4 2 3 5" xfId="9074" xr:uid="{0C128CB9-92D8-461D-BB61-2E1C7810546C}"/>
    <cellStyle name="Input 3 4 2 3 6" xfId="12965" xr:uid="{91BE01C5-BAA1-4E68-9182-2F73AB2E4AA1}"/>
    <cellStyle name="Input 3 4 2 4" xfId="1779" xr:uid="{00000000-0005-0000-0000-000014050000}"/>
    <cellStyle name="Input 3 4 2 4 2" xfId="5676" xr:uid="{00000000-0005-0000-0000-000015050000}"/>
    <cellStyle name="Input 3 4 2 4 3" xfId="9685" xr:uid="{D70E9871-946F-4810-B80F-856EFDBAF0D2}"/>
    <cellStyle name="Input 3 4 2 5" xfId="3109" xr:uid="{00000000-0005-0000-0000-000016050000}"/>
    <cellStyle name="Input 3 4 2 5 2" xfId="7003" xr:uid="{00000000-0005-0000-0000-000017050000}"/>
    <cellStyle name="Input 3 4 2 5 3" xfId="11012" xr:uid="{DE625A88-6CCC-46AA-8F67-0B20A08BA52C}"/>
    <cellStyle name="Input 3 4 2 6" xfId="4287" xr:uid="{00000000-0005-0000-0000-000018050000}"/>
    <cellStyle name="Input 3 4 2 7" xfId="8296" xr:uid="{1225E27E-910F-4039-B9F0-36354D6038F3}"/>
    <cellStyle name="Input 3 4 2 8" xfId="12187" xr:uid="{4783957D-5924-4334-A735-7868192F2036}"/>
    <cellStyle name="Input 3 4 3" xfId="541" xr:uid="{00000000-0005-0000-0000-000019050000}"/>
    <cellStyle name="Input 3 4 3 2" xfId="1322" xr:uid="{00000000-0005-0000-0000-00001A050000}"/>
    <cellStyle name="Input 3 4 3 2 2" xfId="1784" xr:uid="{00000000-0005-0000-0000-00001B050000}"/>
    <cellStyle name="Input 3 4 3 2 2 2" xfId="5681" xr:uid="{00000000-0005-0000-0000-00001C050000}"/>
    <cellStyle name="Input 3 4 3 2 2 3" xfId="9690" xr:uid="{AFB72C85-520F-4668-BB03-685B432623C6}"/>
    <cellStyle name="Input 3 4 3 2 3" xfId="3758" xr:uid="{00000000-0005-0000-0000-00001D050000}"/>
    <cellStyle name="Input 3 4 3 2 3 2" xfId="7652" xr:uid="{00000000-0005-0000-0000-00001E050000}"/>
    <cellStyle name="Input 3 4 3 2 3 3" xfId="11661" xr:uid="{90519496-11FB-44EC-8796-0EDA42477844}"/>
    <cellStyle name="Input 3 4 3 2 4" xfId="5223" xr:uid="{00000000-0005-0000-0000-00001F050000}"/>
    <cellStyle name="Input 3 4 3 2 5" xfId="9232" xr:uid="{2D66935A-D4A3-4769-AB37-B27AC01AACA6}"/>
    <cellStyle name="Input 3 4 3 2 6" xfId="13123" xr:uid="{41E563BE-9FDC-44B8-ADCC-B7D3AFB0879E}"/>
    <cellStyle name="Input 3 4 3 3" xfId="1783" xr:uid="{00000000-0005-0000-0000-000020050000}"/>
    <cellStyle name="Input 3 4 3 3 2" xfId="5680" xr:uid="{00000000-0005-0000-0000-000021050000}"/>
    <cellStyle name="Input 3 4 3 3 3" xfId="9689" xr:uid="{BD4E9FA0-669C-47BE-91BA-D0271E5D8BC4}"/>
    <cellStyle name="Input 3 4 3 4" xfId="3267" xr:uid="{00000000-0005-0000-0000-000022050000}"/>
    <cellStyle name="Input 3 4 3 4 2" xfId="7161" xr:uid="{00000000-0005-0000-0000-000023050000}"/>
    <cellStyle name="Input 3 4 3 4 3" xfId="11170" xr:uid="{98E4F30E-FB59-4395-8471-BD656F529786}"/>
    <cellStyle name="Input 3 4 3 5" xfId="4445" xr:uid="{00000000-0005-0000-0000-000024050000}"/>
    <cellStyle name="Input 3 4 3 6" xfId="8454" xr:uid="{97642282-6CF7-46F4-9FE6-297A08A2BEC4}"/>
    <cellStyle name="Input 3 4 3 7" xfId="12345" xr:uid="{18501F4E-B5F1-466C-AC68-6C5E78C5073C}"/>
    <cellStyle name="Input 3 4 4" xfId="1001" xr:uid="{00000000-0005-0000-0000-000025050000}"/>
    <cellStyle name="Input 3 4 4 2" xfId="1785" xr:uid="{00000000-0005-0000-0000-000026050000}"/>
    <cellStyle name="Input 3 4 4 2 2" xfId="5682" xr:uid="{00000000-0005-0000-0000-000027050000}"/>
    <cellStyle name="Input 3 4 4 2 3" xfId="9691" xr:uid="{35FCB5F6-FAE4-4CFF-9054-B293FB9CFF35}"/>
    <cellStyle name="Input 3 4 4 3" xfId="3560" xr:uid="{00000000-0005-0000-0000-000028050000}"/>
    <cellStyle name="Input 3 4 4 3 2" xfId="7454" xr:uid="{00000000-0005-0000-0000-000029050000}"/>
    <cellStyle name="Input 3 4 4 3 3" xfId="11463" xr:uid="{BAE3CC27-8BB0-4C50-8F4F-7C95FBAA43DC}"/>
    <cellStyle name="Input 3 4 4 4" xfId="4902" xr:uid="{00000000-0005-0000-0000-00002A050000}"/>
    <cellStyle name="Input 3 4 4 5" xfId="8911" xr:uid="{09D689D7-D2DA-484F-B7AB-8FAB6E2878A6}"/>
    <cellStyle name="Input 3 4 4 6" xfId="12802" xr:uid="{4AE42BBC-BB1C-4FE5-AE44-030176610960}"/>
    <cellStyle name="Input 3 4 5" xfId="1778" xr:uid="{00000000-0005-0000-0000-00002B050000}"/>
    <cellStyle name="Input 3 4 5 2" xfId="5675" xr:uid="{00000000-0005-0000-0000-00002C050000}"/>
    <cellStyle name="Input 3 4 5 3" xfId="9684" xr:uid="{FEE4C53D-0058-49A5-B11A-AFEC350696AB}"/>
    <cellStyle name="Input 3 4 6" xfId="2946" xr:uid="{00000000-0005-0000-0000-00002D050000}"/>
    <cellStyle name="Input 3 4 6 2" xfId="6840" xr:uid="{00000000-0005-0000-0000-00002E050000}"/>
    <cellStyle name="Input 3 4 6 3" xfId="10849" xr:uid="{D8D9AB0B-37D0-4BFF-B81E-F04EB7008039}"/>
    <cellStyle name="Input 3 4 7" xfId="4124" xr:uid="{00000000-0005-0000-0000-00002F050000}"/>
    <cellStyle name="Input 3 4 8" xfId="8133" xr:uid="{7E077E60-F471-4F64-8E64-9898E04FA637}"/>
    <cellStyle name="Input 3 4 9" xfId="12024" xr:uid="{44035505-BD2B-4B30-BF72-ADFDADA426AC}"/>
    <cellStyle name="Input 3 5" xfId="337" xr:uid="{00000000-0005-0000-0000-000030050000}"/>
    <cellStyle name="Input 3 5 2" xfId="667" xr:uid="{00000000-0005-0000-0000-000031050000}"/>
    <cellStyle name="Input 3 5 2 2" xfId="1448" xr:uid="{00000000-0005-0000-0000-000032050000}"/>
    <cellStyle name="Input 3 5 2 2 2" xfId="1788" xr:uid="{00000000-0005-0000-0000-000033050000}"/>
    <cellStyle name="Input 3 5 2 2 2 2" xfId="5685" xr:uid="{00000000-0005-0000-0000-000034050000}"/>
    <cellStyle name="Input 3 5 2 2 2 3" xfId="9694" xr:uid="{C5713902-A912-4800-B1FD-D4376B1D9C60}"/>
    <cellStyle name="Input 3 5 2 2 3" xfId="3832" xr:uid="{00000000-0005-0000-0000-000035050000}"/>
    <cellStyle name="Input 3 5 2 2 3 2" xfId="7726" xr:uid="{00000000-0005-0000-0000-000036050000}"/>
    <cellStyle name="Input 3 5 2 2 3 3" xfId="11735" xr:uid="{06D1EDAF-127B-49A0-8B96-D42F4275E4DD}"/>
    <cellStyle name="Input 3 5 2 2 4" xfId="5349" xr:uid="{00000000-0005-0000-0000-000037050000}"/>
    <cellStyle name="Input 3 5 2 2 5" xfId="9358" xr:uid="{6FC8FDF1-5E23-400D-9A79-CEA2D04FDBC1}"/>
    <cellStyle name="Input 3 5 2 2 6" xfId="13249" xr:uid="{FD87E2E4-A639-40D9-AC59-45649EDE08F9}"/>
    <cellStyle name="Input 3 5 2 3" xfId="1787" xr:uid="{00000000-0005-0000-0000-000038050000}"/>
    <cellStyle name="Input 3 5 2 3 2" xfId="5684" xr:uid="{00000000-0005-0000-0000-000039050000}"/>
    <cellStyle name="Input 3 5 2 3 3" xfId="9693" xr:uid="{7A2F7E4E-C3E1-46BE-9880-5BD5FF6ECB46}"/>
    <cellStyle name="Input 3 5 2 4" xfId="3393" xr:uid="{00000000-0005-0000-0000-00003A050000}"/>
    <cellStyle name="Input 3 5 2 4 2" xfId="7287" xr:uid="{00000000-0005-0000-0000-00003B050000}"/>
    <cellStyle name="Input 3 5 2 4 3" xfId="11296" xr:uid="{3427D3D1-BA5C-4668-B668-096A851409EE}"/>
    <cellStyle name="Input 3 5 2 5" xfId="4571" xr:uid="{00000000-0005-0000-0000-00003C050000}"/>
    <cellStyle name="Input 3 5 2 6" xfId="8580" xr:uid="{E7CF3BC5-8B7C-44DE-8AC2-B036C3C5B4D5}"/>
    <cellStyle name="Input 3 5 2 7" xfId="12471" xr:uid="{0E253F18-0EEB-435E-AF2F-25F1DA41ADC2}"/>
    <cellStyle name="Input 3 5 3" xfId="1127" xr:uid="{00000000-0005-0000-0000-00003D050000}"/>
    <cellStyle name="Input 3 5 3 2" xfId="1789" xr:uid="{00000000-0005-0000-0000-00003E050000}"/>
    <cellStyle name="Input 3 5 3 2 2" xfId="5686" xr:uid="{00000000-0005-0000-0000-00003F050000}"/>
    <cellStyle name="Input 3 5 3 2 3" xfId="9695" xr:uid="{FD081859-C2B2-40AA-AE8D-1974C06E21BF}"/>
    <cellStyle name="Input 3 5 3 3" xfId="3634" xr:uid="{00000000-0005-0000-0000-000040050000}"/>
    <cellStyle name="Input 3 5 3 3 2" xfId="7528" xr:uid="{00000000-0005-0000-0000-000041050000}"/>
    <cellStyle name="Input 3 5 3 3 3" xfId="11537" xr:uid="{F6CFEDA5-EEE8-44B1-98B2-617928C8347F}"/>
    <cellStyle name="Input 3 5 3 4" xfId="5028" xr:uid="{00000000-0005-0000-0000-000042050000}"/>
    <cellStyle name="Input 3 5 3 5" xfId="9037" xr:uid="{F118E3E4-A7F6-4ABD-8AB6-FB79D5C597FB}"/>
    <cellStyle name="Input 3 5 3 6" xfId="12928" xr:uid="{F4ED5478-D84D-49B9-8C31-B256B0C32A7B}"/>
    <cellStyle name="Input 3 5 4" xfId="1786" xr:uid="{00000000-0005-0000-0000-000043050000}"/>
    <cellStyle name="Input 3 5 4 2" xfId="5683" xr:uid="{00000000-0005-0000-0000-000044050000}"/>
    <cellStyle name="Input 3 5 4 3" xfId="9692" xr:uid="{AE407783-8419-4A7E-8B49-D53412122AC0}"/>
    <cellStyle name="Input 3 5 5" xfId="3072" xr:uid="{00000000-0005-0000-0000-000045050000}"/>
    <cellStyle name="Input 3 5 5 2" xfId="6966" xr:uid="{00000000-0005-0000-0000-000046050000}"/>
    <cellStyle name="Input 3 5 5 3" xfId="10975" xr:uid="{6EE833B5-BA24-47E8-84CF-4C6ECA05FC7F}"/>
    <cellStyle name="Input 3 5 6" xfId="4250" xr:uid="{00000000-0005-0000-0000-000047050000}"/>
    <cellStyle name="Input 3 5 7" xfId="8259" xr:uid="{DFB33974-25E1-4CA4-8859-4562F99AEFE2}"/>
    <cellStyle name="Input 3 5 8" xfId="12150" xr:uid="{5B9C9152-B871-448D-8F6C-BA851B19C072}"/>
    <cellStyle name="Input 3 6" xfId="502" xr:uid="{00000000-0005-0000-0000-000048050000}"/>
    <cellStyle name="Input 3 6 2" xfId="1283" xr:uid="{00000000-0005-0000-0000-000049050000}"/>
    <cellStyle name="Input 3 6 2 2" xfId="1791" xr:uid="{00000000-0005-0000-0000-00004A050000}"/>
    <cellStyle name="Input 3 6 2 2 2" xfId="5688" xr:uid="{00000000-0005-0000-0000-00004B050000}"/>
    <cellStyle name="Input 3 6 2 2 3" xfId="9697" xr:uid="{6EDE4D14-6F7F-4F37-9B6F-053CF2736024}"/>
    <cellStyle name="Input 3 6 2 3" xfId="3733" xr:uid="{00000000-0005-0000-0000-00004C050000}"/>
    <cellStyle name="Input 3 6 2 3 2" xfId="7627" xr:uid="{00000000-0005-0000-0000-00004D050000}"/>
    <cellStyle name="Input 3 6 2 3 3" xfId="11636" xr:uid="{2D63D0A4-37EA-4583-8EF1-F92F6212CE1E}"/>
    <cellStyle name="Input 3 6 2 4" xfId="5184" xr:uid="{00000000-0005-0000-0000-00004E050000}"/>
    <cellStyle name="Input 3 6 2 5" xfId="9193" xr:uid="{686BABA1-0559-49A8-A648-4A8749855E78}"/>
    <cellStyle name="Input 3 6 2 6" xfId="13084" xr:uid="{3E787C1A-8DAF-4EE9-A987-505B0524093E}"/>
    <cellStyle name="Input 3 6 3" xfId="1790" xr:uid="{00000000-0005-0000-0000-00004F050000}"/>
    <cellStyle name="Input 3 6 3 2" xfId="5687" xr:uid="{00000000-0005-0000-0000-000050050000}"/>
    <cellStyle name="Input 3 6 3 3" xfId="9696" xr:uid="{93CE3022-2512-4628-9F0D-B6E6F5414E57}"/>
    <cellStyle name="Input 3 6 4" xfId="3228" xr:uid="{00000000-0005-0000-0000-000051050000}"/>
    <cellStyle name="Input 3 6 4 2" xfId="7122" xr:uid="{00000000-0005-0000-0000-000052050000}"/>
    <cellStyle name="Input 3 6 4 3" xfId="11131" xr:uid="{F9C3D336-6CBE-4C41-8357-7D6F82EE8487}"/>
    <cellStyle name="Input 3 6 5" xfId="4406" xr:uid="{00000000-0005-0000-0000-000053050000}"/>
    <cellStyle name="Input 3 6 6" xfId="8415" xr:uid="{6B94E9EB-3759-4DCA-880B-6D8FD3A7D48C}"/>
    <cellStyle name="Input 3 6 7" xfId="12306" xr:uid="{316493AE-6889-4B99-BAC1-396318DDA701}"/>
    <cellStyle name="Input 3 7" xfId="962" xr:uid="{00000000-0005-0000-0000-000054050000}"/>
    <cellStyle name="Input 3 7 2" xfId="1792" xr:uid="{00000000-0005-0000-0000-000055050000}"/>
    <cellStyle name="Input 3 7 2 2" xfId="5689" xr:uid="{00000000-0005-0000-0000-000056050000}"/>
    <cellStyle name="Input 3 7 2 3" xfId="9698" xr:uid="{19CCDE85-C175-4E41-877F-C358E0494E56}"/>
    <cellStyle name="Input 3 7 3" xfId="3535" xr:uid="{00000000-0005-0000-0000-000057050000}"/>
    <cellStyle name="Input 3 7 3 2" xfId="7429" xr:uid="{00000000-0005-0000-0000-000058050000}"/>
    <cellStyle name="Input 3 7 3 3" xfId="11438" xr:uid="{8E55526F-CC41-4B2D-8294-B1B38E59FE73}"/>
    <cellStyle name="Input 3 7 4" xfId="4863" xr:uid="{00000000-0005-0000-0000-000059050000}"/>
    <cellStyle name="Input 3 7 5" xfId="8872" xr:uid="{22AD707B-8D19-4E7F-9A01-046142460CFB}"/>
    <cellStyle name="Input 3 7 6" xfId="12763" xr:uid="{A649D4F6-D312-4BA9-8AE6-32D9E855453C}"/>
    <cellStyle name="Input 3 8" xfId="1745" xr:uid="{00000000-0005-0000-0000-00005A050000}"/>
    <cellStyle name="Input 3 8 2" xfId="5642" xr:uid="{00000000-0005-0000-0000-00005B050000}"/>
    <cellStyle name="Input 3 8 3" xfId="9651" xr:uid="{9228B445-E0D4-4928-9981-4DB4ABCD8F3B}"/>
    <cellStyle name="Input 3 9" xfId="2907" xr:uid="{00000000-0005-0000-0000-00005C050000}"/>
    <cellStyle name="Input 3 9 2" xfId="6801" xr:uid="{00000000-0005-0000-0000-00005D050000}"/>
    <cellStyle name="Input 3 9 3" xfId="10810" xr:uid="{1BFEABFD-7460-4286-A7F3-C4C97BCBF988}"/>
    <cellStyle name="Input 4" xfId="226" xr:uid="{00000000-0005-0000-0000-00005E050000}"/>
    <cellStyle name="Input 4 10" xfId="13475" xr:uid="{FC9EC5CB-FE09-4502-BDE0-3AE8FB49E776}"/>
    <cellStyle name="Input 4 2" xfId="387" xr:uid="{00000000-0005-0000-0000-00005F050000}"/>
    <cellStyle name="Input 4 2 2" xfId="717" xr:uid="{00000000-0005-0000-0000-000060050000}"/>
    <cellStyle name="Input 4 2 2 2" xfId="1498" xr:uid="{00000000-0005-0000-0000-000061050000}"/>
    <cellStyle name="Input 4 2 2 2 2" xfId="1796" xr:uid="{00000000-0005-0000-0000-000062050000}"/>
    <cellStyle name="Input 4 2 2 2 2 2" xfId="5693" xr:uid="{00000000-0005-0000-0000-000063050000}"/>
    <cellStyle name="Input 4 2 2 2 2 3" xfId="9702" xr:uid="{19FED22D-BB3A-4201-8BFE-FA66A87E4EFB}"/>
    <cellStyle name="Input 4 2 2 2 3" xfId="3867" xr:uid="{00000000-0005-0000-0000-000064050000}"/>
    <cellStyle name="Input 4 2 2 2 3 2" xfId="7761" xr:uid="{00000000-0005-0000-0000-000065050000}"/>
    <cellStyle name="Input 4 2 2 2 3 3" xfId="11770" xr:uid="{6FBAD1E5-3A1E-4623-AD5B-2AA2240F7F1F}"/>
    <cellStyle name="Input 4 2 2 2 4" xfId="5399" xr:uid="{00000000-0005-0000-0000-000066050000}"/>
    <cellStyle name="Input 4 2 2 2 5" xfId="9408" xr:uid="{108D79A8-8070-4A78-A483-C9F8FF685BCA}"/>
    <cellStyle name="Input 4 2 2 2 6" xfId="13299" xr:uid="{64A5484B-9D0C-4C5C-8752-87B5E8BACF79}"/>
    <cellStyle name="Input 4 2 2 3" xfId="1795" xr:uid="{00000000-0005-0000-0000-000067050000}"/>
    <cellStyle name="Input 4 2 2 3 2" xfId="5692" xr:uid="{00000000-0005-0000-0000-000068050000}"/>
    <cellStyle name="Input 4 2 2 3 3" xfId="9701" xr:uid="{060C28E1-891E-4517-BB96-BE34F226D7D2}"/>
    <cellStyle name="Input 4 2 2 4" xfId="3443" xr:uid="{00000000-0005-0000-0000-000069050000}"/>
    <cellStyle name="Input 4 2 2 4 2" xfId="7337" xr:uid="{00000000-0005-0000-0000-00006A050000}"/>
    <cellStyle name="Input 4 2 2 4 3" xfId="11346" xr:uid="{8D748C3C-AD71-4A86-96FF-7EC47DEA677A}"/>
    <cellStyle name="Input 4 2 2 5" xfId="4621" xr:uid="{00000000-0005-0000-0000-00006B050000}"/>
    <cellStyle name="Input 4 2 2 6" xfId="8630" xr:uid="{889D1AF5-5E71-43C3-AE35-644D48C30F3B}"/>
    <cellStyle name="Input 4 2 2 7" xfId="12521" xr:uid="{F216E26E-C787-40B2-8595-E05879AE9675}"/>
    <cellStyle name="Input 4 2 3" xfId="1177" xr:uid="{00000000-0005-0000-0000-00006C050000}"/>
    <cellStyle name="Input 4 2 3 2" xfId="1797" xr:uid="{00000000-0005-0000-0000-00006D050000}"/>
    <cellStyle name="Input 4 2 3 2 2" xfId="5694" xr:uid="{00000000-0005-0000-0000-00006E050000}"/>
    <cellStyle name="Input 4 2 3 2 3" xfId="9703" xr:uid="{0E14C390-E5B3-4293-BA1C-586A0A6944F4}"/>
    <cellStyle name="Input 4 2 3 3" xfId="3669" xr:uid="{00000000-0005-0000-0000-00006F050000}"/>
    <cellStyle name="Input 4 2 3 3 2" xfId="7563" xr:uid="{00000000-0005-0000-0000-000070050000}"/>
    <cellStyle name="Input 4 2 3 3 3" xfId="11572" xr:uid="{E38E1731-D791-4239-BDD3-99EBF4497BC0}"/>
    <cellStyle name="Input 4 2 3 4" xfId="5078" xr:uid="{00000000-0005-0000-0000-000071050000}"/>
    <cellStyle name="Input 4 2 3 5" xfId="9087" xr:uid="{F2531AC8-1CBB-4CED-B0F1-9B28F13D4038}"/>
    <cellStyle name="Input 4 2 3 6" xfId="12978" xr:uid="{01E64102-E14C-4F00-8BD7-6E864C849173}"/>
    <cellStyle name="Input 4 2 4" xfId="1794" xr:uid="{00000000-0005-0000-0000-000072050000}"/>
    <cellStyle name="Input 4 2 4 2" xfId="5691" xr:uid="{00000000-0005-0000-0000-000073050000}"/>
    <cellStyle name="Input 4 2 4 3" xfId="9700" xr:uid="{CE02DC25-1DF4-4256-8717-40BB702362DA}"/>
    <cellStyle name="Input 4 2 5" xfId="3122" xr:uid="{00000000-0005-0000-0000-000074050000}"/>
    <cellStyle name="Input 4 2 5 2" xfId="7016" xr:uid="{00000000-0005-0000-0000-000075050000}"/>
    <cellStyle name="Input 4 2 5 3" xfId="11025" xr:uid="{285A81AE-6D5A-4E3C-8EFD-6C93425C69B7}"/>
    <cellStyle name="Input 4 2 6" xfId="4300" xr:uid="{00000000-0005-0000-0000-000076050000}"/>
    <cellStyle name="Input 4 2 7" xfId="8309" xr:uid="{4334B1E9-EE9A-4D4C-BE01-EFB6F7BBD912}"/>
    <cellStyle name="Input 4 2 8" xfId="12200" xr:uid="{A9E12817-DA2F-4A7B-8420-714F75AA7195}"/>
    <cellStyle name="Input 4 3" xfId="556" xr:uid="{00000000-0005-0000-0000-000077050000}"/>
    <cellStyle name="Input 4 3 2" xfId="1337" xr:uid="{00000000-0005-0000-0000-000078050000}"/>
    <cellStyle name="Input 4 3 2 2" xfId="1799" xr:uid="{00000000-0005-0000-0000-000079050000}"/>
    <cellStyle name="Input 4 3 2 2 2" xfId="5696" xr:uid="{00000000-0005-0000-0000-00007A050000}"/>
    <cellStyle name="Input 4 3 2 2 3" xfId="9705" xr:uid="{2CC0BF1B-46D2-4C0C-A51F-98EE0E1835E1}"/>
    <cellStyle name="Input 4 3 2 3" xfId="3768" xr:uid="{00000000-0005-0000-0000-00007B050000}"/>
    <cellStyle name="Input 4 3 2 3 2" xfId="7662" xr:uid="{00000000-0005-0000-0000-00007C050000}"/>
    <cellStyle name="Input 4 3 2 3 3" xfId="11671" xr:uid="{029CB0F4-D16F-4C7C-B1CA-91F4576CDD49}"/>
    <cellStyle name="Input 4 3 2 4" xfId="5238" xr:uid="{00000000-0005-0000-0000-00007D050000}"/>
    <cellStyle name="Input 4 3 2 5" xfId="9247" xr:uid="{9F920BBE-6DB2-47A4-A93F-91F6B1A4E0BC}"/>
    <cellStyle name="Input 4 3 2 6" xfId="13138" xr:uid="{6080B8D4-FDE2-4B58-8F6A-8635969CDCC3}"/>
    <cellStyle name="Input 4 3 3" xfId="1798" xr:uid="{00000000-0005-0000-0000-00007E050000}"/>
    <cellStyle name="Input 4 3 3 2" xfId="5695" xr:uid="{00000000-0005-0000-0000-00007F050000}"/>
    <cellStyle name="Input 4 3 3 3" xfId="9704" xr:uid="{AF256920-6F95-4A85-9F5E-2F420CC8E010}"/>
    <cellStyle name="Input 4 3 4" xfId="3282" xr:uid="{00000000-0005-0000-0000-000080050000}"/>
    <cellStyle name="Input 4 3 4 2" xfId="7176" xr:uid="{00000000-0005-0000-0000-000081050000}"/>
    <cellStyle name="Input 4 3 4 3" xfId="11185" xr:uid="{FA40C5FA-A30A-4CE5-9244-64D113A0F0FF}"/>
    <cellStyle name="Input 4 3 5" xfId="4460" xr:uid="{00000000-0005-0000-0000-000082050000}"/>
    <cellStyle name="Input 4 3 6" xfId="8469" xr:uid="{5CBEECB2-23F4-43AE-9759-D897C18BF8DA}"/>
    <cellStyle name="Input 4 3 7" xfId="12360" xr:uid="{46B467C6-9A99-4913-B38A-CBD440D6318B}"/>
    <cellStyle name="Input 4 4" xfId="1016" xr:uid="{00000000-0005-0000-0000-000083050000}"/>
    <cellStyle name="Input 4 4 2" xfId="1800" xr:uid="{00000000-0005-0000-0000-000084050000}"/>
    <cellStyle name="Input 4 4 2 2" xfId="5697" xr:uid="{00000000-0005-0000-0000-000085050000}"/>
    <cellStyle name="Input 4 4 2 3" xfId="9706" xr:uid="{62B6A9F6-DAB0-4368-8A52-E051FC08A108}"/>
    <cellStyle name="Input 4 4 3" xfId="3570" xr:uid="{00000000-0005-0000-0000-000086050000}"/>
    <cellStyle name="Input 4 4 3 2" xfId="7464" xr:uid="{00000000-0005-0000-0000-000087050000}"/>
    <cellStyle name="Input 4 4 3 3" xfId="11473" xr:uid="{2047FEC8-F9BC-4855-847B-7098722B02F8}"/>
    <cellStyle name="Input 4 4 4" xfId="4917" xr:uid="{00000000-0005-0000-0000-000088050000}"/>
    <cellStyle name="Input 4 4 5" xfId="8926" xr:uid="{1C86798B-5877-4571-89AD-219E1A646F8F}"/>
    <cellStyle name="Input 4 4 6" xfId="12817" xr:uid="{027D894B-E430-46B8-919C-622FCEADBBC2}"/>
    <cellStyle name="Input 4 5" xfId="1793" xr:uid="{00000000-0005-0000-0000-000089050000}"/>
    <cellStyle name="Input 4 5 2" xfId="5690" xr:uid="{00000000-0005-0000-0000-00008A050000}"/>
    <cellStyle name="Input 4 5 3" xfId="9699" xr:uid="{6A699396-E703-44A3-8B21-C62E2A125948}"/>
    <cellStyle name="Input 4 6" xfId="2961" xr:uid="{00000000-0005-0000-0000-00008B050000}"/>
    <cellStyle name="Input 4 6 2" xfId="6855" xr:uid="{00000000-0005-0000-0000-00008C050000}"/>
    <cellStyle name="Input 4 6 3" xfId="10864" xr:uid="{42D2E879-0EA7-4C1B-AA76-2CD5AFBE9898}"/>
    <cellStyle name="Input 4 7" xfId="4139" xr:uid="{00000000-0005-0000-0000-00008D050000}"/>
    <cellStyle name="Input 4 8" xfId="8148" xr:uid="{334E6942-C0FE-4CFB-887C-9FF5130BA178}"/>
    <cellStyle name="Input 4 9" xfId="12039" xr:uid="{2908794B-6230-4B50-ADB1-818D31575FC4}"/>
    <cellStyle name="Input 5" xfId="291" xr:uid="{00000000-0005-0000-0000-00008E050000}"/>
    <cellStyle name="Input 5 10" xfId="13540" xr:uid="{05CB4395-21AA-48D7-97F8-E9F27084D511}"/>
    <cellStyle name="Input 5 2" xfId="447" xr:uid="{00000000-0005-0000-0000-00008F050000}"/>
    <cellStyle name="Input 5 2 2" xfId="777" xr:uid="{00000000-0005-0000-0000-000090050000}"/>
    <cellStyle name="Input 5 2 2 2" xfId="1558" xr:uid="{00000000-0005-0000-0000-000091050000}"/>
    <cellStyle name="Input 5 2 2 2 2" xfId="1804" xr:uid="{00000000-0005-0000-0000-000092050000}"/>
    <cellStyle name="Input 5 2 2 2 2 2" xfId="5701" xr:uid="{00000000-0005-0000-0000-000093050000}"/>
    <cellStyle name="Input 5 2 2 2 2 3" xfId="9710" xr:uid="{3828AC72-D422-4C34-AC58-8EF46BA39AC3}"/>
    <cellStyle name="Input 5 2 2 2 3" xfId="3904" xr:uid="{00000000-0005-0000-0000-000094050000}"/>
    <cellStyle name="Input 5 2 2 2 3 2" xfId="7798" xr:uid="{00000000-0005-0000-0000-000095050000}"/>
    <cellStyle name="Input 5 2 2 2 3 3" xfId="11807" xr:uid="{ED66E7FD-37DD-4CD6-A13D-F2D360FD2EEC}"/>
    <cellStyle name="Input 5 2 2 2 4" xfId="5459" xr:uid="{00000000-0005-0000-0000-000096050000}"/>
    <cellStyle name="Input 5 2 2 2 5" xfId="9468" xr:uid="{38D018BD-10C8-4EF1-AFDC-B6FF5D0A35A6}"/>
    <cellStyle name="Input 5 2 2 2 6" xfId="13359" xr:uid="{9A357A0E-BA0B-4B17-A3B2-15A680D02499}"/>
    <cellStyle name="Input 5 2 2 3" xfId="1803" xr:uid="{00000000-0005-0000-0000-000097050000}"/>
    <cellStyle name="Input 5 2 2 3 2" xfId="5700" xr:uid="{00000000-0005-0000-0000-000098050000}"/>
    <cellStyle name="Input 5 2 2 3 3" xfId="9709" xr:uid="{27CE1BBD-78C5-4AC5-882B-09B1EE642AA1}"/>
    <cellStyle name="Input 5 2 2 4" xfId="3503" xr:uid="{00000000-0005-0000-0000-000099050000}"/>
    <cellStyle name="Input 5 2 2 4 2" xfId="7397" xr:uid="{00000000-0005-0000-0000-00009A050000}"/>
    <cellStyle name="Input 5 2 2 4 3" xfId="11406" xr:uid="{E896C706-DE0D-4564-B1F5-413B24E6D53F}"/>
    <cellStyle name="Input 5 2 2 5" xfId="4681" xr:uid="{00000000-0005-0000-0000-00009B050000}"/>
    <cellStyle name="Input 5 2 2 6" xfId="8690" xr:uid="{F0659FDF-7476-413A-89EA-45839D5652D8}"/>
    <cellStyle name="Input 5 2 2 7" xfId="12581" xr:uid="{CFD2F44B-8ED5-410C-84B1-25476CDDC4E0}"/>
    <cellStyle name="Input 5 2 3" xfId="1237" xr:uid="{00000000-0005-0000-0000-00009C050000}"/>
    <cellStyle name="Input 5 2 3 2" xfId="1805" xr:uid="{00000000-0005-0000-0000-00009D050000}"/>
    <cellStyle name="Input 5 2 3 2 2" xfId="5702" xr:uid="{00000000-0005-0000-0000-00009E050000}"/>
    <cellStyle name="Input 5 2 3 2 3" xfId="9711" xr:uid="{9C333CFB-9E64-4D45-9254-40710764B309}"/>
    <cellStyle name="Input 5 2 3 3" xfId="3706" xr:uid="{00000000-0005-0000-0000-00009F050000}"/>
    <cellStyle name="Input 5 2 3 3 2" xfId="7600" xr:uid="{00000000-0005-0000-0000-0000A0050000}"/>
    <cellStyle name="Input 5 2 3 3 3" xfId="11609" xr:uid="{F921C82A-A2A4-46C1-BDA5-DCFC1F6B8024}"/>
    <cellStyle name="Input 5 2 3 4" xfId="5138" xr:uid="{00000000-0005-0000-0000-0000A1050000}"/>
    <cellStyle name="Input 5 2 3 5" xfId="9147" xr:uid="{55CC5287-0658-48C3-9520-A5C417C0B2E4}"/>
    <cellStyle name="Input 5 2 3 6" xfId="13038" xr:uid="{0A397294-2884-49FF-A816-082785C781D0}"/>
    <cellStyle name="Input 5 2 4" xfId="1802" xr:uid="{00000000-0005-0000-0000-0000A2050000}"/>
    <cellStyle name="Input 5 2 4 2" xfId="5699" xr:uid="{00000000-0005-0000-0000-0000A3050000}"/>
    <cellStyle name="Input 5 2 4 3" xfId="9708" xr:uid="{5B926517-9273-466A-883B-0DCC1A690AD9}"/>
    <cellStyle name="Input 5 2 5" xfId="3182" xr:uid="{00000000-0005-0000-0000-0000A4050000}"/>
    <cellStyle name="Input 5 2 5 2" xfId="7076" xr:uid="{00000000-0005-0000-0000-0000A5050000}"/>
    <cellStyle name="Input 5 2 5 3" xfId="11085" xr:uid="{B837E271-98BB-4A5E-B9AC-B1A8023A8B8B}"/>
    <cellStyle name="Input 5 2 6" xfId="4360" xr:uid="{00000000-0005-0000-0000-0000A6050000}"/>
    <cellStyle name="Input 5 2 7" xfId="8369" xr:uid="{4A4F43AE-3F45-47FE-B9BA-61F6FD17750C}"/>
    <cellStyle name="Input 5 2 8" xfId="12260" xr:uid="{BF5E83E8-F2F3-46F6-BD1D-0A729628915F}"/>
    <cellStyle name="Input 5 3" xfId="621" xr:uid="{00000000-0005-0000-0000-0000A7050000}"/>
    <cellStyle name="Input 5 3 2" xfId="1402" xr:uid="{00000000-0005-0000-0000-0000A8050000}"/>
    <cellStyle name="Input 5 3 2 2" xfId="1807" xr:uid="{00000000-0005-0000-0000-0000A9050000}"/>
    <cellStyle name="Input 5 3 2 2 2" xfId="5704" xr:uid="{00000000-0005-0000-0000-0000AA050000}"/>
    <cellStyle name="Input 5 3 2 2 3" xfId="9713" xr:uid="{5C7E5F42-232A-4652-8C6A-6A3EEFFBC30B}"/>
    <cellStyle name="Input 5 3 2 3" xfId="3805" xr:uid="{00000000-0005-0000-0000-0000AB050000}"/>
    <cellStyle name="Input 5 3 2 3 2" xfId="7699" xr:uid="{00000000-0005-0000-0000-0000AC050000}"/>
    <cellStyle name="Input 5 3 2 3 3" xfId="11708" xr:uid="{EDEB2822-23E5-48AA-B556-AB1CCE966788}"/>
    <cellStyle name="Input 5 3 2 4" xfId="5303" xr:uid="{00000000-0005-0000-0000-0000AD050000}"/>
    <cellStyle name="Input 5 3 2 5" xfId="9312" xr:uid="{2876F8CD-795D-460E-A144-6FF76A504280}"/>
    <cellStyle name="Input 5 3 2 6" xfId="13203" xr:uid="{F7143154-C297-469A-9A34-B5AA54D01E5D}"/>
    <cellStyle name="Input 5 3 3" xfId="1806" xr:uid="{00000000-0005-0000-0000-0000AE050000}"/>
    <cellStyle name="Input 5 3 3 2" xfId="5703" xr:uid="{00000000-0005-0000-0000-0000AF050000}"/>
    <cellStyle name="Input 5 3 3 3" xfId="9712" xr:uid="{622849DF-BB32-4C72-B745-62DB8B95026D}"/>
    <cellStyle name="Input 5 3 4" xfId="3347" xr:uid="{00000000-0005-0000-0000-0000B0050000}"/>
    <cellStyle name="Input 5 3 4 2" xfId="7241" xr:uid="{00000000-0005-0000-0000-0000B1050000}"/>
    <cellStyle name="Input 5 3 4 3" xfId="11250" xr:uid="{411859B1-5FE5-40FE-A019-CE424A2FC147}"/>
    <cellStyle name="Input 5 3 5" xfId="4525" xr:uid="{00000000-0005-0000-0000-0000B2050000}"/>
    <cellStyle name="Input 5 3 6" xfId="8534" xr:uid="{442EE89A-1DD7-4CB5-A54C-89827DE446DA}"/>
    <cellStyle name="Input 5 3 7" xfId="12425" xr:uid="{E14E822B-DC48-49F6-B0AE-2F3DEA8E2259}"/>
    <cellStyle name="Input 5 4" xfId="1081" xr:uid="{00000000-0005-0000-0000-0000B3050000}"/>
    <cellStyle name="Input 5 4 2" xfId="1808" xr:uid="{00000000-0005-0000-0000-0000B4050000}"/>
    <cellStyle name="Input 5 4 2 2" xfId="5705" xr:uid="{00000000-0005-0000-0000-0000B5050000}"/>
    <cellStyle name="Input 5 4 2 3" xfId="9714" xr:uid="{80433328-3835-4CDC-80ED-964D2052BF24}"/>
    <cellStyle name="Input 5 4 3" xfId="3607" xr:uid="{00000000-0005-0000-0000-0000B6050000}"/>
    <cellStyle name="Input 5 4 3 2" xfId="7501" xr:uid="{00000000-0005-0000-0000-0000B7050000}"/>
    <cellStyle name="Input 5 4 3 3" xfId="11510" xr:uid="{9D660F64-77A8-4115-81D0-97859A645846}"/>
    <cellStyle name="Input 5 4 4" xfId="4982" xr:uid="{00000000-0005-0000-0000-0000B8050000}"/>
    <cellStyle name="Input 5 4 5" xfId="8991" xr:uid="{6F1958DA-38FB-40CE-8611-36184F4B003C}"/>
    <cellStyle name="Input 5 4 6" xfId="12882" xr:uid="{5A150173-F29F-43CF-BFF3-3175C509A18E}"/>
    <cellStyle name="Input 5 5" xfId="1801" xr:uid="{00000000-0005-0000-0000-0000B9050000}"/>
    <cellStyle name="Input 5 5 2" xfId="5698" xr:uid="{00000000-0005-0000-0000-0000BA050000}"/>
    <cellStyle name="Input 5 5 3" xfId="9707" xr:uid="{08079C87-4F2E-4B9A-97BF-275EB6A3AD57}"/>
    <cellStyle name="Input 5 6" xfId="3026" xr:uid="{00000000-0005-0000-0000-0000BB050000}"/>
    <cellStyle name="Input 5 6 2" xfId="6920" xr:uid="{00000000-0005-0000-0000-0000BC050000}"/>
    <cellStyle name="Input 5 6 3" xfId="10929" xr:uid="{47C10A07-4A53-436F-86BC-E1C5BD01DBD1}"/>
    <cellStyle name="Input 5 7" xfId="4204" xr:uid="{00000000-0005-0000-0000-0000BD050000}"/>
    <cellStyle name="Input 5 8" xfId="8213" xr:uid="{3C9A5C27-433F-4407-957C-9E5420579833}"/>
    <cellStyle name="Input 5 9" xfId="12104" xr:uid="{9CAF5BD9-F811-4719-9DC5-252BF02E6493}"/>
    <cellStyle name="Input 6" xfId="309" xr:uid="{00000000-0005-0000-0000-0000BE050000}"/>
    <cellStyle name="Input 6 2" xfId="639" xr:uid="{00000000-0005-0000-0000-0000BF050000}"/>
    <cellStyle name="Input 6 2 2" xfId="1420" xr:uid="{00000000-0005-0000-0000-0000C0050000}"/>
    <cellStyle name="Input 6 2 2 2" xfId="1811" xr:uid="{00000000-0005-0000-0000-0000C1050000}"/>
    <cellStyle name="Input 6 2 2 2 2" xfId="5708" xr:uid="{00000000-0005-0000-0000-0000C2050000}"/>
    <cellStyle name="Input 6 2 2 2 3" xfId="9717" xr:uid="{2F402C48-4C1F-4608-9176-319F474CE3FC}"/>
    <cellStyle name="Input 6 2 2 3" xfId="3816" xr:uid="{00000000-0005-0000-0000-0000C3050000}"/>
    <cellStyle name="Input 6 2 2 3 2" xfId="7710" xr:uid="{00000000-0005-0000-0000-0000C4050000}"/>
    <cellStyle name="Input 6 2 2 3 3" xfId="11719" xr:uid="{D189B88F-4AA6-4CD9-8D6C-3C8C66C90363}"/>
    <cellStyle name="Input 6 2 2 4" xfId="5321" xr:uid="{00000000-0005-0000-0000-0000C5050000}"/>
    <cellStyle name="Input 6 2 2 5" xfId="9330" xr:uid="{A73B1606-C817-4C99-95AD-8A8DA3F9DC28}"/>
    <cellStyle name="Input 6 2 2 6" xfId="13221" xr:uid="{1DFEDE21-077D-462B-AF16-B3D69B5AA259}"/>
    <cellStyle name="Input 6 2 3" xfId="1810" xr:uid="{00000000-0005-0000-0000-0000C6050000}"/>
    <cellStyle name="Input 6 2 3 2" xfId="5707" xr:uid="{00000000-0005-0000-0000-0000C7050000}"/>
    <cellStyle name="Input 6 2 3 3" xfId="9716" xr:uid="{23507639-8281-4DAA-839E-27F76730ABDF}"/>
    <cellStyle name="Input 6 2 4" xfId="3365" xr:uid="{00000000-0005-0000-0000-0000C8050000}"/>
    <cellStyle name="Input 6 2 4 2" xfId="7259" xr:uid="{00000000-0005-0000-0000-0000C9050000}"/>
    <cellStyle name="Input 6 2 4 3" xfId="11268" xr:uid="{BE3257F6-C5A5-4C49-8AEE-BA252BC5A6CF}"/>
    <cellStyle name="Input 6 2 5" xfId="4543" xr:uid="{00000000-0005-0000-0000-0000CA050000}"/>
    <cellStyle name="Input 6 2 6" xfId="8552" xr:uid="{AC624C05-AED1-4DB4-861B-6F2662EC2362}"/>
    <cellStyle name="Input 6 2 7" xfId="12443" xr:uid="{BAC9249E-202F-4278-A31C-09F1101C9602}"/>
    <cellStyle name="Input 6 3" xfId="1099" xr:uid="{00000000-0005-0000-0000-0000CB050000}"/>
    <cellStyle name="Input 6 3 2" xfId="1812" xr:uid="{00000000-0005-0000-0000-0000CC050000}"/>
    <cellStyle name="Input 6 3 2 2" xfId="5709" xr:uid="{00000000-0005-0000-0000-0000CD050000}"/>
    <cellStyle name="Input 6 3 2 3" xfId="9718" xr:uid="{16A83CDF-5413-4A69-99A0-E88136682CF2}"/>
    <cellStyle name="Input 6 3 3" xfId="3618" xr:uid="{00000000-0005-0000-0000-0000CE050000}"/>
    <cellStyle name="Input 6 3 3 2" xfId="7512" xr:uid="{00000000-0005-0000-0000-0000CF050000}"/>
    <cellStyle name="Input 6 3 3 3" xfId="11521" xr:uid="{779D6D04-D698-4288-84CE-9802B5530002}"/>
    <cellStyle name="Input 6 3 4" xfId="5000" xr:uid="{00000000-0005-0000-0000-0000D0050000}"/>
    <cellStyle name="Input 6 3 5" xfId="9009" xr:uid="{45A0E0D8-32A6-4142-9A5A-FAE6BBC8295A}"/>
    <cellStyle name="Input 6 3 6" xfId="12900" xr:uid="{E6A433EB-64FC-435B-8E72-8C5EA5F68328}"/>
    <cellStyle name="Input 6 4" xfId="1809" xr:uid="{00000000-0005-0000-0000-0000D1050000}"/>
    <cellStyle name="Input 6 4 2" xfId="5706" xr:uid="{00000000-0005-0000-0000-0000D2050000}"/>
    <cellStyle name="Input 6 4 3" xfId="9715" xr:uid="{E026AC49-818B-4FCC-A1B3-EE4C9D05A84D}"/>
    <cellStyle name="Input 6 5" xfId="3044" xr:uid="{00000000-0005-0000-0000-0000D3050000}"/>
    <cellStyle name="Input 6 5 2" xfId="6938" xr:uid="{00000000-0005-0000-0000-0000D4050000}"/>
    <cellStyle name="Input 6 5 3" xfId="10947" xr:uid="{ADC3DA16-CFFD-4E84-B102-BC98C32E657D}"/>
    <cellStyle name="Input 6 6" xfId="4222" xr:uid="{00000000-0005-0000-0000-0000D5050000}"/>
    <cellStyle name="Input 6 7" xfId="8231" xr:uid="{BA83D759-9EEA-4649-B2A5-2A19796C6563}"/>
    <cellStyle name="Input 6 8" xfId="12122" xr:uid="{7A0607BB-A764-481C-ACA1-E976E588F81E}"/>
    <cellStyle name="Input 7" xfId="471" xr:uid="{00000000-0005-0000-0000-0000D6050000}"/>
    <cellStyle name="Input 7 2" xfId="1255" xr:uid="{00000000-0005-0000-0000-0000D7050000}"/>
    <cellStyle name="Input 7 2 2" xfId="1814" xr:uid="{00000000-0005-0000-0000-0000D8050000}"/>
    <cellStyle name="Input 7 2 2 2" xfId="5711" xr:uid="{00000000-0005-0000-0000-0000D9050000}"/>
    <cellStyle name="Input 7 2 2 3" xfId="9720" xr:uid="{AFCD16DA-D062-4B8F-842A-1833E1D335DF}"/>
    <cellStyle name="Input 7 2 3" xfId="3717" xr:uid="{00000000-0005-0000-0000-0000DA050000}"/>
    <cellStyle name="Input 7 2 3 2" xfId="7611" xr:uid="{00000000-0005-0000-0000-0000DB050000}"/>
    <cellStyle name="Input 7 2 3 3" xfId="11620" xr:uid="{7DD0C149-7FBF-4D49-A618-A890A3E9E95E}"/>
    <cellStyle name="Input 7 2 4" xfId="5156" xr:uid="{00000000-0005-0000-0000-0000DC050000}"/>
    <cellStyle name="Input 7 2 5" xfId="9165" xr:uid="{ECDAEF9D-B3B7-4D27-9977-DC6AD6B26BAA}"/>
    <cellStyle name="Input 7 2 6" xfId="13056" xr:uid="{58316C95-0BF4-4131-AC9F-BB7C00F14B2A}"/>
    <cellStyle name="Input 7 3" xfId="1813" xr:uid="{00000000-0005-0000-0000-0000DD050000}"/>
    <cellStyle name="Input 7 3 2" xfId="5710" xr:uid="{00000000-0005-0000-0000-0000DE050000}"/>
    <cellStyle name="Input 7 3 3" xfId="9719" xr:uid="{9FB87117-66B2-49D3-8281-499BA8DDE9FF}"/>
    <cellStyle name="Input 7 4" xfId="3200" xr:uid="{00000000-0005-0000-0000-0000DF050000}"/>
    <cellStyle name="Input 7 4 2" xfId="7094" xr:uid="{00000000-0005-0000-0000-0000E0050000}"/>
    <cellStyle name="Input 7 4 3" xfId="11103" xr:uid="{F7609FDA-F17B-4263-ACD1-A484BCF35E43}"/>
    <cellStyle name="Input 7 5" xfId="4378" xr:uid="{00000000-0005-0000-0000-0000E1050000}"/>
    <cellStyle name="Input 7 6" xfId="8387" xr:uid="{69DB2206-C568-471E-8633-C484D015F4EB}"/>
    <cellStyle name="Input 7 7" xfId="12278" xr:uid="{55934311-C1AE-4F85-B508-7CBC7C0DEE0B}"/>
    <cellStyle name="Input 8" xfId="934" xr:uid="{00000000-0005-0000-0000-0000E2050000}"/>
    <cellStyle name="Input 8 2" xfId="1815" xr:uid="{00000000-0005-0000-0000-0000E3050000}"/>
    <cellStyle name="Input 8 2 2" xfId="5712" xr:uid="{00000000-0005-0000-0000-0000E4050000}"/>
    <cellStyle name="Input 8 2 3" xfId="9721" xr:uid="{D0C99AC4-56DC-4A94-BFFD-FD03797EBB0A}"/>
    <cellStyle name="Input 8 3" xfId="3519" xr:uid="{00000000-0005-0000-0000-0000E5050000}"/>
    <cellStyle name="Input 8 3 2" xfId="7413" xr:uid="{00000000-0005-0000-0000-0000E6050000}"/>
    <cellStyle name="Input 8 3 3" xfId="11422" xr:uid="{085D3AEA-A37C-4E06-A6F0-0F088AEE1882}"/>
    <cellStyle name="Input 8 4" xfId="4835" xr:uid="{00000000-0005-0000-0000-0000E7050000}"/>
    <cellStyle name="Input 8 5" xfId="8844" xr:uid="{3E1A3E72-EBE4-418D-BCA7-7A72E2B2883B}"/>
    <cellStyle name="Input 8 6" xfId="12735" xr:uid="{52A35E8C-0E2F-4F77-AB4F-EEFE914AE634}"/>
    <cellStyle name="Input 9" xfId="1696" xr:uid="{00000000-0005-0000-0000-0000E8050000}"/>
    <cellStyle name="Input 9 2" xfId="5593" xr:uid="{00000000-0005-0000-0000-0000E9050000}"/>
    <cellStyle name="Input 9 3" xfId="9602" xr:uid="{FE38B706-3471-4ED9-B883-4C0125B96911}"/>
    <cellStyle name="Linked Cell" xfId="98" xr:uid="{00000000-0005-0000-0000-0000EA050000}"/>
    <cellStyle name="Neutral" xfId="99" xr:uid="{00000000-0005-0000-0000-0000EB050000}"/>
    <cellStyle name="Neutral 2" xfId="8000" xr:uid="{2B1E223D-DE4F-41C0-98BE-FB3268A230FA}"/>
    <cellStyle name="Normal 2" xfId="462" xr:uid="{00000000-0005-0000-0000-0000EC050000}"/>
    <cellStyle name="Normal 2 2" xfId="8001" xr:uid="{F23CF9B1-D9BF-418D-851E-6AD63B11A961}"/>
    <cellStyle name="Normal 6" xfId="8002" xr:uid="{0D493991-12E0-4241-96FA-E5B05E0A2D07}"/>
    <cellStyle name="Notas" xfId="8003" xr:uid="{B1F1C039-4E9A-4EE9-AC58-2DD881696DBF}"/>
    <cellStyle name="Notas 2" xfId="8033" xr:uid="{6DEEF02C-C15E-41CF-8688-64669FF9A420}"/>
    <cellStyle name="Notas 3" xfId="8041" xr:uid="{C436B603-FA4C-4913-974A-3F0FDA522C1E}"/>
    <cellStyle name="Notas 4" xfId="8048" xr:uid="{95BF13E6-3731-446E-B6C5-061313621136}"/>
    <cellStyle name="Note" xfId="100" xr:uid="{00000000-0005-0000-0000-0000ED050000}"/>
    <cellStyle name="Note 10" xfId="1816" xr:uid="{00000000-0005-0000-0000-0000EE050000}"/>
    <cellStyle name="Note 10 2" xfId="5713" xr:uid="{00000000-0005-0000-0000-0000EF050000}"/>
    <cellStyle name="Note 10 3" xfId="9722" xr:uid="{648D3EED-4809-4E7F-82BF-6BB3BB3962E1}"/>
    <cellStyle name="Note 11" xfId="2880" xr:uid="{00000000-0005-0000-0000-0000F0050000}"/>
    <cellStyle name="Note 11 2" xfId="6774" xr:uid="{00000000-0005-0000-0000-0000F1050000}"/>
    <cellStyle name="Note 11 3" xfId="10783" xr:uid="{2F76B04A-E5FD-4231-96B3-35D26A71A9BD}"/>
    <cellStyle name="Note 12" xfId="4058" xr:uid="{00000000-0005-0000-0000-0000F2050000}"/>
    <cellStyle name="Note 13" xfId="8067" xr:uid="{1ADEAF2B-E9C2-465C-BAF2-E9C24395EF8F}"/>
    <cellStyle name="Note 14" xfId="11958" xr:uid="{9F76EB09-DDA2-4DD2-949B-81FA15B5A2C1}"/>
    <cellStyle name="Note 15" xfId="13394" xr:uid="{282FE587-EC43-4341-9615-6BDEEF84FF39}"/>
    <cellStyle name="Note 2" xfId="114" xr:uid="{00000000-0005-0000-0000-0000F3050000}"/>
    <cellStyle name="Note 2 10" xfId="2890" xr:uid="{00000000-0005-0000-0000-0000F4050000}"/>
    <cellStyle name="Note 2 10 2" xfId="6784" xr:uid="{00000000-0005-0000-0000-0000F5050000}"/>
    <cellStyle name="Note 2 10 3" xfId="10793" xr:uid="{29422BDF-84AD-456A-8CB4-88323D3CFAD4}"/>
    <cellStyle name="Note 2 11" xfId="4068" xr:uid="{00000000-0005-0000-0000-0000F6050000}"/>
    <cellStyle name="Note 2 12" xfId="8077" xr:uid="{532CEE89-F46F-48E8-A67F-E0032CAACF76}"/>
    <cellStyle name="Note 2 13" xfId="11968" xr:uid="{DF59C700-2EA8-4961-83D2-A74BF4D2BB40}"/>
    <cellStyle name="Note 2 14" xfId="13404" xr:uid="{10CEC72A-4408-4B16-9630-CACFE0391245}"/>
    <cellStyle name="Note 2 2" xfId="174" xr:uid="{00000000-0005-0000-0000-0000F7050000}"/>
    <cellStyle name="Note 2 2 10" xfId="4090" xr:uid="{00000000-0005-0000-0000-0000F8050000}"/>
    <cellStyle name="Note 2 2 11" xfId="8099" xr:uid="{7719F2A9-9480-4D99-B47B-38B078384A10}"/>
    <cellStyle name="Note 2 2 12" xfId="11990" xr:uid="{A6F176EC-5190-43A6-9C14-FD81BD4F5DC2}"/>
    <cellStyle name="Note 2 2 13" xfId="13426" xr:uid="{E12664F3-A2DE-4FD9-8401-6366A6ED0100}"/>
    <cellStyle name="Note 2 2 2" xfId="275" xr:uid="{00000000-0005-0000-0000-0000F9050000}"/>
    <cellStyle name="Note 2 2 2 10" xfId="12088" xr:uid="{E28A6610-9F73-4598-BC7E-D6043EFEA12F}"/>
    <cellStyle name="Note 2 2 2 11" xfId="13524" xr:uid="{4FC48691-EAA8-40D1-A465-E0E0C2E45475}"/>
    <cellStyle name="Note 2 2 2 2" xfId="431" xr:uid="{00000000-0005-0000-0000-0000FA050000}"/>
    <cellStyle name="Note 2 2 2 2 2" xfId="761" xr:uid="{00000000-0005-0000-0000-0000FB050000}"/>
    <cellStyle name="Note 2 2 2 2 2 2" xfId="920" xr:uid="{00000000-0005-0000-0000-0000FC050000}"/>
    <cellStyle name="Note 2 2 2 2 2 2 2" xfId="1822" xr:uid="{00000000-0005-0000-0000-0000FD050000}"/>
    <cellStyle name="Note 2 2 2 2 2 2 2 2" xfId="5719" xr:uid="{00000000-0005-0000-0000-0000FE050000}"/>
    <cellStyle name="Note 2 2 2 2 2 2 2 3" xfId="9728" xr:uid="{9BE98773-2913-4B3A-BDE9-586620769A8E}"/>
    <cellStyle name="Note 2 2 2 2 2 2 3" xfId="4039" xr:uid="{00000000-0005-0000-0000-0000FF050000}"/>
    <cellStyle name="Note 2 2 2 2 2 2 3 2" xfId="7933" xr:uid="{00000000-0005-0000-0000-000000060000}"/>
    <cellStyle name="Note 2 2 2 2 2 2 3 3" xfId="11942" xr:uid="{8523DF6E-C72A-45BB-969D-A5C77B14B64D}"/>
    <cellStyle name="Note 2 2 2 2 2 2 4" xfId="4821" xr:uid="{00000000-0005-0000-0000-000001060000}"/>
    <cellStyle name="Note 2 2 2 2 2 2 5" xfId="8830" xr:uid="{86CB5336-A665-4572-A460-BC940EED2800}"/>
    <cellStyle name="Note 2 2 2 2 2 2 6" xfId="12721" xr:uid="{CE539BF3-CE71-428E-9B6E-8D4BC22C9C75}"/>
    <cellStyle name="Note 2 2 2 2 2 3" xfId="1542" xr:uid="{00000000-0005-0000-0000-000002060000}"/>
    <cellStyle name="Note 2 2 2 2 2 3 2" xfId="5443" xr:uid="{00000000-0005-0000-0000-000003060000}"/>
    <cellStyle name="Note 2 2 2 2 2 3 3" xfId="9452" xr:uid="{DD0CC6D1-0EE4-461E-B421-1086529223FE}"/>
    <cellStyle name="Note 2 2 2 2 2 3 4" xfId="13343" xr:uid="{DF62EBBA-2973-4A8D-A213-995615ABB2D0}"/>
    <cellStyle name="Note 2 2 2 2 2 4" xfId="1821" xr:uid="{00000000-0005-0000-0000-000004060000}"/>
    <cellStyle name="Note 2 2 2 2 2 4 2" xfId="5718" xr:uid="{00000000-0005-0000-0000-000005060000}"/>
    <cellStyle name="Note 2 2 2 2 2 4 3" xfId="9727" xr:uid="{1038C28C-F70F-4D6A-ACCC-832AED77954D}"/>
    <cellStyle name="Note 2 2 2 2 2 5" xfId="3487" xr:uid="{00000000-0005-0000-0000-000006060000}"/>
    <cellStyle name="Note 2 2 2 2 2 5 2" xfId="7381" xr:uid="{00000000-0005-0000-0000-000007060000}"/>
    <cellStyle name="Note 2 2 2 2 2 5 3" xfId="11390" xr:uid="{117F44DD-DCEE-4E0A-90FB-8DB362982697}"/>
    <cellStyle name="Note 2 2 2 2 2 6" xfId="4665" xr:uid="{00000000-0005-0000-0000-000008060000}"/>
    <cellStyle name="Note 2 2 2 2 2 7" xfId="8674" xr:uid="{56E35C18-C998-4E6D-890E-7282D49E6C60}"/>
    <cellStyle name="Note 2 2 2 2 2 8" xfId="12565" xr:uid="{FF50FA3A-101E-45C6-BAEC-1DE6647819ED}"/>
    <cellStyle name="Note 2 2 2 2 3" xfId="854" xr:uid="{00000000-0005-0000-0000-000009060000}"/>
    <cellStyle name="Note 2 2 2 2 3 2" xfId="1823" xr:uid="{00000000-0005-0000-0000-00000A060000}"/>
    <cellStyle name="Note 2 2 2 2 3 2 2" xfId="5720" xr:uid="{00000000-0005-0000-0000-00000B060000}"/>
    <cellStyle name="Note 2 2 2 2 3 2 3" xfId="9729" xr:uid="{37759B87-3431-454B-B80D-406FEDC729B6}"/>
    <cellStyle name="Note 2 2 2 2 3 3" xfId="3973" xr:uid="{00000000-0005-0000-0000-00000C060000}"/>
    <cellStyle name="Note 2 2 2 2 3 3 2" xfId="7867" xr:uid="{00000000-0005-0000-0000-00000D060000}"/>
    <cellStyle name="Note 2 2 2 2 3 3 3" xfId="11876" xr:uid="{5AF4D8FF-A997-44F5-8F68-5BF9189F11A5}"/>
    <cellStyle name="Note 2 2 2 2 3 4" xfId="4755" xr:uid="{00000000-0005-0000-0000-00000E060000}"/>
    <cellStyle name="Note 2 2 2 2 3 5" xfId="8764" xr:uid="{D91FCDDA-7AF9-414E-89E4-0513902C7201}"/>
    <cellStyle name="Note 2 2 2 2 3 6" xfId="12655" xr:uid="{5B2B7380-E128-4CC4-A65C-003356FC13EE}"/>
    <cellStyle name="Note 2 2 2 2 4" xfId="1221" xr:uid="{00000000-0005-0000-0000-00000F060000}"/>
    <cellStyle name="Note 2 2 2 2 4 2" xfId="5122" xr:uid="{00000000-0005-0000-0000-000010060000}"/>
    <cellStyle name="Note 2 2 2 2 4 3" xfId="9131" xr:uid="{5F068064-AD34-4F3F-98A1-13A51A80616D}"/>
    <cellStyle name="Note 2 2 2 2 4 4" xfId="13022" xr:uid="{BC766521-7731-417C-B46D-FFB6AED505CA}"/>
    <cellStyle name="Note 2 2 2 2 5" xfId="1820" xr:uid="{00000000-0005-0000-0000-000011060000}"/>
    <cellStyle name="Note 2 2 2 2 5 2" xfId="5717" xr:uid="{00000000-0005-0000-0000-000012060000}"/>
    <cellStyle name="Note 2 2 2 2 5 3" xfId="9726" xr:uid="{781B7037-8E42-4757-B0C5-E08D15CCF1FF}"/>
    <cellStyle name="Note 2 2 2 2 6" xfId="3166" xr:uid="{00000000-0005-0000-0000-000013060000}"/>
    <cellStyle name="Note 2 2 2 2 6 2" xfId="7060" xr:uid="{00000000-0005-0000-0000-000014060000}"/>
    <cellStyle name="Note 2 2 2 2 6 3" xfId="11069" xr:uid="{060EBE66-AE45-4A42-A5FD-8C4D0DF2E019}"/>
    <cellStyle name="Note 2 2 2 2 7" xfId="4344" xr:uid="{00000000-0005-0000-0000-000015060000}"/>
    <cellStyle name="Note 2 2 2 2 8" xfId="8353" xr:uid="{0011A972-4373-47B4-B0DD-BB0CABACCB32}"/>
    <cellStyle name="Note 2 2 2 2 9" xfId="12244" xr:uid="{A8B8F8C7-C48B-4FE7-B4FA-59FE7CFA4E21}"/>
    <cellStyle name="Note 2 2 2 3" xfId="605" xr:uid="{00000000-0005-0000-0000-000016060000}"/>
    <cellStyle name="Note 2 2 2 3 2" xfId="887" xr:uid="{00000000-0005-0000-0000-000017060000}"/>
    <cellStyle name="Note 2 2 2 3 2 2" xfId="1825" xr:uid="{00000000-0005-0000-0000-000018060000}"/>
    <cellStyle name="Note 2 2 2 3 2 2 2" xfId="5722" xr:uid="{00000000-0005-0000-0000-000019060000}"/>
    <cellStyle name="Note 2 2 2 3 2 2 3" xfId="9731" xr:uid="{CB374719-F707-4907-927A-ED5AC9134502}"/>
    <cellStyle name="Note 2 2 2 3 2 3" xfId="4006" xr:uid="{00000000-0005-0000-0000-00001A060000}"/>
    <cellStyle name="Note 2 2 2 3 2 3 2" xfId="7900" xr:uid="{00000000-0005-0000-0000-00001B060000}"/>
    <cellStyle name="Note 2 2 2 3 2 3 3" xfId="11909" xr:uid="{5D5E18F0-32D2-485D-8AC1-3AFA273DE7FB}"/>
    <cellStyle name="Note 2 2 2 3 2 4" xfId="4788" xr:uid="{00000000-0005-0000-0000-00001C060000}"/>
    <cellStyle name="Note 2 2 2 3 2 5" xfId="8797" xr:uid="{0E78DEE9-6A93-46D6-8FA5-8208B84D386F}"/>
    <cellStyle name="Note 2 2 2 3 2 6" xfId="12688" xr:uid="{265228AE-56F0-46AD-B92E-7EDBB57EA7AD}"/>
    <cellStyle name="Note 2 2 2 3 3" xfId="1386" xr:uid="{00000000-0005-0000-0000-00001D060000}"/>
    <cellStyle name="Note 2 2 2 3 3 2" xfId="5287" xr:uid="{00000000-0005-0000-0000-00001E060000}"/>
    <cellStyle name="Note 2 2 2 3 3 3" xfId="9296" xr:uid="{2B1768D0-F233-4979-AF15-EA6908DEF8C5}"/>
    <cellStyle name="Note 2 2 2 3 3 4" xfId="13187" xr:uid="{9621646F-2BB6-4B39-B429-AF4247C33786}"/>
    <cellStyle name="Note 2 2 2 3 4" xfId="1824" xr:uid="{00000000-0005-0000-0000-00001F060000}"/>
    <cellStyle name="Note 2 2 2 3 4 2" xfId="5721" xr:uid="{00000000-0005-0000-0000-000020060000}"/>
    <cellStyle name="Note 2 2 2 3 4 3" xfId="9730" xr:uid="{C976530E-CCD1-4E80-A4A2-C1B65BB51520}"/>
    <cellStyle name="Note 2 2 2 3 5" xfId="3331" xr:uid="{00000000-0005-0000-0000-000021060000}"/>
    <cellStyle name="Note 2 2 2 3 5 2" xfId="7225" xr:uid="{00000000-0005-0000-0000-000022060000}"/>
    <cellStyle name="Note 2 2 2 3 5 3" xfId="11234" xr:uid="{256B579B-D97E-4813-A411-894805ACADA4}"/>
    <cellStyle name="Note 2 2 2 3 6" xfId="4509" xr:uid="{00000000-0005-0000-0000-000023060000}"/>
    <cellStyle name="Note 2 2 2 3 7" xfId="8518" xr:uid="{F670B943-13D5-4A26-B91A-EF7DC5A77871}"/>
    <cellStyle name="Note 2 2 2 3 8" xfId="12409" xr:uid="{DB9DD24E-4764-494B-BE29-FF3238B52582}"/>
    <cellStyle name="Note 2 2 2 4" xfId="821" xr:uid="{00000000-0005-0000-0000-000024060000}"/>
    <cellStyle name="Note 2 2 2 4 2" xfId="1826" xr:uid="{00000000-0005-0000-0000-000025060000}"/>
    <cellStyle name="Note 2 2 2 4 2 2" xfId="5723" xr:uid="{00000000-0005-0000-0000-000026060000}"/>
    <cellStyle name="Note 2 2 2 4 2 3" xfId="9732" xr:uid="{211FAB59-18F4-4BBB-AAA0-4FE0BA1399B7}"/>
    <cellStyle name="Note 2 2 2 4 3" xfId="3940" xr:uid="{00000000-0005-0000-0000-000027060000}"/>
    <cellStyle name="Note 2 2 2 4 3 2" xfId="7834" xr:uid="{00000000-0005-0000-0000-000028060000}"/>
    <cellStyle name="Note 2 2 2 4 3 3" xfId="11843" xr:uid="{FC69F58C-C621-41BF-B920-F21FD7FEC26F}"/>
    <cellStyle name="Note 2 2 2 4 4" xfId="4722" xr:uid="{00000000-0005-0000-0000-000029060000}"/>
    <cellStyle name="Note 2 2 2 4 5" xfId="8731" xr:uid="{C0AE5FE6-2DAE-43BE-A840-6573A919A35A}"/>
    <cellStyle name="Note 2 2 2 4 6" xfId="12622" xr:uid="{1FEC8611-13DE-4742-8319-E983FBDAC159}"/>
    <cellStyle name="Note 2 2 2 5" xfId="1065" xr:uid="{00000000-0005-0000-0000-00002A060000}"/>
    <cellStyle name="Note 2 2 2 5 2" xfId="4966" xr:uid="{00000000-0005-0000-0000-00002B060000}"/>
    <cellStyle name="Note 2 2 2 5 3" xfId="8975" xr:uid="{BBDD076D-9C10-4627-B1E8-459B1E27EA94}"/>
    <cellStyle name="Note 2 2 2 5 4" xfId="12866" xr:uid="{C7A2B318-9DE1-40E9-91B9-EE475542E18D}"/>
    <cellStyle name="Note 2 2 2 6" xfId="1819" xr:uid="{00000000-0005-0000-0000-00002C060000}"/>
    <cellStyle name="Note 2 2 2 6 2" xfId="5716" xr:uid="{00000000-0005-0000-0000-00002D060000}"/>
    <cellStyle name="Note 2 2 2 6 3" xfId="9725" xr:uid="{0599351B-E784-454E-AE12-F9D4C58BCBDA}"/>
    <cellStyle name="Note 2 2 2 7" xfId="3010" xr:uid="{00000000-0005-0000-0000-00002E060000}"/>
    <cellStyle name="Note 2 2 2 7 2" xfId="6904" xr:uid="{00000000-0005-0000-0000-00002F060000}"/>
    <cellStyle name="Note 2 2 2 7 3" xfId="10913" xr:uid="{D33A1D50-55E9-4ABF-B015-9FB81F69863A}"/>
    <cellStyle name="Note 2 2 2 8" xfId="4188" xr:uid="{00000000-0005-0000-0000-000030060000}"/>
    <cellStyle name="Note 2 2 2 9" xfId="8197" xr:uid="{7E627888-03A8-4CD4-961C-9D555436F5AC}"/>
    <cellStyle name="Note 2 2 3" xfId="224" xr:uid="{00000000-0005-0000-0000-000031060000}"/>
    <cellStyle name="Note 2 2 3 10" xfId="12037" xr:uid="{69DE18A5-162B-4E99-A8CC-D2AFD18AD46B}"/>
    <cellStyle name="Note 2 2 3 11" xfId="13473" xr:uid="{C79C4683-01A4-4BB9-88C6-BB01CF6F5053}"/>
    <cellStyle name="Note 2 2 3 2" xfId="385" xr:uid="{00000000-0005-0000-0000-000032060000}"/>
    <cellStyle name="Note 2 2 3 2 2" xfId="715" xr:uid="{00000000-0005-0000-0000-000033060000}"/>
    <cellStyle name="Note 2 2 3 2 2 2" xfId="909" xr:uid="{00000000-0005-0000-0000-000034060000}"/>
    <cellStyle name="Note 2 2 3 2 2 2 2" xfId="1830" xr:uid="{00000000-0005-0000-0000-000035060000}"/>
    <cellStyle name="Note 2 2 3 2 2 2 2 2" xfId="5727" xr:uid="{00000000-0005-0000-0000-000036060000}"/>
    <cellStyle name="Note 2 2 3 2 2 2 2 3" xfId="9736" xr:uid="{630AE409-BC77-45DE-9398-0384CCA178D8}"/>
    <cellStyle name="Note 2 2 3 2 2 2 3" xfId="4028" xr:uid="{00000000-0005-0000-0000-000037060000}"/>
    <cellStyle name="Note 2 2 3 2 2 2 3 2" xfId="7922" xr:uid="{00000000-0005-0000-0000-000038060000}"/>
    <cellStyle name="Note 2 2 3 2 2 2 3 3" xfId="11931" xr:uid="{E01A7295-617E-426A-993C-FC9E3F14F69B}"/>
    <cellStyle name="Note 2 2 3 2 2 2 4" xfId="4810" xr:uid="{00000000-0005-0000-0000-000039060000}"/>
    <cellStyle name="Note 2 2 3 2 2 2 5" xfId="8819" xr:uid="{2AD9FCBD-14D2-4F47-AAD7-00B2952F42A6}"/>
    <cellStyle name="Note 2 2 3 2 2 2 6" xfId="12710" xr:uid="{B0D0F480-C8A9-47D9-B65D-57D6DB0EDE42}"/>
    <cellStyle name="Note 2 2 3 2 2 3" xfId="1496" xr:uid="{00000000-0005-0000-0000-00003A060000}"/>
    <cellStyle name="Note 2 2 3 2 2 3 2" xfId="5397" xr:uid="{00000000-0005-0000-0000-00003B060000}"/>
    <cellStyle name="Note 2 2 3 2 2 3 3" xfId="9406" xr:uid="{BCA98D9E-1C01-4A65-91CB-4D406CE1DF00}"/>
    <cellStyle name="Note 2 2 3 2 2 3 4" xfId="13297" xr:uid="{60BE0DF8-EA27-4769-85AF-B7F36E722006}"/>
    <cellStyle name="Note 2 2 3 2 2 4" xfId="1829" xr:uid="{00000000-0005-0000-0000-00003C060000}"/>
    <cellStyle name="Note 2 2 3 2 2 4 2" xfId="5726" xr:uid="{00000000-0005-0000-0000-00003D060000}"/>
    <cellStyle name="Note 2 2 3 2 2 4 3" xfId="9735" xr:uid="{6FBDBCF2-EE5C-43D2-AF25-9F9920908B3C}"/>
    <cellStyle name="Note 2 2 3 2 2 5" xfId="3441" xr:uid="{00000000-0005-0000-0000-00003E060000}"/>
    <cellStyle name="Note 2 2 3 2 2 5 2" xfId="7335" xr:uid="{00000000-0005-0000-0000-00003F060000}"/>
    <cellStyle name="Note 2 2 3 2 2 5 3" xfId="11344" xr:uid="{FB01D9B7-374E-4025-B640-AD7A2541A664}"/>
    <cellStyle name="Note 2 2 3 2 2 6" xfId="4619" xr:uid="{00000000-0005-0000-0000-000040060000}"/>
    <cellStyle name="Note 2 2 3 2 2 7" xfId="8628" xr:uid="{F1863067-8C8B-4C32-A82F-7AD4F6A59504}"/>
    <cellStyle name="Note 2 2 3 2 2 8" xfId="12519" xr:uid="{DC5DD741-6FDE-4B5C-8318-AA3154C7B25C}"/>
    <cellStyle name="Note 2 2 3 2 3" xfId="843" xr:uid="{00000000-0005-0000-0000-000041060000}"/>
    <cellStyle name="Note 2 2 3 2 3 2" xfId="1831" xr:uid="{00000000-0005-0000-0000-000042060000}"/>
    <cellStyle name="Note 2 2 3 2 3 2 2" xfId="5728" xr:uid="{00000000-0005-0000-0000-000043060000}"/>
    <cellStyle name="Note 2 2 3 2 3 2 3" xfId="9737" xr:uid="{BB1DCFB3-08F4-4CBC-B1EC-A0FDB0857FF3}"/>
    <cellStyle name="Note 2 2 3 2 3 3" xfId="3962" xr:uid="{00000000-0005-0000-0000-000044060000}"/>
    <cellStyle name="Note 2 2 3 2 3 3 2" xfId="7856" xr:uid="{00000000-0005-0000-0000-000045060000}"/>
    <cellStyle name="Note 2 2 3 2 3 3 3" xfId="11865" xr:uid="{B12F5A78-0587-4810-A3F9-4768E7EE6DC3}"/>
    <cellStyle name="Note 2 2 3 2 3 4" xfId="4744" xr:uid="{00000000-0005-0000-0000-000046060000}"/>
    <cellStyle name="Note 2 2 3 2 3 5" xfId="8753" xr:uid="{7930357C-B1E9-4015-BE3A-8AA309C82C9E}"/>
    <cellStyle name="Note 2 2 3 2 3 6" xfId="12644" xr:uid="{8F9200CF-FAC6-46F1-933F-0563E5641648}"/>
    <cellStyle name="Note 2 2 3 2 4" xfId="1175" xr:uid="{00000000-0005-0000-0000-000047060000}"/>
    <cellStyle name="Note 2 2 3 2 4 2" xfId="5076" xr:uid="{00000000-0005-0000-0000-000048060000}"/>
    <cellStyle name="Note 2 2 3 2 4 3" xfId="9085" xr:uid="{BBFCD3EB-6F44-44A5-8A25-BB9FF837F560}"/>
    <cellStyle name="Note 2 2 3 2 4 4" xfId="12976" xr:uid="{A2115AED-0030-4B56-B1A7-DC32F34D71B5}"/>
    <cellStyle name="Note 2 2 3 2 5" xfId="1828" xr:uid="{00000000-0005-0000-0000-000049060000}"/>
    <cellStyle name="Note 2 2 3 2 5 2" xfId="5725" xr:uid="{00000000-0005-0000-0000-00004A060000}"/>
    <cellStyle name="Note 2 2 3 2 5 3" xfId="9734" xr:uid="{BF5DCC5E-DDBD-4523-935A-2ECDE2C7D1C0}"/>
    <cellStyle name="Note 2 2 3 2 6" xfId="3120" xr:uid="{00000000-0005-0000-0000-00004B060000}"/>
    <cellStyle name="Note 2 2 3 2 6 2" xfId="7014" xr:uid="{00000000-0005-0000-0000-00004C060000}"/>
    <cellStyle name="Note 2 2 3 2 6 3" xfId="11023" xr:uid="{DD78202D-A64E-4591-8822-DAD145C2EF19}"/>
    <cellStyle name="Note 2 2 3 2 7" xfId="4298" xr:uid="{00000000-0005-0000-0000-00004D060000}"/>
    <cellStyle name="Note 2 2 3 2 8" xfId="8307" xr:uid="{606C9569-D7DD-4B2B-918D-28ACD0BF6791}"/>
    <cellStyle name="Note 2 2 3 2 9" xfId="12198" xr:uid="{42D2805B-0195-410E-93BB-2D7564CF3F46}"/>
    <cellStyle name="Note 2 2 3 3" xfId="554" xr:uid="{00000000-0005-0000-0000-00004E060000}"/>
    <cellStyle name="Note 2 2 3 3 2" xfId="876" xr:uid="{00000000-0005-0000-0000-00004F060000}"/>
    <cellStyle name="Note 2 2 3 3 2 2" xfId="1833" xr:uid="{00000000-0005-0000-0000-000050060000}"/>
    <cellStyle name="Note 2 2 3 3 2 2 2" xfId="5730" xr:uid="{00000000-0005-0000-0000-000051060000}"/>
    <cellStyle name="Note 2 2 3 3 2 2 3" xfId="9739" xr:uid="{BDFFFD81-347C-40B7-BDB3-B197515198F8}"/>
    <cellStyle name="Note 2 2 3 3 2 3" xfId="3995" xr:uid="{00000000-0005-0000-0000-000052060000}"/>
    <cellStyle name="Note 2 2 3 3 2 3 2" xfId="7889" xr:uid="{00000000-0005-0000-0000-000053060000}"/>
    <cellStyle name="Note 2 2 3 3 2 3 3" xfId="11898" xr:uid="{CD1F9AAC-2A37-489F-A383-59F160F23F76}"/>
    <cellStyle name="Note 2 2 3 3 2 4" xfId="4777" xr:uid="{00000000-0005-0000-0000-000054060000}"/>
    <cellStyle name="Note 2 2 3 3 2 5" xfId="8786" xr:uid="{04BF301C-AB7B-4C26-90D1-278FA5FD6B17}"/>
    <cellStyle name="Note 2 2 3 3 2 6" xfId="12677" xr:uid="{6DF0428A-14AD-4B53-A08D-02E01EB8A40C}"/>
    <cellStyle name="Note 2 2 3 3 3" xfId="1335" xr:uid="{00000000-0005-0000-0000-000055060000}"/>
    <cellStyle name="Note 2 2 3 3 3 2" xfId="5236" xr:uid="{00000000-0005-0000-0000-000056060000}"/>
    <cellStyle name="Note 2 2 3 3 3 3" xfId="9245" xr:uid="{049C4A96-E5C1-44B2-8B09-6E238B34661E}"/>
    <cellStyle name="Note 2 2 3 3 3 4" xfId="13136" xr:uid="{F45325DE-BBEC-421F-A2A1-057701CF0F10}"/>
    <cellStyle name="Note 2 2 3 3 4" xfId="1832" xr:uid="{00000000-0005-0000-0000-000057060000}"/>
    <cellStyle name="Note 2 2 3 3 4 2" xfId="5729" xr:uid="{00000000-0005-0000-0000-000058060000}"/>
    <cellStyle name="Note 2 2 3 3 4 3" xfId="9738" xr:uid="{8DD4BCA6-E148-4C8E-9DDD-F5AEA7885FF7}"/>
    <cellStyle name="Note 2 2 3 3 5" xfId="3280" xr:uid="{00000000-0005-0000-0000-000059060000}"/>
    <cellStyle name="Note 2 2 3 3 5 2" xfId="7174" xr:uid="{00000000-0005-0000-0000-00005A060000}"/>
    <cellStyle name="Note 2 2 3 3 5 3" xfId="11183" xr:uid="{4B1922D4-67A1-4BC3-B292-138FC3CF23D4}"/>
    <cellStyle name="Note 2 2 3 3 6" xfId="4458" xr:uid="{00000000-0005-0000-0000-00005B060000}"/>
    <cellStyle name="Note 2 2 3 3 7" xfId="8467" xr:uid="{CB492F18-010D-49BB-94EB-BEA82BA09159}"/>
    <cellStyle name="Note 2 2 3 3 8" xfId="12358" xr:uid="{47CEDA63-C74C-49B9-A002-14A378F02CA3}"/>
    <cellStyle name="Note 2 2 3 4" xfId="810" xr:uid="{00000000-0005-0000-0000-00005C060000}"/>
    <cellStyle name="Note 2 2 3 4 2" xfId="1834" xr:uid="{00000000-0005-0000-0000-00005D060000}"/>
    <cellStyle name="Note 2 2 3 4 2 2" xfId="5731" xr:uid="{00000000-0005-0000-0000-00005E060000}"/>
    <cellStyle name="Note 2 2 3 4 2 3" xfId="9740" xr:uid="{C9051AFF-433A-44E0-B0CD-D1DEA7A966B9}"/>
    <cellStyle name="Note 2 2 3 4 3" xfId="3929" xr:uid="{00000000-0005-0000-0000-00005F060000}"/>
    <cellStyle name="Note 2 2 3 4 3 2" xfId="7823" xr:uid="{00000000-0005-0000-0000-000060060000}"/>
    <cellStyle name="Note 2 2 3 4 3 3" xfId="11832" xr:uid="{1E63E8E9-A2F4-402E-ADC6-27A3BE450F0A}"/>
    <cellStyle name="Note 2 2 3 4 4" xfId="4711" xr:uid="{00000000-0005-0000-0000-000061060000}"/>
    <cellStyle name="Note 2 2 3 4 5" xfId="8720" xr:uid="{F3EA2146-CC8F-4888-B4F4-A7C14BF4C426}"/>
    <cellStyle name="Note 2 2 3 4 6" xfId="12611" xr:uid="{BA81F013-AC50-4B43-B3F7-E73F74497E40}"/>
    <cellStyle name="Note 2 2 3 5" xfId="1014" xr:uid="{00000000-0005-0000-0000-000062060000}"/>
    <cellStyle name="Note 2 2 3 5 2" xfId="4915" xr:uid="{00000000-0005-0000-0000-000063060000}"/>
    <cellStyle name="Note 2 2 3 5 3" xfId="8924" xr:uid="{8194431E-AC1C-48FC-A199-989A801EDA36}"/>
    <cellStyle name="Note 2 2 3 5 4" xfId="12815" xr:uid="{D22F490C-4646-4814-BBC7-3132D292E854}"/>
    <cellStyle name="Note 2 2 3 6" xfId="1827" xr:uid="{00000000-0005-0000-0000-000064060000}"/>
    <cellStyle name="Note 2 2 3 6 2" xfId="5724" xr:uid="{00000000-0005-0000-0000-000065060000}"/>
    <cellStyle name="Note 2 2 3 6 3" xfId="9733" xr:uid="{807D163F-75FD-447D-8157-0273716C0046}"/>
    <cellStyle name="Note 2 2 3 7" xfId="2959" xr:uid="{00000000-0005-0000-0000-000066060000}"/>
    <cellStyle name="Note 2 2 3 7 2" xfId="6853" xr:uid="{00000000-0005-0000-0000-000067060000}"/>
    <cellStyle name="Note 2 2 3 7 3" xfId="10862" xr:uid="{CC271438-73C1-48CD-8B2A-6840D69FFE7F}"/>
    <cellStyle name="Note 2 2 3 8" xfId="4137" xr:uid="{00000000-0005-0000-0000-000068060000}"/>
    <cellStyle name="Note 2 2 3 9" xfId="8146" xr:uid="{74F5987A-AFF9-4B1E-8FDF-473E8C36949F}"/>
    <cellStyle name="Note 2 2 4" xfId="342" xr:uid="{00000000-0005-0000-0000-000069060000}"/>
    <cellStyle name="Note 2 2 4 2" xfId="672" xr:uid="{00000000-0005-0000-0000-00006A060000}"/>
    <cellStyle name="Note 2 2 4 2 2" xfId="901" xr:uid="{00000000-0005-0000-0000-00006B060000}"/>
    <cellStyle name="Note 2 2 4 2 2 2" xfId="1837" xr:uid="{00000000-0005-0000-0000-00006C060000}"/>
    <cellStyle name="Note 2 2 4 2 2 2 2" xfId="5734" xr:uid="{00000000-0005-0000-0000-00006D060000}"/>
    <cellStyle name="Note 2 2 4 2 2 2 3" xfId="9743" xr:uid="{DBCD6F1C-AC0E-47D4-A9C0-AA0D665AFEB4}"/>
    <cellStyle name="Note 2 2 4 2 2 3" xfId="4020" xr:uid="{00000000-0005-0000-0000-00006E060000}"/>
    <cellStyle name="Note 2 2 4 2 2 3 2" xfId="7914" xr:uid="{00000000-0005-0000-0000-00006F060000}"/>
    <cellStyle name="Note 2 2 4 2 2 3 3" xfId="11923" xr:uid="{F7841199-409B-43A1-B904-86FB40583A63}"/>
    <cellStyle name="Note 2 2 4 2 2 4" xfId="4802" xr:uid="{00000000-0005-0000-0000-000070060000}"/>
    <cellStyle name="Note 2 2 4 2 2 5" xfId="8811" xr:uid="{5030B3CA-0CB3-4586-B928-FB2301CBB84F}"/>
    <cellStyle name="Note 2 2 4 2 2 6" xfId="12702" xr:uid="{EEA56AAB-413C-43D6-BEDF-72115ED4958A}"/>
    <cellStyle name="Note 2 2 4 2 3" xfId="1453" xr:uid="{00000000-0005-0000-0000-000071060000}"/>
    <cellStyle name="Note 2 2 4 2 3 2" xfId="5354" xr:uid="{00000000-0005-0000-0000-000072060000}"/>
    <cellStyle name="Note 2 2 4 2 3 3" xfId="9363" xr:uid="{5BEE43BD-A782-4124-A5FD-03D9E564F259}"/>
    <cellStyle name="Note 2 2 4 2 3 4" xfId="13254" xr:uid="{ABAC3CAE-F65B-4507-B824-BAB81A110D11}"/>
    <cellStyle name="Note 2 2 4 2 4" xfId="1836" xr:uid="{00000000-0005-0000-0000-000073060000}"/>
    <cellStyle name="Note 2 2 4 2 4 2" xfId="5733" xr:uid="{00000000-0005-0000-0000-000074060000}"/>
    <cellStyle name="Note 2 2 4 2 4 3" xfId="9742" xr:uid="{C52EF17C-8777-4096-B0C2-E89888D37BFC}"/>
    <cellStyle name="Note 2 2 4 2 5" xfId="3398" xr:uid="{00000000-0005-0000-0000-000075060000}"/>
    <cellStyle name="Note 2 2 4 2 5 2" xfId="7292" xr:uid="{00000000-0005-0000-0000-000076060000}"/>
    <cellStyle name="Note 2 2 4 2 5 3" xfId="11301" xr:uid="{0DA72067-4A1E-45FD-B30C-FA29C8D71132}"/>
    <cellStyle name="Note 2 2 4 2 6" xfId="4576" xr:uid="{00000000-0005-0000-0000-000077060000}"/>
    <cellStyle name="Note 2 2 4 2 7" xfId="8585" xr:uid="{E6C28854-D8EF-47AE-9000-BF26654C96DB}"/>
    <cellStyle name="Note 2 2 4 2 8" xfId="12476" xr:uid="{6C316E38-8E2B-45C1-BD93-FCFA29A721FA}"/>
    <cellStyle name="Note 2 2 4 3" xfId="835" xr:uid="{00000000-0005-0000-0000-000078060000}"/>
    <cellStyle name="Note 2 2 4 3 2" xfId="1838" xr:uid="{00000000-0005-0000-0000-000079060000}"/>
    <cellStyle name="Note 2 2 4 3 2 2" xfId="5735" xr:uid="{00000000-0005-0000-0000-00007A060000}"/>
    <cellStyle name="Note 2 2 4 3 2 3" xfId="9744" xr:uid="{DD6F086E-46E6-4BCE-9DEE-6ECBB35A82A7}"/>
    <cellStyle name="Note 2 2 4 3 3" xfId="3954" xr:uid="{00000000-0005-0000-0000-00007B060000}"/>
    <cellStyle name="Note 2 2 4 3 3 2" xfId="7848" xr:uid="{00000000-0005-0000-0000-00007C060000}"/>
    <cellStyle name="Note 2 2 4 3 3 3" xfId="11857" xr:uid="{622DA0BD-05CF-4527-9958-8FE5C4611645}"/>
    <cellStyle name="Note 2 2 4 3 4" xfId="4736" xr:uid="{00000000-0005-0000-0000-00007D060000}"/>
    <cellStyle name="Note 2 2 4 3 5" xfId="8745" xr:uid="{3F8CA482-8077-454A-85EB-A8F7A0DC8433}"/>
    <cellStyle name="Note 2 2 4 3 6" xfId="12636" xr:uid="{8A645490-F912-4CE7-844F-442FFCC66E8E}"/>
    <cellStyle name="Note 2 2 4 4" xfId="1132" xr:uid="{00000000-0005-0000-0000-00007E060000}"/>
    <cellStyle name="Note 2 2 4 4 2" xfId="5033" xr:uid="{00000000-0005-0000-0000-00007F060000}"/>
    <cellStyle name="Note 2 2 4 4 3" xfId="9042" xr:uid="{0A8C5C86-A9CE-4ABE-8CEC-F6BDF0FD9B43}"/>
    <cellStyle name="Note 2 2 4 4 4" xfId="12933" xr:uid="{E25720FF-76D4-4C0B-BEBB-F0B8D6739ADF}"/>
    <cellStyle name="Note 2 2 4 5" xfId="1835" xr:uid="{00000000-0005-0000-0000-000080060000}"/>
    <cellStyle name="Note 2 2 4 5 2" xfId="5732" xr:uid="{00000000-0005-0000-0000-000081060000}"/>
    <cellStyle name="Note 2 2 4 5 3" xfId="9741" xr:uid="{3BB6F524-2B92-49E7-B65D-CDD599A2F467}"/>
    <cellStyle name="Note 2 2 4 6" xfId="3077" xr:uid="{00000000-0005-0000-0000-000082060000}"/>
    <cellStyle name="Note 2 2 4 6 2" xfId="6971" xr:uid="{00000000-0005-0000-0000-000083060000}"/>
    <cellStyle name="Note 2 2 4 6 3" xfId="10980" xr:uid="{1346AE84-4B94-4E26-B6B9-634604F613DC}"/>
    <cellStyle name="Note 2 2 4 7" xfId="4255" xr:uid="{00000000-0005-0000-0000-000084060000}"/>
    <cellStyle name="Note 2 2 4 8" xfId="8264" xr:uid="{F69BB946-1019-4076-8042-BB8C53FB2E47}"/>
    <cellStyle name="Note 2 2 4 9" xfId="12155" xr:uid="{F5D3515A-E71A-431B-B58E-9EC6BDD99229}"/>
    <cellStyle name="Note 2 2 5" xfId="507" xr:uid="{00000000-0005-0000-0000-000085060000}"/>
    <cellStyle name="Note 2 2 5 2" xfId="868" xr:uid="{00000000-0005-0000-0000-000086060000}"/>
    <cellStyle name="Note 2 2 5 2 2" xfId="1840" xr:uid="{00000000-0005-0000-0000-000087060000}"/>
    <cellStyle name="Note 2 2 5 2 2 2" xfId="5737" xr:uid="{00000000-0005-0000-0000-000088060000}"/>
    <cellStyle name="Note 2 2 5 2 2 3" xfId="9746" xr:uid="{788D450D-E1C1-4A82-BBCD-24CF54E0BB35}"/>
    <cellStyle name="Note 2 2 5 2 3" xfId="3987" xr:uid="{00000000-0005-0000-0000-000089060000}"/>
    <cellStyle name="Note 2 2 5 2 3 2" xfId="7881" xr:uid="{00000000-0005-0000-0000-00008A060000}"/>
    <cellStyle name="Note 2 2 5 2 3 3" xfId="11890" xr:uid="{6589EA07-B639-4007-8057-13262D0CDF42}"/>
    <cellStyle name="Note 2 2 5 2 4" xfId="4769" xr:uid="{00000000-0005-0000-0000-00008B060000}"/>
    <cellStyle name="Note 2 2 5 2 5" xfId="8778" xr:uid="{BA7F5F18-BFDB-455C-83AE-F2158DC09EFC}"/>
    <cellStyle name="Note 2 2 5 2 6" xfId="12669" xr:uid="{83C0985A-F0D8-4C42-B402-0CDFEECF32CB}"/>
    <cellStyle name="Note 2 2 5 3" xfId="1288" xr:uid="{00000000-0005-0000-0000-00008C060000}"/>
    <cellStyle name="Note 2 2 5 3 2" xfId="5189" xr:uid="{00000000-0005-0000-0000-00008D060000}"/>
    <cellStyle name="Note 2 2 5 3 3" xfId="9198" xr:uid="{EF403C76-AC32-4939-8FA4-E6540F42ED60}"/>
    <cellStyle name="Note 2 2 5 3 4" xfId="13089" xr:uid="{9058B5A8-FA9E-435D-8C10-9B2CABF80D60}"/>
    <cellStyle name="Note 2 2 5 4" xfId="1839" xr:uid="{00000000-0005-0000-0000-00008E060000}"/>
    <cellStyle name="Note 2 2 5 4 2" xfId="5736" xr:uid="{00000000-0005-0000-0000-00008F060000}"/>
    <cellStyle name="Note 2 2 5 4 3" xfId="9745" xr:uid="{4D2C775B-EC86-4035-9C99-2818D4BCC914}"/>
    <cellStyle name="Note 2 2 5 5" xfId="3233" xr:uid="{00000000-0005-0000-0000-000090060000}"/>
    <cellStyle name="Note 2 2 5 5 2" xfId="7127" xr:uid="{00000000-0005-0000-0000-000091060000}"/>
    <cellStyle name="Note 2 2 5 5 3" xfId="11136" xr:uid="{6B68A266-EABE-4E27-8E45-0E06A25A1C01}"/>
    <cellStyle name="Note 2 2 5 6" xfId="4411" xr:uid="{00000000-0005-0000-0000-000092060000}"/>
    <cellStyle name="Note 2 2 5 7" xfId="8420" xr:uid="{0E0F9799-AF86-49E3-87A9-FC569E8C150B}"/>
    <cellStyle name="Note 2 2 5 8" xfId="12311" xr:uid="{5C97672D-D2D7-4295-97D2-9AFD89862702}"/>
    <cellStyle name="Note 2 2 6" xfId="802" xr:uid="{00000000-0005-0000-0000-000093060000}"/>
    <cellStyle name="Note 2 2 6 2" xfId="1841" xr:uid="{00000000-0005-0000-0000-000094060000}"/>
    <cellStyle name="Note 2 2 6 2 2" xfId="5738" xr:uid="{00000000-0005-0000-0000-000095060000}"/>
    <cellStyle name="Note 2 2 6 2 3" xfId="9747" xr:uid="{63B7F13C-0FB5-46EB-A438-0DDA4D140F33}"/>
    <cellStyle name="Note 2 2 6 3" xfId="3921" xr:uid="{00000000-0005-0000-0000-000096060000}"/>
    <cellStyle name="Note 2 2 6 3 2" xfId="7815" xr:uid="{00000000-0005-0000-0000-000097060000}"/>
    <cellStyle name="Note 2 2 6 3 3" xfId="11824" xr:uid="{3C6772B2-9395-4EA6-B0F6-0FD8595FBDF2}"/>
    <cellStyle name="Note 2 2 6 4" xfId="4703" xr:uid="{00000000-0005-0000-0000-000098060000}"/>
    <cellStyle name="Note 2 2 6 5" xfId="8712" xr:uid="{1B25944C-7037-4E36-8B89-59AD60E514FE}"/>
    <cellStyle name="Note 2 2 6 6" xfId="12603" xr:uid="{0310D15B-F2A1-4101-AD0B-911F43A5EFE6}"/>
    <cellStyle name="Note 2 2 7" xfId="967" xr:uid="{00000000-0005-0000-0000-000099060000}"/>
    <cellStyle name="Note 2 2 7 2" xfId="4868" xr:uid="{00000000-0005-0000-0000-00009A060000}"/>
    <cellStyle name="Note 2 2 7 3" xfId="8877" xr:uid="{93F9044D-045C-47B2-AED3-C967CC2DC615}"/>
    <cellStyle name="Note 2 2 7 4" xfId="12768" xr:uid="{187F2C22-FE99-42C8-BECE-01054F11CEF8}"/>
    <cellStyle name="Note 2 2 8" xfId="1818" xr:uid="{00000000-0005-0000-0000-00009B060000}"/>
    <cellStyle name="Note 2 2 8 2" xfId="5715" xr:uid="{00000000-0005-0000-0000-00009C060000}"/>
    <cellStyle name="Note 2 2 8 3" xfId="9724" xr:uid="{C9E3FFD6-0ED7-4AC5-9DB9-C29971D3EB20}"/>
    <cellStyle name="Note 2 2 9" xfId="2912" xr:uid="{00000000-0005-0000-0000-00009D060000}"/>
    <cellStyle name="Note 2 2 9 2" xfId="6806" xr:uid="{00000000-0005-0000-0000-00009E060000}"/>
    <cellStyle name="Note 2 2 9 3" xfId="10815" xr:uid="{0D558478-B93D-4AE0-B992-AC94E4F3ED6B}"/>
    <cellStyle name="Note 2 3" xfId="240" xr:uid="{00000000-0005-0000-0000-00009F060000}"/>
    <cellStyle name="Note 2 3 10" xfId="12053" xr:uid="{01B1DD7C-740B-4990-B41B-2471D01AF8EE}"/>
    <cellStyle name="Note 2 3 11" xfId="13489" xr:uid="{0704647C-FF48-4D9B-A651-44E72A1C247D}"/>
    <cellStyle name="Note 2 3 2" xfId="399" xr:uid="{00000000-0005-0000-0000-0000A0060000}"/>
    <cellStyle name="Note 2 3 2 2" xfId="729" xr:uid="{00000000-0005-0000-0000-0000A1060000}"/>
    <cellStyle name="Note 2 3 2 2 2" xfId="913" xr:uid="{00000000-0005-0000-0000-0000A2060000}"/>
    <cellStyle name="Note 2 3 2 2 2 2" xfId="1845" xr:uid="{00000000-0005-0000-0000-0000A3060000}"/>
    <cellStyle name="Note 2 3 2 2 2 2 2" xfId="5742" xr:uid="{00000000-0005-0000-0000-0000A4060000}"/>
    <cellStyle name="Note 2 3 2 2 2 2 3" xfId="9751" xr:uid="{D85CC001-7A0C-47E0-AB5A-AE1F76607D7D}"/>
    <cellStyle name="Note 2 3 2 2 2 3" xfId="4032" xr:uid="{00000000-0005-0000-0000-0000A5060000}"/>
    <cellStyle name="Note 2 3 2 2 2 3 2" xfId="7926" xr:uid="{00000000-0005-0000-0000-0000A6060000}"/>
    <cellStyle name="Note 2 3 2 2 2 3 3" xfId="11935" xr:uid="{E3DD5E01-5050-43CD-93AC-671F15A72273}"/>
    <cellStyle name="Note 2 3 2 2 2 4" xfId="4814" xr:uid="{00000000-0005-0000-0000-0000A7060000}"/>
    <cellStyle name="Note 2 3 2 2 2 5" xfId="8823" xr:uid="{F54A3E85-30BF-4565-9AE8-7FDBE433BD1E}"/>
    <cellStyle name="Note 2 3 2 2 2 6" xfId="12714" xr:uid="{351040A3-FFB6-4A28-9B68-C20715D0EE7B}"/>
    <cellStyle name="Note 2 3 2 2 3" xfId="1510" xr:uid="{00000000-0005-0000-0000-0000A8060000}"/>
    <cellStyle name="Note 2 3 2 2 3 2" xfId="5411" xr:uid="{00000000-0005-0000-0000-0000A9060000}"/>
    <cellStyle name="Note 2 3 2 2 3 3" xfId="9420" xr:uid="{0A41DCB4-590A-4EF8-85A2-CCB36B1D0556}"/>
    <cellStyle name="Note 2 3 2 2 3 4" xfId="13311" xr:uid="{7BB3ABA4-3306-45E0-AF50-F06D43B786B1}"/>
    <cellStyle name="Note 2 3 2 2 4" xfId="1844" xr:uid="{00000000-0005-0000-0000-0000AA060000}"/>
    <cellStyle name="Note 2 3 2 2 4 2" xfId="5741" xr:uid="{00000000-0005-0000-0000-0000AB060000}"/>
    <cellStyle name="Note 2 3 2 2 4 3" xfId="9750" xr:uid="{ED6C2EC3-EFB7-4FBE-9D7A-21766B2243F3}"/>
    <cellStyle name="Note 2 3 2 2 5" xfId="3455" xr:uid="{00000000-0005-0000-0000-0000AC060000}"/>
    <cellStyle name="Note 2 3 2 2 5 2" xfId="7349" xr:uid="{00000000-0005-0000-0000-0000AD060000}"/>
    <cellStyle name="Note 2 3 2 2 5 3" xfId="11358" xr:uid="{549E478B-C2CC-4B63-8245-3C2FEEE233C4}"/>
    <cellStyle name="Note 2 3 2 2 6" xfId="4633" xr:uid="{00000000-0005-0000-0000-0000AE060000}"/>
    <cellStyle name="Note 2 3 2 2 7" xfId="8642" xr:uid="{10722996-D28F-430A-814B-4F1F9AFDEA7F}"/>
    <cellStyle name="Note 2 3 2 2 8" xfId="12533" xr:uid="{3C8CBBEF-F07E-4532-973D-1C67970C651C}"/>
    <cellStyle name="Note 2 3 2 3" xfId="847" xr:uid="{00000000-0005-0000-0000-0000AF060000}"/>
    <cellStyle name="Note 2 3 2 3 2" xfId="1846" xr:uid="{00000000-0005-0000-0000-0000B0060000}"/>
    <cellStyle name="Note 2 3 2 3 2 2" xfId="5743" xr:uid="{00000000-0005-0000-0000-0000B1060000}"/>
    <cellStyle name="Note 2 3 2 3 2 3" xfId="9752" xr:uid="{F486EFFB-F480-4DF4-BE2B-7EC63C51BAB0}"/>
    <cellStyle name="Note 2 3 2 3 3" xfId="3966" xr:uid="{00000000-0005-0000-0000-0000B2060000}"/>
    <cellStyle name="Note 2 3 2 3 3 2" xfId="7860" xr:uid="{00000000-0005-0000-0000-0000B3060000}"/>
    <cellStyle name="Note 2 3 2 3 3 3" xfId="11869" xr:uid="{2FC69BB9-9005-43A6-AB13-483050CD7661}"/>
    <cellStyle name="Note 2 3 2 3 4" xfId="4748" xr:uid="{00000000-0005-0000-0000-0000B4060000}"/>
    <cellStyle name="Note 2 3 2 3 5" xfId="8757" xr:uid="{1E17BC90-A7C3-48C7-A386-46B2FA7AFD03}"/>
    <cellStyle name="Note 2 3 2 3 6" xfId="12648" xr:uid="{402BEA5D-6335-45AD-AC49-220E825A5DBF}"/>
    <cellStyle name="Note 2 3 2 4" xfId="1189" xr:uid="{00000000-0005-0000-0000-0000B5060000}"/>
    <cellStyle name="Note 2 3 2 4 2" xfId="5090" xr:uid="{00000000-0005-0000-0000-0000B6060000}"/>
    <cellStyle name="Note 2 3 2 4 3" xfId="9099" xr:uid="{3CFCA4E5-57B4-4C82-A11D-A042A629F238}"/>
    <cellStyle name="Note 2 3 2 4 4" xfId="12990" xr:uid="{4ADE3CA2-CDA8-49BC-B9BA-EE3862F7A27B}"/>
    <cellStyle name="Note 2 3 2 5" xfId="1843" xr:uid="{00000000-0005-0000-0000-0000B7060000}"/>
    <cellStyle name="Note 2 3 2 5 2" xfId="5740" xr:uid="{00000000-0005-0000-0000-0000B8060000}"/>
    <cellStyle name="Note 2 3 2 5 3" xfId="9749" xr:uid="{630982A1-2E3F-46E0-A1D7-1D51CC8395A6}"/>
    <cellStyle name="Note 2 3 2 6" xfId="3134" xr:uid="{00000000-0005-0000-0000-0000B9060000}"/>
    <cellStyle name="Note 2 3 2 6 2" xfId="7028" xr:uid="{00000000-0005-0000-0000-0000BA060000}"/>
    <cellStyle name="Note 2 3 2 6 3" xfId="11037" xr:uid="{C7FA1BE4-CD6E-43E8-9FED-CE9C58B9D45C}"/>
    <cellStyle name="Note 2 3 2 7" xfId="4312" xr:uid="{00000000-0005-0000-0000-0000BB060000}"/>
    <cellStyle name="Note 2 3 2 8" xfId="8321" xr:uid="{C2327C47-B505-4032-B890-1C3BCEB104DF}"/>
    <cellStyle name="Note 2 3 2 9" xfId="12212" xr:uid="{4C023FC8-4374-423E-AEB9-5E5BC4D34ACC}"/>
    <cellStyle name="Note 2 3 3" xfId="570" xr:uid="{00000000-0005-0000-0000-0000BC060000}"/>
    <cellStyle name="Note 2 3 3 2" xfId="880" xr:uid="{00000000-0005-0000-0000-0000BD060000}"/>
    <cellStyle name="Note 2 3 3 2 2" xfId="1848" xr:uid="{00000000-0005-0000-0000-0000BE060000}"/>
    <cellStyle name="Note 2 3 3 2 2 2" xfId="5745" xr:uid="{00000000-0005-0000-0000-0000BF060000}"/>
    <cellStyle name="Note 2 3 3 2 2 3" xfId="9754" xr:uid="{EBCBF888-8BE5-44D1-94B7-8BFD1D7EDEFF}"/>
    <cellStyle name="Note 2 3 3 2 3" xfId="3999" xr:uid="{00000000-0005-0000-0000-0000C0060000}"/>
    <cellStyle name="Note 2 3 3 2 3 2" xfId="7893" xr:uid="{00000000-0005-0000-0000-0000C1060000}"/>
    <cellStyle name="Note 2 3 3 2 3 3" xfId="11902" xr:uid="{4C9D2F9E-1467-4B2F-95D9-ED8B1BBD28AA}"/>
    <cellStyle name="Note 2 3 3 2 4" xfId="4781" xr:uid="{00000000-0005-0000-0000-0000C2060000}"/>
    <cellStyle name="Note 2 3 3 2 5" xfId="8790" xr:uid="{5F20FE1A-49AA-491A-979F-A553977C5319}"/>
    <cellStyle name="Note 2 3 3 2 6" xfId="12681" xr:uid="{37DF3036-6DA6-4AAB-B2A8-B056966E4ED7}"/>
    <cellStyle name="Note 2 3 3 3" xfId="1351" xr:uid="{00000000-0005-0000-0000-0000C3060000}"/>
    <cellStyle name="Note 2 3 3 3 2" xfId="5252" xr:uid="{00000000-0005-0000-0000-0000C4060000}"/>
    <cellStyle name="Note 2 3 3 3 3" xfId="9261" xr:uid="{7DFEBD50-2E8B-4B77-8BC1-E98C568B7EA4}"/>
    <cellStyle name="Note 2 3 3 3 4" xfId="13152" xr:uid="{3F00A99C-E394-4512-8BF6-BDFE4250E544}"/>
    <cellStyle name="Note 2 3 3 4" xfId="1847" xr:uid="{00000000-0005-0000-0000-0000C5060000}"/>
    <cellStyle name="Note 2 3 3 4 2" xfId="5744" xr:uid="{00000000-0005-0000-0000-0000C6060000}"/>
    <cellStyle name="Note 2 3 3 4 3" xfId="9753" xr:uid="{42E4DE2A-91D1-4E8C-B4BD-C0EA9E73A0CC}"/>
    <cellStyle name="Note 2 3 3 5" xfId="3296" xr:uid="{00000000-0005-0000-0000-0000C7060000}"/>
    <cellStyle name="Note 2 3 3 5 2" xfId="7190" xr:uid="{00000000-0005-0000-0000-0000C8060000}"/>
    <cellStyle name="Note 2 3 3 5 3" xfId="11199" xr:uid="{16EA3B81-8212-4BEC-96D7-5F570D4FAC29}"/>
    <cellStyle name="Note 2 3 3 6" xfId="4474" xr:uid="{00000000-0005-0000-0000-0000C9060000}"/>
    <cellStyle name="Note 2 3 3 7" xfId="8483" xr:uid="{62011A18-DAD5-4938-BD5A-66A4A9C361CF}"/>
    <cellStyle name="Note 2 3 3 8" xfId="12374" xr:uid="{7EBF4B0E-64CB-462F-990D-F9143E0D5BE8}"/>
    <cellStyle name="Note 2 3 4" xfId="814" xr:uid="{00000000-0005-0000-0000-0000CA060000}"/>
    <cellStyle name="Note 2 3 4 2" xfId="1849" xr:uid="{00000000-0005-0000-0000-0000CB060000}"/>
    <cellStyle name="Note 2 3 4 2 2" xfId="5746" xr:uid="{00000000-0005-0000-0000-0000CC060000}"/>
    <cellStyle name="Note 2 3 4 2 3" xfId="9755" xr:uid="{206F55C7-64AD-4270-8AD1-96E5F6E8DC5C}"/>
    <cellStyle name="Note 2 3 4 3" xfId="3933" xr:uid="{00000000-0005-0000-0000-0000CD060000}"/>
    <cellStyle name="Note 2 3 4 3 2" xfId="7827" xr:uid="{00000000-0005-0000-0000-0000CE060000}"/>
    <cellStyle name="Note 2 3 4 3 3" xfId="11836" xr:uid="{C4CF8D31-D3B6-48DA-908B-8F59C1A0FAC5}"/>
    <cellStyle name="Note 2 3 4 4" xfId="4715" xr:uid="{00000000-0005-0000-0000-0000CF060000}"/>
    <cellStyle name="Note 2 3 4 5" xfId="8724" xr:uid="{BB44344E-7B3C-4876-8263-CC33DB517395}"/>
    <cellStyle name="Note 2 3 4 6" xfId="12615" xr:uid="{88AA2354-483F-44C1-9B21-75254096B439}"/>
    <cellStyle name="Note 2 3 5" xfId="1030" xr:uid="{00000000-0005-0000-0000-0000D0060000}"/>
    <cellStyle name="Note 2 3 5 2" xfId="4931" xr:uid="{00000000-0005-0000-0000-0000D1060000}"/>
    <cellStyle name="Note 2 3 5 3" xfId="8940" xr:uid="{A3F886AA-4BF7-43AF-B44C-DEC08AE93BAB}"/>
    <cellStyle name="Note 2 3 5 4" xfId="12831" xr:uid="{85D3E7C7-21BE-4C87-96DA-8406E1F38CF5}"/>
    <cellStyle name="Note 2 3 6" xfId="1842" xr:uid="{00000000-0005-0000-0000-0000D2060000}"/>
    <cellStyle name="Note 2 3 6 2" xfId="5739" xr:uid="{00000000-0005-0000-0000-0000D3060000}"/>
    <cellStyle name="Note 2 3 6 3" xfId="9748" xr:uid="{7D80C969-6C11-4C13-AA22-E8F272B8D89B}"/>
    <cellStyle name="Note 2 3 7" xfId="2975" xr:uid="{00000000-0005-0000-0000-0000D4060000}"/>
    <cellStyle name="Note 2 3 7 2" xfId="6869" xr:uid="{00000000-0005-0000-0000-0000D5060000}"/>
    <cellStyle name="Note 2 3 7 3" xfId="10878" xr:uid="{EB07C5F3-E021-458A-90CA-C747F8599CA8}"/>
    <cellStyle name="Note 2 3 8" xfId="4153" xr:uid="{00000000-0005-0000-0000-0000D6060000}"/>
    <cellStyle name="Note 2 3 9" xfId="8162" xr:uid="{C1DE42CA-6C67-46F8-82F4-49B19765519E}"/>
    <cellStyle name="Note 2 4" xfId="245" xr:uid="{00000000-0005-0000-0000-0000D7060000}"/>
    <cellStyle name="Note 2 4 10" xfId="12058" xr:uid="{A2F24D50-EE7F-47A1-9E08-BDB80AA8E795}"/>
    <cellStyle name="Note 2 4 11" xfId="13494" xr:uid="{D32E4133-8717-45F4-85B2-9C3461F206BF}"/>
    <cellStyle name="Note 2 4 2" xfId="404" xr:uid="{00000000-0005-0000-0000-0000D8060000}"/>
    <cellStyle name="Note 2 4 2 2" xfId="734" xr:uid="{00000000-0005-0000-0000-0000D9060000}"/>
    <cellStyle name="Note 2 4 2 2 2" xfId="915" xr:uid="{00000000-0005-0000-0000-0000DA060000}"/>
    <cellStyle name="Note 2 4 2 2 2 2" xfId="1853" xr:uid="{00000000-0005-0000-0000-0000DB060000}"/>
    <cellStyle name="Note 2 4 2 2 2 2 2" xfId="5750" xr:uid="{00000000-0005-0000-0000-0000DC060000}"/>
    <cellStyle name="Note 2 4 2 2 2 2 3" xfId="9759" xr:uid="{AD2BBC52-CE62-488D-8103-32978F8F4157}"/>
    <cellStyle name="Note 2 4 2 2 2 3" xfId="4034" xr:uid="{00000000-0005-0000-0000-0000DD060000}"/>
    <cellStyle name="Note 2 4 2 2 2 3 2" xfId="7928" xr:uid="{00000000-0005-0000-0000-0000DE060000}"/>
    <cellStyle name="Note 2 4 2 2 2 3 3" xfId="11937" xr:uid="{427135F1-2733-47FC-B03E-5D94B5B06C7C}"/>
    <cellStyle name="Note 2 4 2 2 2 4" xfId="4816" xr:uid="{00000000-0005-0000-0000-0000DF060000}"/>
    <cellStyle name="Note 2 4 2 2 2 5" xfId="8825" xr:uid="{8E6494E7-7446-4F8A-9C80-B6F32C3F5C84}"/>
    <cellStyle name="Note 2 4 2 2 2 6" xfId="12716" xr:uid="{2ED9957E-FE97-42B1-99CF-CD18CEC54629}"/>
    <cellStyle name="Note 2 4 2 2 3" xfId="1515" xr:uid="{00000000-0005-0000-0000-0000E0060000}"/>
    <cellStyle name="Note 2 4 2 2 3 2" xfId="5416" xr:uid="{00000000-0005-0000-0000-0000E1060000}"/>
    <cellStyle name="Note 2 4 2 2 3 3" xfId="9425" xr:uid="{25A4AF17-8ED2-4ED5-9579-F162CB6B92B2}"/>
    <cellStyle name="Note 2 4 2 2 3 4" xfId="13316" xr:uid="{4CD0DB8D-9FEA-44E3-BEFE-06B85C38BE86}"/>
    <cellStyle name="Note 2 4 2 2 4" xfId="1852" xr:uid="{00000000-0005-0000-0000-0000E2060000}"/>
    <cellStyle name="Note 2 4 2 2 4 2" xfId="5749" xr:uid="{00000000-0005-0000-0000-0000E3060000}"/>
    <cellStyle name="Note 2 4 2 2 4 3" xfId="9758" xr:uid="{71F93602-0717-4F62-AF0C-C396EBB0D3F2}"/>
    <cellStyle name="Note 2 4 2 2 5" xfId="3460" xr:uid="{00000000-0005-0000-0000-0000E4060000}"/>
    <cellStyle name="Note 2 4 2 2 5 2" xfId="7354" xr:uid="{00000000-0005-0000-0000-0000E5060000}"/>
    <cellStyle name="Note 2 4 2 2 5 3" xfId="11363" xr:uid="{2A4CAB5E-0ABA-43DD-9D56-53D44A37688B}"/>
    <cellStyle name="Note 2 4 2 2 6" xfId="4638" xr:uid="{00000000-0005-0000-0000-0000E6060000}"/>
    <cellStyle name="Note 2 4 2 2 7" xfId="8647" xr:uid="{B20ED2DF-3212-413D-9258-D6CF31AF6719}"/>
    <cellStyle name="Note 2 4 2 2 8" xfId="12538" xr:uid="{56B14C67-784A-49C9-853C-A68554E82CE0}"/>
    <cellStyle name="Note 2 4 2 3" xfId="849" xr:uid="{00000000-0005-0000-0000-0000E7060000}"/>
    <cellStyle name="Note 2 4 2 3 2" xfId="1854" xr:uid="{00000000-0005-0000-0000-0000E8060000}"/>
    <cellStyle name="Note 2 4 2 3 2 2" xfId="5751" xr:uid="{00000000-0005-0000-0000-0000E9060000}"/>
    <cellStyle name="Note 2 4 2 3 2 3" xfId="9760" xr:uid="{1CC58192-B7B5-46CF-B341-D42CEB769F5E}"/>
    <cellStyle name="Note 2 4 2 3 3" xfId="3968" xr:uid="{00000000-0005-0000-0000-0000EA060000}"/>
    <cellStyle name="Note 2 4 2 3 3 2" xfId="7862" xr:uid="{00000000-0005-0000-0000-0000EB060000}"/>
    <cellStyle name="Note 2 4 2 3 3 3" xfId="11871" xr:uid="{74206853-AEDF-4438-8374-9E050656678F}"/>
    <cellStyle name="Note 2 4 2 3 4" xfId="4750" xr:uid="{00000000-0005-0000-0000-0000EC060000}"/>
    <cellStyle name="Note 2 4 2 3 5" xfId="8759" xr:uid="{716A2919-3BD4-425A-8518-AFB8D6389881}"/>
    <cellStyle name="Note 2 4 2 3 6" xfId="12650" xr:uid="{0AF59C63-A835-44D1-A00F-B7F1EADBF094}"/>
    <cellStyle name="Note 2 4 2 4" xfId="1194" xr:uid="{00000000-0005-0000-0000-0000ED060000}"/>
    <cellStyle name="Note 2 4 2 4 2" xfId="5095" xr:uid="{00000000-0005-0000-0000-0000EE060000}"/>
    <cellStyle name="Note 2 4 2 4 3" xfId="9104" xr:uid="{8897C589-63AF-49AE-B23F-AF06EBDB96D5}"/>
    <cellStyle name="Note 2 4 2 4 4" xfId="12995" xr:uid="{4201DBF6-B305-4025-BB1D-1B4F04B82B08}"/>
    <cellStyle name="Note 2 4 2 5" xfId="1851" xr:uid="{00000000-0005-0000-0000-0000EF060000}"/>
    <cellStyle name="Note 2 4 2 5 2" xfId="5748" xr:uid="{00000000-0005-0000-0000-0000F0060000}"/>
    <cellStyle name="Note 2 4 2 5 3" xfId="9757" xr:uid="{A5DDC6F2-128A-4C8D-94C7-BA865C5F068E}"/>
    <cellStyle name="Note 2 4 2 6" xfId="3139" xr:uid="{00000000-0005-0000-0000-0000F1060000}"/>
    <cellStyle name="Note 2 4 2 6 2" xfId="7033" xr:uid="{00000000-0005-0000-0000-0000F2060000}"/>
    <cellStyle name="Note 2 4 2 6 3" xfId="11042" xr:uid="{4434B217-AF96-4D08-88E7-1D365473B135}"/>
    <cellStyle name="Note 2 4 2 7" xfId="4317" xr:uid="{00000000-0005-0000-0000-0000F3060000}"/>
    <cellStyle name="Note 2 4 2 8" xfId="8326" xr:uid="{F7F31A54-C95C-4751-BD06-DF85375246BA}"/>
    <cellStyle name="Note 2 4 2 9" xfId="12217" xr:uid="{6152E9D2-2C7B-4E1D-A809-54657D2A4493}"/>
    <cellStyle name="Note 2 4 3" xfId="575" xr:uid="{00000000-0005-0000-0000-0000F4060000}"/>
    <cellStyle name="Note 2 4 3 2" xfId="882" xr:uid="{00000000-0005-0000-0000-0000F5060000}"/>
    <cellStyle name="Note 2 4 3 2 2" xfId="1856" xr:uid="{00000000-0005-0000-0000-0000F6060000}"/>
    <cellStyle name="Note 2 4 3 2 2 2" xfId="5753" xr:uid="{00000000-0005-0000-0000-0000F7060000}"/>
    <cellStyle name="Note 2 4 3 2 2 3" xfId="9762" xr:uid="{B8546FD9-BCE9-492C-B654-D70EA19F1F02}"/>
    <cellStyle name="Note 2 4 3 2 3" xfId="4001" xr:uid="{00000000-0005-0000-0000-0000F8060000}"/>
    <cellStyle name="Note 2 4 3 2 3 2" xfId="7895" xr:uid="{00000000-0005-0000-0000-0000F9060000}"/>
    <cellStyle name="Note 2 4 3 2 3 3" xfId="11904" xr:uid="{B9F0C53B-15D0-41A1-B9F4-E546C61E6B47}"/>
    <cellStyle name="Note 2 4 3 2 4" xfId="4783" xr:uid="{00000000-0005-0000-0000-0000FA060000}"/>
    <cellStyle name="Note 2 4 3 2 5" xfId="8792" xr:uid="{48E6AA3D-356F-485A-90B2-BC932CD765D4}"/>
    <cellStyle name="Note 2 4 3 2 6" xfId="12683" xr:uid="{9F308804-336E-4030-BB88-161CDD63DAC0}"/>
    <cellStyle name="Note 2 4 3 3" xfId="1356" xr:uid="{00000000-0005-0000-0000-0000FB060000}"/>
    <cellStyle name="Note 2 4 3 3 2" xfId="5257" xr:uid="{00000000-0005-0000-0000-0000FC060000}"/>
    <cellStyle name="Note 2 4 3 3 3" xfId="9266" xr:uid="{2076F2EB-14E0-4525-8E16-A97D364A5AC4}"/>
    <cellStyle name="Note 2 4 3 3 4" xfId="13157" xr:uid="{D7794E00-2990-4B2B-A00F-6B53C648767B}"/>
    <cellStyle name="Note 2 4 3 4" xfId="1855" xr:uid="{00000000-0005-0000-0000-0000FD060000}"/>
    <cellStyle name="Note 2 4 3 4 2" xfId="5752" xr:uid="{00000000-0005-0000-0000-0000FE060000}"/>
    <cellStyle name="Note 2 4 3 4 3" xfId="9761" xr:uid="{46BC325D-48BE-403B-AFCE-B077F1DBF2C7}"/>
    <cellStyle name="Note 2 4 3 5" xfId="3301" xr:uid="{00000000-0005-0000-0000-0000FF060000}"/>
    <cellStyle name="Note 2 4 3 5 2" xfId="7195" xr:uid="{00000000-0005-0000-0000-000000070000}"/>
    <cellStyle name="Note 2 4 3 5 3" xfId="11204" xr:uid="{06BAE2C0-DA40-4E52-B246-CC9C211CBBD8}"/>
    <cellStyle name="Note 2 4 3 6" xfId="4479" xr:uid="{00000000-0005-0000-0000-000001070000}"/>
    <cellStyle name="Note 2 4 3 7" xfId="8488" xr:uid="{4016034D-F9CE-49A4-AC5E-CA4F6C9327C4}"/>
    <cellStyle name="Note 2 4 3 8" xfId="12379" xr:uid="{4677D64B-90A3-42B0-B3F0-E1A82690F5A2}"/>
    <cellStyle name="Note 2 4 4" xfId="816" xr:uid="{00000000-0005-0000-0000-000002070000}"/>
    <cellStyle name="Note 2 4 4 2" xfId="1857" xr:uid="{00000000-0005-0000-0000-000003070000}"/>
    <cellStyle name="Note 2 4 4 2 2" xfId="5754" xr:uid="{00000000-0005-0000-0000-000004070000}"/>
    <cellStyle name="Note 2 4 4 2 3" xfId="9763" xr:uid="{CF4B8C72-7423-4742-9345-7097D9022FB3}"/>
    <cellStyle name="Note 2 4 4 3" xfId="3935" xr:uid="{00000000-0005-0000-0000-000005070000}"/>
    <cellStyle name="Note 2 4 4 3 2" xfId="7829" xr:uid="{00000000-0005-0000-0000-000006070000}"/>
    <cellStyle name="Note 2 4 4 3 3" xfId="11838" xr:uid="{FBA0EED6-E08E-4E17-A921-8BC6E7567307}"/>
    <cellStyle name="Note 2 4 4 4" xfId="4717" xr:uid="{00000000-0005-0000-0000-000007070000}"/>
    <cellStyle name="Note 2 4 4 5" xfId="8726" xr:uid="{C7B1ADDB-3D60-4A77-A3AC-B9559EAF3EEB}"/>
    <cellStyle name="Note 2 4 4 6" xfId="12617" xr:uid="{F6DF668A-9FEB-4747-9EA0-668704911056}"/>
    <cellStyle name="Note 2 4 5" xfId="1035" xr:uid="{00000000-0005-0000-0000-000008070000}"/>
    <cellStyle name="Note 2 4 5 2" xfId="4936" xr:uid="{00000000-0005-0000-0000-000009070000}"/>
    <cellStyle name="Note 2 4 5 3" xfId="8945" xr:uid="{BCDAA67E-3A81-41BB-A090-28BCC5F2BBC4}"/>
    <cellStyle name="Note 2 4 5 4" xfId="12836" xr:uid="{C8F94C6B-031D-4040-97CF-19701A0B6E40}"/>
    <cellStyle name="Note 2 4 6" xfId="1850" xr:uid="{00000000-0005-0000-0000-00000A070000}"/>
    <cellStyle name="Note 2 4 6 2" xfId="5747" xr:uid="{00000000-0005-0000-0000-00000B070000}"/>
    <cellStyle name="Note 2 4 6 3" xfId="9756" xr:uid="{910B0C3B-FFC2-47D2-A0CF-62EA17EEBFE5}"/>
    <cellStyle name="Note 2 4 7" xfId="2980" xr:uid="{00000000-0005-0000-0000-00000C070000}"/>
    <cellStyle name="Note 2 4 7 2" xfId="6874" xr:uid="{00000000-0005-0000-0000-00000D070000}"/>
    <cellStyle name="Note 2 4 7 3" xfId="10883" xr:uid="{D9A3A2BB-C929-4DBD-B17F-7DE231078857}"/>
    <cellStyle name="Note 2 4 8" xfId="4158" xr:uid="{00000000-0005-0000-0000-00000E070000}"/>
    <cellStyle name="Note 2 4 9" xfId="8167" xr:uid="{0359865F-DFE7-4297-8969-810AFC28F81E}"/>
    <cellStyle name="Note 2 5" xfId="320" xr:uid="{00000000-0005-0000-0000-00000F070000}"/>
    <cellStyle name="Note 2 5 2" xfId="650" xr:uid="{00000000-0005-0000-0000-000010070000}"/>
    <cellStyle name="Note 2 5 2 2" xfId="897" xr:uid="{00000000-0005-0000-0000-000011070000}"/>
    <cellStyle name="Note 2 5 2 2 2" xfId="1860" xr:uid="{00000000-0005-0000-0000-000012070000}"/>
    <cellStyle name="Note 2 5 2 2 2 2" xfId="5757" xr:uid="{00000000-0005-0000-0000-000013070000}"/>
    <cellStyle name="Note 2 5 2 2 2 3" xfId="9766" xr:uid="{E5519008-7823-4E1A-803C-C5E93DCB4B4A}"/>
    <cellStyle name="Note 2 5 2 2 3" xfId="4016" xr:uid="{00000000-0005-0000-0000-000014070000}"/>
    <cellStyle name="Note 2 5 2 2 3 2" xfId="7910" xr:uid="{00000000-0005-0000-0000-000015070000}"/>
    <cellStyle name="Note 2 5 2 2 3 3" xfId="11919" xr:uid="{0181C65A-3428-4BA1-BD31-B7E58FDC2FED}"/>
    <cellStyle name="Note 2 5 2 2 4" xfId="4798" xr:uid="{00000000-0005-0000-0000-000016070000}"/>
    <cellStyle name="Note 2 5 2 2 5" xfId="8807" xr:uid="{1DF107A2-B9C5-4AAD-B263-60CE1B999216}"/>
    <cellStyle name="Note 2 5 2 2 6" xfId="12698" xr:uid="{A83572D9-8465-4E67-9D9F-EDBA1F86EE9C}"/>
    <cellStyle name="Note 2 5 2 3" xfId="1431" xr:uid="{00000000-0005-0000-0000-000017070000}"/>
    <cellStyle name="Note 2 5 2 3 2" xfId="5332" xr:uid="{00000000-0005-0000-0000-000018070000}"/>
    <cellStyle name="Note 2 5 2 3 3" xfId="9341" xr:uid="{BEDA6B10-C189-4BC3-B43D-96D196E7E614}"/>
    <cellStyle name="Note 2 5 2 3 4" xfId="13232" xr:uid="{1F168DFD-834D-4D35-BCFE-BBD11DC6CC47}"/>
    <cellStyle name="Note 2 5 2 4" xfId="1859" xr:uid="{00000000-0005-0000-0000-000019070000}"/>
    <cellStyle name="Note 2 5 2 4 2" xfId="5756" xr:uid="{00000000-0005-0000-0000-00001A070000}"/>
    <cellStyle name="Note 2 5 2 4 3" xfId="9765" xr:uid="{64F665EC-F0AF-4BCB-B1C1-E1CBEC86A720}"/>
    <cellStyle name="Note 2 5 2 5" xfId="3376" xr:uid="{00000000-0005-0000-0000-00001B070000}"/>
    <cellStyle name="Note 2 5 2 5 2" xfId="7270" xr:uid="{00000000-0005-0000-0000-00001C070000}"/>
    <cellStyle name="Note 2 5 2 5 3" xfId="11279" xr:uid="{8468B3F2-6526-427F-9D34-EE05174576BD}"/>
    <cellStyle name="Note 2 5 2 6" xfId="4554" xr:uid="{00000000-0005-0000-0000-00001D070000}"/>
    <cellStyle name="Note 2 5 2 7" xfId="8563" xr:uid="{782BE9CC-A5E3-4F0C-BAFF-D7AD52718DB8}"/>
    <cellStyle name="Note 2 5 2 8" xfId="12454" xr:uid="{71DEAF6C-1397-441A-BF66-B1FAD4DC784B}"/>
    <cellStyle name="Note 2 5 3" xfId="831" xr:uid="{00000000-0005-0000-0000-00001E070000}"/>
    <cellStyle name="Note 2 5 3 2" xfId="1861" xr:uid="{00000000-0005-0000-0000-00001F070000}"/>
    <cellStyle name="Note 2 5 3 2 2" xfId="5758" xr:uid="{00000000-0005-0000-0000-000020070000}"/>
    <cellStyle name="Note 2 5 3 2 3" xfId="9767" xr:uid="{DD86BEC9-CC70-402F-8454-7122625C4DC0}"/>
    <cellStyle name="Note 2 5 3 3" xfId="3950" xr:uid="{00000000-0005-0000-0000-000021070000}"/>
    <cellStyle name="Note 2 5 3 3 2" xfId="7844" xr:uid="{00000000-0005-0000-0000-000022070000}"/>
    <cellStyle name="Note 2 5 3 3 3" xfId="11853" xr:uid="{881A19B5-E032-4A84-A728-105049ECCD85}"/>
    <cellStyle name="Note 2 5 3 4" xfId="4732" xr:uid="{00000000-0005-0000-0000-000023070000}"/>
    <cellStyle name="Note 2 5 3 5" xfId="8741" xr:uid="{76764E1E-D5AF-45D8-BF93-CDB21C3AB3F0}"/>
    <cellStyle name="Note 2 5 3 6" xfId="12632" xr:uid="{71B94927-BC27-4551-B318-A4291AA73436}"/>
    <cellStyle name="Note 2 5 4" xfId="1110" xr:uid="{00000000-0005-0000-0000-000024070000}"/>
    <cellStyle name="Note 2 5 4 2" xfId="5011" xr:uid="{00000000-0005-0000-0000-000025070000}"/>
    <cellStyle name="Note 2 5 4 3" xfId="9020" xr:uid="{73B56A4B-8D17-494B-863B-71B0DA240278}"/>
    <cellStyle name="Note 2 5 4 4" xfId="12911" xr:uid="{37FA9826-B47D-4AAB-A171-88F3C7856942}"/>
    <cellStyle name="Note 2 5 5" xfId="1858" xr:uid="{00000000-0005-0000-0000-000026070000}"/>
    <cellStyle name="Note 2 5 5 2" xfId="5755" xr:uid="{00000000-0005-0000-0000-000027070000}"/>
    <cellStyle name="Note 2 5 5 3" xfId="9764" xr:uid="{3A3AA4B2-663A-4701-906F-74CBC70B1454}"/>
    <cellStyle name="Note 2 5 6" xfId="3055" xr:uid="{00000000-0005-0000-0000-000028070000}"/>
    <cellStyle name="Note 2 5 6 2" xfId="6949" xr:uid="{00000000-0005-0000-0000-000029070000}"/>
    <cellStyle name="Note 2 5 6 3" xfId="10958" xr:uid="{8A602DF8-5637-407C-A24D-7177992DF6BE}"/>
    <cellStyle name="Note 2 5 7" xfId="4233" xr:uid="{00000000-0005-0000-0000-00002A070000}"/>
    <cellStyle name="Note 2 5 8" xfId="8242" xr:uid="{76B311AC-D9EB-4AE6-87F3-37EB9F2C8E43}"/>
    <cellStyle name="Note 2 5 9" xfId="12133" xr:uid="{CDCD9E32-7CC2-4293-999F-D18B75416789}"/>
    <cellStyle name="Note 2 6" xfId="482" xr:uid="{00000000-0005-0000-0000-00002B070000}"/>
    <cellStyle name="Note 2 6 2" xfId="864" xr:uid="{00000000-0005-0000-0000-00002C070000}"/>
    <cellStyle name="Note 2 6 2 2" xfId="1863" xr:uid="{00000000-0005-0000-0000-00002D070000}"/>
    <cellStyle name="Note 2 6 2 2 2" xfId="5760" xr:uid="{00000000-0005-0000-0000-00002E070000}"/>
    <cellStyle name="Note 2 6 2 2 3" xfId="9769" xr:uid="{E0D337A4-02BB-4E7F-9BD2-A6D9123540CC}"/>
    <cellStyle name="Note 2 6 2 3" xfId="3983" xr:uid="{00000000-0005-0000-0000-00002F070000}"/>
    <cellStyle name="Note 2 6 2 3 2" xfId="7877" xr:uid="{00000000-0005-0000-0000-000030070000}"/>
    <cellStyle name="Note 2 6 2 3 3" xfId="11886" xr:uid="{DE8EE5AA-3A54-4B0D-BDDE-3B9B27FE1B96}"/>
    <cellStyle name="Note 2 6 2 4" xfId="4765" xr:uid="{00000000-0005-0000-0000-000031070000}"/>
    <cellStyle name="Note 2 6 2 5" xfId="8774" xr:uid="{FD4CF461-F0F4-490A-ACC8-7FAAAD337C7A}"/>
    <cellStyle name="Note 2 6 2 6" xfId="12665" xr:uid="{4924B4C6-ED34-4698-9231-10D0E4A63119}"/>
    <cellStyle name="Note 2 6 3" xfId="1266" xr:uid="{00000000-0005-0000-0000-000032070000}"/>
    <cellStyle name="Note 2 6 3 2" xfId="5167" xr:uid="{00000000-0005-0000-0000-000033070000}"/>
    <cellStyle name="Note 2 6 3 3" xfId="9176" xr:uid="{AB2ADE7A-DD3D-4370-A53E-C742BB14282B}"/>
    <cellStyle name="Note 2 6 3 4" xfId="13067" xr:uid="{55B05843-C3DE-4F1B-8F97-A29382C64380}"/>
    <cellStyle name="Note 2 6 4" xfId="1862" xr:uid="{00000000-0005-0000-0000-000034070000}"/>
    <cellStyle name="Note 2 6 4 2" xfId="5759" xr:uid="{00000000-0005-0000-0000-000035070000}"/>
    <cellStyle name="Note 2 6 4 3" xfId="9768" xr:uid="{C7C35193-2F5F-416C-92E9-78C460733F11}"/>
    <cellStyle name="Note 2 6 5" xfId="3211" xr:uid="{00000000-0005-0000-0000-000036070000}"/>
    <cellStyle name="Note 2 6 5 2" xfId="7105" xr:uid="{00000000-0005-0000-0000-000037070000}"/>
    <cellStyle name="Note 2 6 5 3" xfId="11114" xr:uid="{F2C983DE-3654-4FF2-88B4-1A6D1E658B71}"/>
    <cellStyle name="Note 2 6 6" xfId="4389" xr:uid="{00000000-0005-0000-0000-000038070000}"/>
    <cellStyle name="Note 2 6 7" xfId="8398" xr:uid="{F8630865-94CE-43CD-A706-CD76AE1B1841}"/>
    <cellStyle name="Note 2 6 8" xfId="12289" xr:uid="{CBC3645D-316E-4597-A3A8-D9B5C443645A}"/>
    <cellStyle name="Note 2 7" xfId="798" xr:uid="{00000000-0005-0000-0000-000039070000}"/>
    <cellStyle name="Note 2 7 2" xfId="1864" xr:uid="{00000000-0005-0000-0000-00003A070000}"/>
    <cellStyle name="Note 2 7 2 2" xfId="5761" xr:uid="{00000000-0005-0000-0000-00003B070000}"/>
    <cellStyle name="Note 2 7 2 3" xfId="9770" xr:uid="{8A262254-3D71-45D2-AB93-D09E1ADCC818}"/>
    <cellStyle name="Note 2 7 3" xfId="3917" xr:uid="{00000000-0005-0000-0000-00003C070000}"/>
    <cellStyle name="Note 2 7 3 2" xfId="7811" xr:uid="{00000000-0005-0000-0000-00003D070000}"/>
    <cellStyle name="Note 2 7 3 3" xfId="11820" xr:uid="{EAAE40F5-70C5-4024-9818-926F103CFD63}"/>
    <cellStyle name="Note 2 7 4" xfId="4699" xr:uid="{00000000-0005-0000-0000-00003E070000}"/>
    <cellStyle name="Note 2 7 5" xfId="8708" xr:uid="{24F2A8DE-4619-4A8D-96C5-F701C7A1FF63}"/>
    <cellStyle name="Note 2 7 6" xfId="12599" xr:uid="{AFE6D260-BC40-429A-8491-7A4191428116}"/>
    <cellStyle name="Note 2 8" xfId="945" xr:uid="{00000000-0005-0000-0000-00003F070000}"/>
    <cellStyle name="Note 2 8 2" xfId="4846" xr:uid="{00000000-0005-0000-0000-000040070000}"/>
    <cellStyle name="Note 2 8 3" xfId="8855" xr:uid="{F37C56CF-BE73-4533-A44D-202A74AF1EDF}"/>
    <cellStyle name="Note 2 8 4" xfId="12746" xr:uid="{A4EBD24A-4521-467E-BDA9-1DB103AA3763}"/>
    <cellStyle name="Note 2 9" xfId="1817" xr:uid="{00000000-0005-0000-0000-000041070000}"/>
    <cellStyle name="Note 2 9 2" xfId="5714" xr:uid="{00000000-0005-0000-0000-000042070000}"/>
    <cellStyle name="Note 2 9 3" xfId="9723" xr:uid="{0935A5E4-6411-48FD-8693-5932F407B22A}"/>
    <cellStyle name="Note 3" xfId="138" xr:uid="{00000000-0005-0000-0000-000043070000}"/>
    <cellStyle name="Note 3 10" xfId="2898" xr:uid="{00000000-0005-0000-0000-000044070000}"/>
    <cellStyle name="Note 3 10 2" xfId="6792" xr:uid="{00000000-0005-0000-0000-000045070000}"/>
    <cellStyle name="Note 3 10 3" xfId="10801" xr:uid="{D299CA8B-BE07-464F-B2AF-20B9CDF7CA2B}"/>
    <cellStyle name="Note 3 11" xfId="4076" xr:uid="{00000000-0005-0000-0000-000046070000}"/>
    <cellStyle name="Note 3 12" xfId="8085" xr:uid="{6E357F93-DE4D-47F7-AAA5-C6482282D2E2}"/>
    <cellStyle name="Note 3 13" xfId="11976" xr:uid="{A3F4F908-340F-48C6-AE37-44DB6E0DA452}"/>
    <cellStyle name="Note 3 14" xfId="13412" xr:uid="{E7A69A12-9CAC-44A2-892B-2AE4F56BB7AC}"/>
    <cellStyle name="Note 3 2" xfId="175" xr:uid="{00000000-0005-0000-0000-000047070000}"/>
    <cellStyle name="Note 3 2 10" xfId="4091" xr:uid="{00000000-0005-0000-0000-000048070000}"/>
    <cellStyle name="Note 3 2 11" xfId="8100" xr:uid="{AA3C8438-0F91-49B4-9F2C-61EB3702D2FD}"/>
    <cellStyle name="Note 3 2 12" xfId="11991" xr:uid="{8999C340-4E0B-4FF2-B09A-84E5F8E13062}"/>
    <cellStyle name="Note 3 2 13" xfId="13427" xr:uid="{6E185230-5E13-446D-8935-5B623A9DAA81}"/>
    <cellStyle name="Note 3 2 2" xfId="276" xr:uid="{00000000-0005-0000-0000-000049070000}"/>
    <cellStyle name="Note 3 2 2 10" xfId="12089" xr:uid="{D3389F9A-D307-4469-ADDF-FF6C30E68941}"/>
    <cellStyle name="Note 3 2 2 11" xfId="13525" xr:uid="{59DAF82F-51EE-40ED-9B53-54580446AD77}"/>
    <cellStyle name="Note 3 2 2 2" xfId="432" xr:uid="{00000000-0005-0000-0000-00004A070000}"/>
    <cellStyle name="Note 3 2 2 2 2" xfId="762" xr:uid="{00000000-0005-0000-0000-00004B070000}"/>
    <cellStyle name="Note 3 2 2 2 2 2" xfId="921" xr:uid="{00000000-0005-0000-0000-00004C070000}"/>
    <cellStyle name="Note 3 2 2 2 2 2 2" xfId="1870" xr:uid="{00000000-0005-0000-0000-00004D070000}"/>
    <cellStyle name="Note 3 2 2 2 2 2 2 2" xfId="5767" xr:uid="{00000000-0005-0000-0000-00004E070000}"/>
    <cellStyle name="Note 3 2 2 2 2 2 2 3" xfId="9776" xr:uid="{D4C71E6A-F163-43F2-ADA6-E563B56002E9}"/>
    <cellStyle name="Note 3 2 2 2 2 2 3" xfId="4040" xr:uid="{00000000-0005-0000-0000-00004F070000}"/>
    <cellStyle name="Note 3 2 2 2 2 2 3 2" xfId="7934" xr:uid="{00000000-0005-0000-0000-000050070000}"/>
    <cellStyle name="Note 3 2 2 2 2 2 3 3" xfId="11943" xr:uid="{558B096C-DBD2-4616-A523-A0DF628DA08D}"/>
    <cellStyle name="Note 3 2 2 2 2 2 4" xfId="4822" xr:uid="{00000000-0005-0000-0000-000051070000}"/>
    <cellStyle name="Note 3 2 2 2 2 2 5" xfId="8831" xr:uid="{D0F20E56-433E-4DD4-9C58-CF7F14C4CEAD}"/>
    <cellStyle name="Note 3 2 2 2 2 2 6" xfId="12722" xr:uid="{6176F4A8-5C36-468D-AC9E-883E0ACB3A93}"/>
    <cellStyle name="Note 3 2 2 2 2 3" xfId="1543" xr:uid="{00000000-0005-0000-0000-000052070000}"/>
    <cellStyle name="Note 3 2 2 2 2 3 2" xfId="5444" xr:uid="{00000000-0005-0000-0000-000053070000}"/>
    <cellStyle name="Note 3 2 2 2 2 3 3" xfId="9453" xr:uid="{AADA82CC-CA5E-4720-A63A-D30C683331A3}"/>
    <cellStyle name="Note 3 2 2 2 2 3 4" xfId="13344" xr:uid="{47181F7D-5D73-4426-8F7D-7A027C77F18F}"/>
    <cellStyle name="Note 3 2 2 2 2 4" xfId="1869" xr:uid="{00000000-0005-0000-0000-000054070000}"/>
    <cellStyle name="Note 3 2 2 2 2 4 2" xfId="5766" xr:uid="{00000000-0005-0000-0000-000055070000}"/>
    <cellStyle name="Note 3 2 2 2 2 4 3" xfId="9775" xr:uid="{4EE60E6F-B65A-40F7-AC01-1DD3070A551A}"/>
    <cellStyle name="Note 3 2 2 2 2 5" xfId="3488" xr:uid="{00000000-0005-0000-0000-000056070000}"/>
    <cellStyle name="Note 3 2 2 2 2 5 2" xfId="7382" xr:uid="{00000000-0005-0000-0000-000057070000}"/>
    <cellStyle name="Note 3 2 2 2 2 5 3" xfId="11391" xr:uid="{AAA55ADF-1FC3-427F-A892-75AB30E65CEF}"/>
    <cellStyle name="Note 3 2 2 2 2 6" xfId="4666" xr:uid="{00000000-0005-0000-0000-000058070000}"/>
    <cellStyle name="Note 3 2 2 2 2 7" xfId="8675" xr:uid="{6D67BAF5-625B-4797-B72C-2D7F4D48D334}"/>
    <cellStyle name="Note 3 2 2 2 2 8" xfId="12566" xr:uid="{4D7A05DA-A7EA-4493-8CD2-FB833E8E169E}"/>
    <cellStyle name="Note 3 2 2 2 3" xfId="855" xr:uid="{00000000-0005-0000-0000-000059070000}"/>
    <cellStyle name="Note 3 2 2 2 3 2" xfId="1871" xr:uid="{00000000-0005-0000-0000-00005A070000}"/>
    <cellStyle name="Note 3 2 2 2 3 2 2" xfId="5768" xr:uid="{00000000-0005-0000-0000-00005B070000}"/>
    <cellStyle name="Note 3 2 2 2 3 2 3" xfId="9777" xr:uid="{9007A029-3033-4C9D-AD6F-1C2BF94BD4BE}"/>
    <cellStyle name="Note 3 2 2 2 3 3" xfId="3974" xr:uid="{00000000-0005-0000-0000-00005C070000}"/>
    <cellStyle name="Note 3 2 2 2 3 3 2" xfId="7868" xr:uid="{00000000-0005-0000-0000-00005D070000}"/>
    <cellStyle name="Note 3 2 2 2 3 3 3" xfId="11877" xr:uid="{64E1FC3D-8260-4BF0-A3B4-CD2D6743937D}"/>
    <cellStyle name="Note 3 2 2 2 3 4" xfId="4756" xr:uid="{00000000-0005-0000-0000-00005E070000}"/>
    <cellStyle name="Note 3 2 2 2 3 5" xfId="8765" xr:uid="{E0AAA98D-B346-4C7C-8773-6F872B114155}"/>
    <cellStyle name="Note 3 2 2 2 3 6" xfId="12656" xr:uid="{195229A3-E073-4874-9717-C076E86B5D47}"/>
    <cellStyle name="Note 3 2 2 2 4" xfId="1222" xr:uid="{00000000-0005-0000-0000-00005F070000}"/>
    <cellStyle name="Note 3 2 2 2 4 2" xfId="5123" xr:uid="{00000000-0005-0000-0000-000060070000}"/>
    <cellStyle name="Note 3 2 2 2 4 3" xfId="9132" xr:uid="{3FD0DF8E-B22C-4895-9B34-070B38440B8D}"/>
    <cellStyle name="Note 3 2 2 2 4 4" xfId="13023" xr:uid="{78E599D2-7D31-48A3-9BA6-C72161913436}"/>
    <cellStyle name="Note 3 2 2 2 5" xfId="1868" xr:uid="{00000000-0005-0000-0000-000061070000}"/>
    <cellStyle name="Note 3 2 2 2 5 2" xfId="5765" xr:uid="{00000000-0005-0000-0000-000062070000}"/>
    <cellStyle name="Note 3 2 2 2 5 3" xfId="9774" xr:uid="{8F2E90AD-4407-47E9-AEE1-C9D83C39A8C2}"/>
    <cellStyle name="Note 3 2 2 2 6" xfId="3167" xr:uid="{00000000-0005-0000-0000-000063070000}"/>
    <cellStyle name="Note 3 2 2 2 6 2" xfId="7061" xr:uid="{00000000-0005-0000-0000-000064070000}"/>
    <cellStyle name="Note 3 2 2 2 6 3" xfId="11070" xr:uid="{51E7DCB3-8823-4188-9C57-0D4A206ED5DC}"/>
    <cellStyle name="Note 3 2 2 2 7" xfId="4345" xr:uid="{00000000-0005-0000-0000-000065070000}"/>
    <cellStyle name="Note 3 2 2 2 8" xfId="8354" xr:uid="{12EA850E-B318-465D-9329-54F32E6A1FFF}"/>
    <cellStyle name="Note 3 2 2 2 9" xfId="12245" xr:uid="{4C53E3F2-B86A-4AF4-A996-FF1762BABE34}"/>
    <cellStyle name="Note 3 2 2 3" xfId="606" xr:uid="{00000000-0005-0000-0000-000066070000}"/>
    <cellStyle name="Note 3 2 2 3 2" xfId="888" xr:uid="{00000000-0005-0000-0000-000067070000}"/>
    <cellStyle name="Note 3 2 2 3 2 2" xfId="1873" xr:uid="{00000000-0005-0000-0000-000068070000}"/>
    <cellStyle name="Note 3 2 2 3 2 2 2" xfId="5770" xr:uid="{00000000-0005-0000-0000-000069070000}"/>
    <cellStyle name="Note 3 2 2 3 2 2 3" xfId="9779" xr:uid="{11E973F1-6636-469A-9E88-50602B4E4882}"/>
    <cellStyle name="Note 3 2 2 3 2 3" xfId="4007" xr:uid="{00000000-0005-0000-0000-00006A070000}"/>
    <cellStyle name="Note 3 2 2 3 2 3 2" xfId="7901" xr:uid="{00000000-0005-0000-0000-00006B070000}"/>
    <cellStyle name="Note 3 2 2 3 2 3 3" xfId="11910" xr:uid="{FD045C7E-05D2-4D91-B487-9A90AE67366A}"/>
    <cellStyle name="Note 3 2 2 3 2 4" xfId="4789" xr:uid="{00000000-0005-0000-0000-00006C070000}"/>
    <cellStyle name="Note 3 2 2 3 2 5" xfId="8798" xr:uid="{F8300AF6-2756-4C68-9830-E9952F7D3CF4}"/>
    <cellStyle name="Note 3 2 2 3 2 6" xfId="12689" xr:uid="{F64EBE10-6277-41A1-8521-B94AEA3446BA}"/>
    <cellStyle name="Note 3 2 2 3 3" xfId="1387" xr:uid="{00000000-0005-0000-0000-00006D070000}"/>
    <cellStyle name="Note 3 2 2 3 3 2" xfId="5288" xr:uid="{00000000-0005-0000-0000-00006E070000}"/>
    <cellStyle name="Note 3 2 2 3 3 3" xfId="9297" xr:uid="{FC1CD5E6-A28C-49E1-993F-714F90A4F5CD}"/>
    <cellStyle name="Note 3 2 2 3 3 4" xfId="13188" xr:uid="{188C9618-1D51-4928-89A2-DFAFF36875AE}"/>
    <cellStyle name="Note 3 2 2 3 4" xfId="1872" xr:uid="{00000000-0005-0000-0000-00006F070000}"/>
    <cellStyle name="Note 3 2 2 3 4 2" xfId="5769" xr:uid="{00000000-0005-0000-0000-000070070000}"/>
    <cellStyle name="Note 3 2 2 3 4 3" xfId="9778" xr:uid="{5F2BCECC-CF26-476D-9DDA-C16952579BA5}"/>
    <cellStyle name="Note 3 2 2 3 5" xfId="3332" xr:uid="{00000000-0005-0000-0000-000071070000}"/>
    <cellStyle name="Note 3 2 2 3 5 2" xfId="7226" xr:uid="{00000000-0005-0000-0000-000072070000}"/>
    <cellStyle name="Note 3 2 2 3 5 3" xfId="11235" xr:uid="{DE534253-A46A-42F3-8479-A1A57D2FFF44}"/>
    <cellStyle name="Note 3 2 2 3 6" xfId="4510" xr:uid="{00000000-0005-0000-0000-000073070000}"/>
    <cellStyle name="Note 3 2 2 3 7" xfId="8519" xr:uid="{9CE00BCD-55D8-4EBB-9D6E-D0081B0120AA}"/>
    <cellStyle name="Note 3 2 2 3 8" xfId="12410" xr:uid="{65224119-D57D-48D3-8719-FE4624781141}"/>
    <cellStyle name="Note 3 2 2 4" xfId="822" xr:uid="{00000000-0005-0000-0000-000074070000}"/>
    <cellStyle name="Note 3 2 2 4 2" xfId="1874" xr:uid="{00000000-0005-0000-0000-000075070000}"/>
    <cellStyle name="Note 3 2 2 4 2 2" xfId="5771" xr:uid="{00000000-0005-0000-0000-000076070000}"/>
    <cellStyle name="Note 3 2 2 4 2 3" xfId="9780" xr:uid="{28C3C22C-07BC-45B1-8CCF-D0735636BC33}"/>
    <cellStyle name="Note 3 2 2 4 3" xfId="3941" xr:uid="{00000000-0005-0000-0000-000077070000}"/>
    <cellStyle name="Note 3 2 2 4 3 2" xfId="7835" xr:uid="{00000000-0005-0000-0000-000078070000}"/>
    <cellStyle name="Note 3 2 2 4 3 3" xfId="11844" xr:uid="{CFCE3948-F503-4706-905D-9D6CD4A95334}"/>
    <cellStyle name="Note 3 2 2 4 4" xfId="4723" xr:uid="{00000000-0005-0000-0000-000079070000}"/>
    <cellStyle name="Note 3 2 2 4 5" xfId="8732" xr:uid="{B5379B0E-DFF4-4394-82F7-BA740C0E822D}"/>
    <cellStyle name="Note 3 2 2 4 6" xfId="12623" xr:uid="{E6804734-C97F-421F-906A-5B8A23914EB6}"/>
    <cellStyle name="Note 3 2 2 5" xfId="1066" xr:uid="{00000000-0005-0000-0000-00007A070000}"/>
    <cellStyle name="Note 3 2 2 5 2" xfId="4967" xr:uid="{00000000-0005-0000-0000-00007B070000}"/>
    <cellStyle name="Note 3 2 2 5 3" xfId="8976" xr:uid="{00462FC2-C249-4504-AF63-FF6BDBC4CEC5}"/>
    <cellStyle name="Note 3 2 2 5 4" xfId="12867" xr:uid="{B78C02F8-C72F-41FB-82A5-17B5F5818FC2}"/>
    <cellStyle name="Note 3 2 2 6" xfId="1867" xr:uid="{00000000-0005-0000-0000-00007C070000}"/>
    <cellStyle name="Note 3 2 2 6 2" xfId="5764" xr:uid="{00000000-0005-0000-0000-00007D070000}"/>
    <cellStyle name="Note 3 2 2 6 3" xfId="9773" xr:uid="{BF1F1796-5D1C-496E-BCC4-5D9F61A925B7}"/>
    <cellStyle name="Note 3 2 2 7" xfId="3011" xr:uid="{00000000-0005-0000-0000-00007E070000}"/>
    <cellStyle name="Note 3 2 2 7 2" xfId="6905" xr:uid="{00000000-0005-0000-0000-00007F070000}"/>
    <cellStyle name="Note 3 2 2 7 3" xfId="10914" xr:uid="{3D7C384B-88C9-4A53-8C12-FA061B776F91}"/>
    <cellStyle name="Note 3 2 2 8" xfId="4189" xr:uid="{00000000-0005-0000-0000-000080070000}"/>
    <cellStyle name="Note 3 2 2 9" xfId="8198" xr:uid="{AFE2ECF0-EEEF-4032-8B65-F2156788A3C6}"/>
    <cellStyle name="Note 3 2 3" xfId="225" xr:uid="{00000000-0005-0000-0000-000081070000}"/>
    <cellStyle name="Note 3 2 3 10" xfId="12038" xr:uid="{4BD9DE3C-386A-4CD1-BD00-89E9561137DE}"/>
    <cellStyle name="Note 3 2 3 11" xfId="13474" xr:uid="{ECD7DFCD-F367-4013-A581-C8EBF74594F7}"/>
    <cellStyle name="Note 3 2 3 2" xfId="386" xr:uid="{00000000-0005-0000-0000-000082070000}"/>
    <cellStyle name="Note 3 2 3 2 2" xfId="716" xr:uid="{00000000-0005-0000-0000-000083070000}"/>
    <cellStyle name="Note 3 2 3 2 2 2" xfId="910" xr:uid="{00000000-0005-0000-0000-000084070000}"/>
    <cellStyle name="Note 3 2 3 2 2 2 2" xfId="1878" xr:uid="{00000000-0005-0000-0000-000085070000}"/>
    <cellStyle name="Note 3 2 3 2 2 2 2 2" xfId="5775" xr:uid="{00000000-0005-0000-0000-000086070000}"/>
    <cellStyle name="Note 3 2 3 2 2 2 2 3" xfId="9784" xr:uid="{59CCC6CE-7D7F-4C3F-8D71-E128A79EED64}"/>
    <cellStyle name="Note 3 2 3 2 2 2 3" xfId="4029" xr:uid="{00000000-0005-0000-0000-000087070000}"/>
    <cellStyle name="Note 3 2 3 2 2 2 3 2" xfId="7923" xr:uid="{00000000-0005-0000-0000-000088070000}"/>
    <cellStyle name="Note 3 2 3 2 2 2 3 3" xfId="11932" xr:uid="{6512C816-A54B-460F-957F-9270ACFC6A9D}"/>
    <cellStyle name="Note 3 2 3 2 2 2 4" xfId="4811" xr:uid="{00000000-0005-0000-0000-000089070000}"/>
    <cellStyle name="Note 3 2 3 2 2 2 5" xfId="8820" xr:uid="{E326E58C-8749-470D-BE01-B9293D6DD55E}"/>
    <cellStyle name="Note 3 2 3 2 2 2 6" xfId="12711" xr:uid="{5FF2AD7C-585D-4516-BDDE-B1B503BF6CF6}"/>
    <cellStyle name="Note 3 2 3 2 2 3" xfId="1497" xr:uid="{00000000-0005-0000-0000-00008A070000}"/>
    <cellStyle name="Note 3 2 3 2 2 3 2" xfId="5398" xr:uid="{00000000-0005-0000-0000-00008B070000}"/>
    <cellStyle name="Note 3 2 3 2 2 3 3" xfId="9407" xr:uid="{DAA8CF21-CEA2-472F-9BC2-16FF03409779}"/>
    <cellStyle name="Note 3 2 3 2 2 3 4" xfId="13298" xr:uid="{D98D8F69-4D0D-4CBA-A170-69A8394C6FF9}"/>
    <cellStyle name="Note 3 2 3 2 2 4" xfId="1877" xr:uid="{00000000-0005-0000-0000-00008C070000}"/>
    <cellStyle name="Note 3 2 3 2 2 4 2" xfId="5774" xr:uid="{00000000-0005-0000-0000-00008D070000}"/>
    <cellStyle name="Note 3 2 3 2 2 4 3" xfId="9783" xr:uid="{9A0D1C72-82BF-45CE-B610-C9CE4F6627D7}"/>
    <cellStyle name="Note 3 2 3 2 2 5" xfId="3442" xr:uid="{00000000-0005-0000-0000-00008E070000}"/>
    <cellStyle name="Note 3 2 3 2 2 5 2" xfId="7336" xr:uid="{00000000-0005-0000-0000-00008F070000}"/>
    <cellStyle name="Note 3 2 3 2 2 5 3" xfId="11345" xr:uid="{3FD0C49C-19EE-4BD7-80DE-061D506B8186}"/>
    <cellStyle name="Note 3 2 3 2 2 6" xfId="4620" xr:uid="{00000000-0005-0000-0000-000090070000}"/>
    <cellStyle name="Note 3 2 3 2 2 7" xfId="8629" xr:uid="{6A9F4E4A-B5E6-4473-87CC-D6A4FAA116AD}"/>
    <cellStyle name="Note 3 2 3 2 2 8" xfId="12520" xr:uid="{942DADAC-60F7-4700-B3AF-35D0EEDD74D9}"/>
    <cellStyle name="Note 3 2 3 2 3" xfId="844" xr:uid="{00000000-0005-0000-0000-000091070000}"/>
    <cellStyle name="Note 3 2 3 2 3 2" xfId="1879" xr:uid="{00000000-0005-0000-0000-000092070000}"/>
    <cellStyle name="Note 3 2 3 2 3 2 2" xfId="5776" xr:uid="{00000000-0005-0000-0000-000093070000}"/>
    <cellStyle name="Note 3 2 3 2 3 2 3" xfId="9785" xr:uid="{CBA368EC-E7B0-4F80-A488-076730394689}"/>
    <cellStyle name="Note 3 2 3 2 3 3" xfId="3963" xr:uid="{00000000-0005-0000-0000-000094070000}"/>
    <cellStyle name="Note 3 2 3 2 3 3 2" xfId="7857" xr:uid="{00000000-0005-0000-0000-000095070000}"/>
    <cellStyle name="Note 3 2 3 2 3 3 3" xfId="11866" xr:uid="{BBDC135E-C2F5-499E-BDB1-003F104E6DA7}"/>
    <cellStyle name="Note 3 2 3 2 3 4" xfId="4745" xr:uid="{00000000-0005-0000-0000-000096070000}"/>
    <cellStyle name="Note 3 2 3 2 3 5" xfId="8754" xr:uid="{21C7199E-56AB-4149-98FB-7A23AE33115A}"/>
    <cellStyle name="Note 3 2 3 2 3 6" xfId="12645" xr:uid="{36F9BDDE-4BB0-453F-B3DD-489488C116F3}"/>
    <cellStyle name="Note 3 2 3 2 4" xfId="1176" xr:uid="{00000000-0005-0000-0000-000097070000}"/>
    <cellStyle name="Note 3 2 3 2 4 2" xfId="5077" xr:uid="{00000000-0005-0000-0000-000098070000}"/>
    <cellStyle name="Note 3 2 3 2 4 3" xfId="9086" xr:uid="{F3023078-5405-4C0F-ACB3-7E0859DC2981}"/>
    <cellStyle name="Note 3 2 3 2 4 4" xfId="12977" xr:uid="{E1E20CA3-4BAB-4193-9562-283885181E48}"/>
    <cellStyle name="Note 3 2 3 2 5" xfId="1876" xr:uid="{00000000-0005-0000-0000-000099070000}"/>
    <cellStyle name="Note 3 2 3 2 5 2" xfId="5773" xr:uid="{00000000-0005-0000-0000-00009A070000}"/>
    <cellStyle name="Note 3 2 3 2 5 3" xfId="9782" xr:uid="{2E695635-1581-4D4C-AAF8-FFF2E2790E56}"/>
    <cellStyle name="Note 3 2 3 2 6" xfId="3121" xr:uid="{00000000-0005-0000-0000-00009B070000}"/>
    <cellStyle name="Note 3 2 3 2 6 2" xfId="7015" xr:uid="{00000000-0005-0000-0000-00009C070000}"/>
    <cellStyle name="Note 3 2 3 2 6 3" xfId="11024" xr:uid="{C4BAE976-A0B1-4AC8-8C62-73508D706DE4}"/>
    <cellStyle name="Note 3 2 3 2 7" xfId="4299" xr:uid="{00000000-0005-0000-0000-00009D070000}"/>
    <cellStyle name="Note 3 2 3 2 8" xfId="8308" xr:uid="{23B8B8E8-4970-4C26-89BB-DD0D454DA87C}"/>
    <cellStyle name="Note 3 2 3 2 9" xfId="12199" xr:uid="{A3E0C61E-0BD9-4D39-8BA4-B71DAA389022}"/>
    <cellStyle name="Note 3 2 3 3" xfId="555" xr:uid="{00000000-0005-0000-0000-00009E070000}"/>
    <cellStyle name="Note 3 2 3 3 2" xfId="877" xr:uid="{00000000-0005-0000-0000-00009F070000}"/>
    <cellStyle name="Note 3 2 3 3 2 2" xfId="1881" xr:uid="{00000000-0005-0000-0000-0000A0070000}"/>
    <cellStyle name="Note 3 2 3 3 2 2 2" xfId="5778" xr:uid="{00000000-0005-0000-0000-0000A1070000}"/>
    <cellStyle name="Note 3 2 3 3 2 2 3" xfId="9787" xr:uid="{6567E24F-CE55-484D-934F-6E72E368D210}"/>
    <cellStyle name="Note 3 2 3 3 2 3" xfId="3996" xr:uid="{00000000-0005-0000-0000-0000A2070000}"/>
    <cellStyle name="Note 3 2 3 3 2 3 2" xfId="7890" xr:uid="{00000000-0005-0000-0000-0000A3070000}"/>
    <cellStyle name="Note 3 2 3 3 2 3 3" xfId="11899" xr:uid="{91898BD0-0D9F-4E2A-8D56-E898F1B27BA6}"/>
    <cellStyle name="Note 3 2 3 3 2 4" xfId="4778" xr:uid="{00000000-0005-0000-0000-0000A4070000}"/>
    <cellStyle name="Note 3 2 3 3 2 5" xfId="8787" xr:uid="{CEA4D6BF-F3F0-4C2A-B371-C67525AA99E4}"/>
    <cellStyle name="Note 3 2 3 3 2 6" xfId="12678" xr:uid="{158D9F7F-0907-46DA-8CE1-5026461EFE49}"/>
    <cellStyle name="Note 3 2 3 3 3" xfId="1336" xr:uid="{00000000-0005-0000-0000-0000A5070000}"/>
    <cellStyle name="Note 3 2 3 3 3 2" xfId="5237" xr:uid="{00000000-0005-0000-0000-0000A6070000}"/>
    <cellStyle name="Note 3 2 3 3 3 3" xfId="9246" xr:uid="{5092AFC0-6956-48E5-BAFA-15F51FC803F6}"/>
    <cellStyle name="Note 3 2 3 3 3 4" xfId="13137" xr:uid="{744C1C46-8A1E-49DF-B63B-D70C5A0C8A76}"/>
    <cellStyle name="Note 3 2 3 3 4" xfId="1880" xr:uid="{00000000-0005-0000-0000-0000A7070000}"/>
    <cellStyle name="Note 3 2 3 3 4 2" xfId="5777" xr:uid="{00000000-0005-0000-0000-0000A8070000}"/>
    <cellStyle name="Note 3 2 3 3 4 3" xfId="9786" xr:uid="{33210684-894C-4ABA-88F3-E729C4BE0D5E}"/>
    <cellStyle name="Note 3 2 3 3 5" xfId="3281" xr:uid="{00000000-0005-0000-0000-0000A9070000}"/>
    <cellStyle name="Note 3 2 3 3 5 2" xfId="7175" xr:uid="{00000000-0005-0000-0000-0000AA070000}"/>
    <cellStyle name="Note 3 2 3 3 5 3" xfId="11184" xr:uid="{4ECE4204-DC46-4A69-80E3-BEF48646EC71}"/>
    <cellStyle name="Note 3 2 3 3 6" xfId="4459" xr:uid="{00000000-0005-0000-0000-0000AB070000}"/>
    <cellStyle name="Note 3 2 3 3 7" xfId="8468" xr:uid="{1EB7AEC6-54CB-4388-9457-682D38B2DD65}"/>
    <cellStyle name="Note 3 2 3 3 8" xfId="12359" xr:uid="{E474E03C-4786-4402-9968-CA16B69AE3C6}"/>
    <cellStyle name="Note 3 2 3 4" xfId="811" xr:uid="{00000000-0005-0000-0000-0000AC070000}"/>
    <cellStyle name="Note 3 2 3 4 2" xfId="1882" xr:uid="{00000000-0005-0000-0000-0000AD070000}"/>
    <cellStyle name="Note 3 2 3 4 2 2" xfId="5779" xr:uid="{00000000-0005-0000-0000-0000AE070000}"/>
    <cellStyle name="Note 3 2 3 4 2 3" xfId="9788" xr:uid="{8AE26CA1-D14E-4FE7-958E-421FF156C427}"/>
    <cellStyle name="Note 3 2 3 4 3" xfId="3930" xr:uid="{00000000-0005-0000-0000-0000AF070000}"/>
    <cellStyle name="Note 3 2 3 4 3 2" xfId="7824" xr:uid="{00000000-0005-0000-0000-0000B0070000}"/>
    <cellStyle name="Note 3 2 3 4 3 3" xfId="11833" xr:uid="{8D7E661B-13D5-4125-87D8-64A528B0FC46}"/>
    <cellStyle name="Note 3 2 3 4 4" xfId="4712" xr:uid="{00000000-0005-0000-0000-0000B1070000}"/>
    <cellStyle name="Note 3 2 3 4 5" xfId="8721" xr:uid="{7D03C45C-76D4-49F7-9736-F9BC6BADDAC1}"/>
    <cellStyle name="Note 3 2 3 4 6" xfId="12612" xr:uid="{3EADA4D0-1196-40E8-82AB-5D7FE96D7FC6}"/>
    <cellStyle name="Note 3 2 3 5" xfId="1015" xr:uid="{00000000-0005-0000-0000-0000B2070000}"/>
    <cellStyle name="Note 3 2 3 5 2" xfId="4916" xr:uid="{00000000-0005-0000-0000-0000B3070000}"/>
    <cellStyle name="Note 3 2 3 5 3" xfId="8925" xr:uid="{57B80E23-2E36-47FE-A9E2-A9AD7445B547}"/>
    <cellStyle name="Note 3 2 3 5 4" xfId="12816" xr:uid="{996515A3-60DA-427B-BD59-CEECC8E429ED}"/>
    <cellStyle name="Note 3 2 3 6" xfId="1875" xr:uid="{00000000-0005-0000-0000-0000B4070000}"/>
    <cellStyle name="Note 3 2 3 6 2" xfId="5772" xr:uid="{00000000-0005-0000-0000-0000B5070000}"/>
    <cellStyle name="Note 3 2 3 6 3" xfId="9781" xr:uid="{B66642FF-64BF-490E-89AC-D9D842E96766}"/>
    <cellStyle name="Note 3 2 3 7" xfId="2960" xr:uid="{00000000-0005-0000-0000-0000B6070000}"/>
    <cellStyle name="Note 3 2 3 7 2" xfId="6854" xr:uid="{00000000-0005-0000-0000-0000B7070000}"/>
    <cellStyle name="Note 3 2 3 7 3" xfId="10863" xr:uid="{1AF611F5-C142-4E4B-AC16-03C6B37E70C0}"/>
    <cellStyle name="Note 3 2 3 8" xfId="4138" xr:uid="{00000000-0005-0000-0000-0000B8070000}"/>
    <cellStyle name="Note 3 2 3 9" xfId="8147" xr:uid="{D1F45D21-D049-4340-9D70-096644D1B04A}"/>
    <cellStyle name="Note 3 2 4" xfId="343" xr:uid="{00000000-0005-0000-0000-0000B9070000}"/>
    <cellStyle name="Note 3 2 4 2" xfId="673" xr:uid="{00000000-0005-0000-0000-0000BA070000}"/>
    <cellStyle name="Note 3 2 4 2 2" xfId="902" xr:uid="{00000000-0005-0000-0000-0000BB070000}"/>
    <cellStyle name="Note 3 2 4 2 2 2" xfId="1885" xr:uid="{00000000-0005-0000-0000-0000BC070000}"/>
    <cellStyle name="Note 3 2 4 2 2 2 2" xfId="5782" xr:uid="{00000000-0005-0000-0000-0000BD070000}"/>
    <cellStyle name="Note 3 2 4 2 2 2 3" xfId="9791" xr:uid="{F6EAD2D7-33CF-4E00-8527-DD36995C31E2}"/>
    <cellStyle name="Note 3 2 4 2 2 3" xfId="4021" xr:uid="{00000000-0005-0000-0000-0000BE070000}"/>
    <cellStyle name="Note 3 2 4 2 2 3 2" xfId="7915" xr:uid="{00000000-0005-0000-0000-0000BF070000}"/>
    <cellStyle name="Note 3 2 4 2 2 3 3" xfId="11924" xr:uid="{85E301E0-E8BD-4994-955B-C55FF6316CBE}"/>
    <cellStyle name="Note 3 2 4 2 2 4" xfId="4803" xr:uid="{00000000-0005-0000-0000-0000C0070000}"/>
    <cellStyle name="Note 3 2 4 2 2 5" xfId="8812" xr:uid="{D003EE98-BBC9-4DB4-93C0-96A252FA76EA}"/>
    <cellStyle name="Note 3 2 4 2 2 6" xfId="12703" xr:uid="{D44E7ADD-0DC8-4EDF-9153-B376D422E94F}"/>
    <cellStyle name="Note 3 2 4 2 3" xfId="1454" xr:uid="{00000000-0005-0000-0000-0000C1070000}"/>
    <cellStyle name="Note 3 2 4 2 3 2" xfId="5355" xr:uid="{00000000-0005-0000-0000-0000C2070000}"/>
    <cellStyle name="Note 3 2 4 2 3 3" xfId="9364" xr:uid="{2335A4F4-E21A-444F-B729-A6511EFB8508}"/>
    <cellStyle name="Note 3 2 4 2 3 4" xfId="13255" xr:uid="{FB79087F-80C0-436E-9CB4-FEABC5E89974}"/>
    <cellStyle name="Note 3 2 4 2 4" xfId="1884" xr:uid="{00000000-0005-0000-0000-0000C3070000}"/>
    <cellStyle name="Note 3 2 4 2 4 2" xfId="5781" xr:uid="{00000000-0005-0000-0000-0000C4070000}"/>
    <cellStyle name="Note 3 2 4 2 4 3" xfId="9790" xr:uid="{BEFA294E-907C-4DC6-8801-9B51E0944205}"/>
    <cellStyle name="Note 3 2 4 2 5" xfId="3399" xr:uid="{00000000-0005-0000-0000-0000C5070000}"/>
    <cellStyle name="Note 3 2 4 2 5 2" xfId="7293" xr:uid="{00000000-0005-0000-0000-0000C6070000}"/>
    <cellStyle name="Note 3 2 4 2 5 3" xfId="11302" xr:uid="{A9B8A936-5FEB-4E7A-BC00-BA9190186FEF}"/>
    <cellStyle name="Note 3 2 4 2 6" xfId="4577" xr:uid="{00000000-0005-0000-0000-0000C7070000}"/>
    <cellStyle name="Note 3 2 4 2 7" xfId="8586" xr:uid="{3F5D36AE-416B-4E9E-B7A1-F06B566BA4F6}"/>
    <cellStyle name="Note 3 2 4 2 8" xfId="12477" xr:uid="{03BD02C8-91E0-4514-B86C-AE9591A26CEC}"/>
    <cellStyle name="Note 3 2 4 3" xfId="836" xr:uid="{00000000-0005-0000-0000-0000C8070000}"/>
    <cellStyle name="Note 3 2 4 3 2" xfId="1886" xr:uid="{00000000-0005-0000-0000-0000C9070000}"/>
    <cellStyle name="Note 3 2 4 3 2 2" xfId="5783" xr:uid="{00000000-0005-0000-0000-0000CA070000}"/>
    <cellStyle name="Note 3 2 4 3 2 3" xfId="9792" xr:uid="{EC6BA6AA-0896-4AE8-BB52-4890DB932801}"/>
    <cellStyle name="Note 3 2 4 3 3" xfId="3955" xr:uid="{00000000-0005-0000-0000-0000CB070000}"/>
    <cellStyle name="Note 3 2 4 3 3 2" xfId="7849" xr:uid="{00000000-0005-0000-0000-0000CC070000}"/>
    <cellStyle name="Note 3 2 4 3 3 3" xfId="11858" xr:uid="{54E4E022-88B4-4002-82E3-1DE19E98355C}"/>
    <cellStyle name="Note 3 2 4 3 4" xfId="4737" xr:uid="{00000000-0005-0000-0000-0000CD070000}"/>
    <cellStyle name="Note 3 2 4 3 5" xfId="8746" xr:uid="{F2CC0117-2667-4DC9-AE09-B20DB34CC7F5}"/>
    <cellStyle name="Note 3 2 4 3 6" xfId="12637" xr:uid="{47012307-F816-4793-BAE2-311659F5E6AD}"/>
    <cellStyle name="Note 3 2 4 4" xfId="1133" xr:uid="{00000000-0005-0000-0000-0000CE070000}"/>
    <cellStyle name="Note 3 2 4 4 2" xfId="5034" xr:uid="{00000000-0005-0000-0000-0000CF070000}"/>
    <cellStyle name="Note 3 2 4 4 3" xfId="9043" xr:uid="{ADA1487F-927D-4592-A54A-838206D0F221}"/>
    <cellStyle name="Note 3 2 4 4 4" xfId="12934" xr:uid="{42ED6227-8B30-4353-923F-B26540CDAB1F}"/>
    <cellStyle name="Note 3 2 4 5" xfId="1883" xr:uid="{00000000-0005-0000-0000-0000D0070000}"/>
    <cellStyle name="Note 3 2 4 5 2" xfId="5780" xr:uid="{00000000-0005-0000-0000-0000D1070000}"/>
    <cellStyle name="Note 3 2 4 5 3" xfId="9789" xr:uid="{37359328-171F-4403-87E2-E0A4E84D130F}"/>
    <cellStyle name="Note 3 2 4 6" xfId="3078" xr:uid="{00000000-0005-0000-0000-0000D2070000}"/>
    <cellStyle name="Note 3 2 4 6 2" xfId="6972" xr:uid="{00000000-0005-0000-0000-0000D3070000}"/>
    <cellStyle name="Note 3 2 4 6 3" xfId="10981" xr:uid="{E78C1DAB-0DA4-47FB-8BE3-7CC0FEF3735D}"/>
    <cellStyle name="Note 3 2 4 7" xfId="4256" xr:uid="{00000000-0005-0000-0000-0000D4070000}"/>
    <cellStyle name="Note 3 2 4 8" xfId="8265" xr:uid="{D828F40C-8C14-4B62-827C-A7FF9C2E00FB}"/>
    <cellStyle name="Note 3 2 4 9" xfId="12156" xr:uid="{52D69AE0-BBAF-494D-AAE8-9B5E2BCAC7F0}"/>
    <cellStyle name="Note 3 2 5" xfId="508" xr:uid="{00000000-0005-0000-0000-0000D5070000}"/>
    <cellStyle name="Note 3 2 5 2" xfId="869" xr:uid="{00000000-0005-0000-0000-0000D6070000}"/>
    <cellStyle name="Note 3 2 5 2 2" xfId="1888" xr:uid="{00000000-0005-0000-0000-0000D7070000}"/>
    <cellStyle name="Note 3 2 5 2 2 2" xfId="5785" xr:uid="{00000000-0005-0000-0000-0000D8070000}"/>
    <cellStyle name="Note 3 2 5 2 2 3" xfId="9794" xr:uid="{D1A9234A-BE87-46D0-A713-4027C6E249FD}"/>
    <cellStyle name="Note 3 2 5 2 3" xfId="3988" xr:uid="{00000000-0005-0000-0000-0000D9070000}"/>
    <cellStyle name="Note 3 2 5 2 3 2" xfId="7882" xr:uid="{00000000-0005-0000-0000-0000DA070000}"/>
    <cellStyle name="Note 3 2 5 2 3 3" xfId="11891" xr:uid="{94B12DB3-A7C7-4EFD-A050-D4C108D56ED7}"/>
    <cellStyle name="Note 3 2 5 2 4" xfId="4770" xr:uid="{00000000-0005-0000-0000-0000DB070000}"/>
    <cellStyle name="Note 3 2 5 2 5" xfId="8779" xr:uid="{BCAE4F2E-0F07-447A-85A8-EF8E143F55E1}"/>
    <cellStyle name="Note 3 2 5 2 6" xfId="12670" xr:uid="{40BB58E8-D9EE-4E87-9C5A-E7EE09FD7718}"/>
    <cellStyle name="Note 3 2 5 3" xfId="1289" xr:uid="{00000000-0005-0000-0000-0000DC070000}"/>
    <cellStyle name="Note 3 2 5 3 2" xfId="5190" xr:uid="{00000000-0005-0000-0000-0000DD070000}"/>
    <cellStyle name="Note 3 2 5 3 3" xfId="9199" xr:uid="{FBFA78BD-3D40-4406-8CA7-715F675FCFE3}"/>
    <cellStyle name="Note 3 2 5 3 4" xfId="13090" xr:uid="{1F84A6DB-A8EC-4B09-8FCE-691D1030B7DA}"/>
    <cellStyle name="Note 3 2 5 4" xfId="1887" xr:uid="{00000000-0005-0000-0000-0000DE070000}"/>
    <cellStyle name="Note 3 2 5 4 2" xfId="5784" xr:uid="{00000000-0005-0000-0000-0000DF070000}"/>
    <cellStyle name="Note 3 2 5 4 3" xfId="9793" xr:uid="{B355A0BA-A6B6-442E-B591-E0EBBA729FE7}"/>
    <cellStyle name="Note 3 2 5 5" xfId="3234" xr:uid="{00000000-0005-0000-0000-0000E0070000}"/>
    <cellStyle name="Note 3 2 5 5 2" xfId="7128" xr:uid="{00000000-0005-0000-0000-0000E1070000}"/>
    <cellStyle name="Note 3 2 5 5 3" xfId="11137" xr:uid="{C36CF1D4-E336-4A11-98E7-8C065D737C9E}"/>
    <cellStyle name="Note 3 2 5 6" xfId="4412" xr:uid="{00000000-0005-0000-0000-0000E2070000}"/>
    <cellStyle name="Note 3 2 5 7" xfId="8421" xr:uid="{8B3326FD-88C7-46E4-AE47-217CF798A3E0}"/>
    <cellStyle name="Note 3 2 5 8" xfId="12312" xr:uid="{760EF182-5B6E-4A03-A185-5F087D42E788}"/>
    <cellStyle name="Note 3 2 6" xfId="803" xr:uid="{00000000-0005-0000-0000-0000E3070000}"/>
    <cellStyle name="Note 3 2 6 2" xfId="1889" xr:uid="{00000000-0005-0000-0000-0000E4070000}"/>
    <cellStyle name="Note 3 2 6 2 2" xfId="5786" xr:uid="{00000000-0005-0000-0000-0000E5070000}"/>
    <cellStyle name="Note 3 2 6 2 3" xfId="9795" xr:uid="{52BACC89-AB4F-4370-84EF-038ED4E09D9C}"/>
    <cellStyle name="Note 3 2 6 3" xfId="3922" xr:uid="{00000000-0005-0000-0000-0000E6070000}"/>
    <cellStyle name="Note 3 2 6 3 2" xfId="7816" xr:uid="{00000000-0005-0000-0000-0000E7070000}"/>
    <cellStyle name="Note 3 2 6 3 3" xfId="11825" xr:uid="{D6B9E2C3-5662-4D5B-B14A-E989374C8867}"/>
    <cellStyle name="Note 3 2 6 4" xfId="4704" xr:uid="{00000000-0005-0000-0000-0000E8070000}"/>
    <cellStyle name="Note 3 2 6 5" xfId="8713" xr:uid="{106FA7C2-993F-4F11-81A3-BAA08BD186ED}"/>
    <cellStyle name="Note 3 2 6 6" xfId="12604" xr:uid="{D0DAB82D-B4E8-455C-81C5-D82C0D87461E}"/>
    <cellStyle name="Note 3 2 7" xfId="968" xr:uid="{00000000-0005-0000-0000-0000E9070000}"/>
    <cellStyle name="Note 3 2 7 2" xfId="4869" xr:uid="{00000000-0005-0000-0000-0000EA070000}"/>
    <cellStyle name="Note 3 2 7 3" xfId="8878" xr:uid="{F0C54560-2219-4EBD-9403-A7C3370E1359}"/>
    <cellStyle name="Note 3 2 7 4" xfId="12769" xr:uid="{D20606FC-4CB1-4D29-81D8-F5901ED23252}"/>
    <cellStyle name="Note 3 2 8" xfId="1866" xr:uid="{00000000-0005-0000-0000-0000EB070000}"/>
    <cellStyle name="Note 3 2 8 2" xfId="5763" xr:uid="{00000000-0005-0000-0000-0000EC070000}"/>
    <cellStyle name="Note 3 2 8 3" xfId="9772" xr:uid="{9AF6B4FD-9756-4A51-B052-E4C1722E048C}"/>
    <cellStyle name="Note 3 2 9" xfId="2913" xr:uid="{00000000-0005-0000-0000-0000ED070000}"/>
    <cellStyle name="Note 3 2 9 2" xfId="6807" xr:uid="{00000000-0005-0000-0000-0000EE070000}"/>
    <cellStyle name="Note 3 2 9 3" xfId="10816" xr:uid="{4593B27D-ACF3-49D7-ADB0-A2C56CEF7A0F}"/>
    <cellStyle name="Note 3 3" xfId="254" xr:uid="{00000000-0005-0000-0000-0000EF070000}"/>
    <cellStyle name="Note 3 3 10" xfId="12067" xr:uid="{33CBBB92-8297-4297-814C-C820EEDDFDAD}"/>
    <cellStyle name="Note 3 3 11" xfId="13503" xr:uid="{01F3F759-9876-4AD3-BAD1-BB243EB4B140}"/>
    <cellStyle name="Note 3 3 2" xfId="411" xr:uid="{00000000-0005-0000-0000-0000F0070000}"/>
    <cellStyle name="Note 3 3 2 2" xfId="741" xr:uid="{00000000-0005-0000-0000-0000F1070000}"/>
    <cellStyle name="Note 3 3 2 2 2" xfId="917" xr:uid="{00000000-0005-0000-0000-0000F2070000}"/>
    <cellStyle name="Note 3 3 2 2 2 2" xfId="1893" xr:uid="{00000000-0005-0000-0000-0000F3070000}"/>
    <cellStyle name="Note 3 3 2 2 2 2 2" xfId="5790" xr:uid="{00000000-0005-0000-0000-0000F4070000}"/>
    <cellStyle name="Note 3 3 2 2 2 2 3" xfId="9799" xr:uid="{83801A6D-328C-4227-94C7-EF1A75BD8561}"/>
    <cellStyle name="Note 3 3 2 2 2 3" xfId="4036" xr:uid="{00000000-0005-0000-0000-0000F5070000}"/>
    <cellStyle name="Note 3 3 2 2 2 3 2" xfId="7930" xr:uid="{00000000-0005-0000-0000-0000F6070000}"/>
    <cellStyle name="Note 3 3 2 2 2 3 3" xfId="11939" xr:uid="{83C0BF89-30C0-4D70-AC16-C73A13D93665}"/>
    <cellStyle name="Note 3 3 2 2 2 4" xfId="4818" xr:uid="{00000000-0005-0000-0000-0000F7070000}"/>
    <cellStyle name="Note 3 3 2 2 2 5" xfId="8827" xr:uid="{AD3385F1-41DF-47D5-914A-F1372A2AD49E}"/>
    <cellStyle name="Note 3 3 2 2 2 6" xfId="12718" xr:uid="{2CED82EE-BC64-4946-A558-AD9B69861201}"/>
    <cellStyle name="Note 3 3 2 2 3" xfId="1522" xr:uid="{00000000-0005-0000-0000-0000F8070000}"/>
    <cellStyle name="Note 3 3 2 2 3 2" xfId="5423" xr:uid="{00000000-0005-0000-0000-0000F9070000}"/>
    <cellStyle name="Note 3 3 2 2 3 3" xfId="9432" xr:uid="{23DF4DC8-EE4D-49BD-941D-61A547B67390}"/>
    <cellStyle name="Note 3 3 2 2 3 4" xfId="13323" xr:uid="{9C49DA79-8512-44BD-B516-D43F5B0E12BF}"/>
    <cellStyle name="Note 3 3 2 2 4" xfId="1892" xr:uid="{00000000-0005-0000-0000-0000FA070000}"/>
    <cellStyle name="Note 3 3 2 2 4 2" xfId="5789" xr:uid="{00000000-0005-0000-0000-0000FB070000}"/>
    <cellStyle name="Note 3 3 2 2 4 3" xfId="9798" xr:uid="{B865BF2F-2CE7-4347-9A79-80BCDD705F5D}"/>
    <cellStyle name="Note 3 3 2 2 5" xfId="3467" xr:uid="{00000000-0005-0000-0000-0000FC070000}"/>
    <cellStyle name="Note 3 3 2 2 5 2" xfId="7361" xr:uid="{00000000-0005-0000-0000-0000FD070000}"/>
    <cellStyle name="Note 3 3 2 2 5 3" xfId="11370" xr:uid="{CCB39F27-0A48-4CF7-9CCA-AFAAFB06D70F}"/>
    <cellStyle name="Note 3 3 2 2 6" xfId="4645" xr:uid="{00000000-0005-0000-0000-0000FE070000}"/>
    <cellStyle name="Note 3 3 2 2 7" xfId="8654" xr:uid="{D6B6323B-2EC3-4F8C-9830-32239247F50C}"/>
    <cellStyle name="Note 3 3 2 2 8" xfId="12545" xr:uid="{7EAB20DA-992E-4403-95D5-16661E1CD350}"/>
    <cellStyle name="Note 3 3 2 3" xfId="851" xr:uid="{00000000-0005-0000-0000-0000FF070000}"/>
    <cellStyle name="Note 3 3 2 3 2" xfId="1894" xr:uid="{00000000-0005-0000-0000-000000080000}"/>
    <cellStyle name="Note 3 3 2 3 2 2" xfId="5791" xr:uid="{00000000-0005-0000-0000-000001080000}"/>
    <cellStyle name="Note 3 3 2 3 2 3" xfId="9800" xr:uid="{D94D4938-FFD0-4BD5-BC79-59917D948E9E}"/>
    <cellStyle name="Note 3 3 2 3 3" xfId="3970" xr:uid="{00000000-0005-0000-0000-000002080000}"/>
    <cellStyle name="Note 3 3 2 3 3 2" xfId="7864" xr:uid="{00000000-0005-0000-0000-000003080000}"/>
    <cellStyle name="Note 3 3 2 3 3 3" xfId="11873" xr:uid="{192A9F8C-BDFF-48CC-BFEE-CDD572E6AE88}"/>
    <cellStyle name="Note 3 3 2 3 4" xfId="4752" xr:uid="{00000000-0005-0000-0000-000004080000}"/>
    <cellStyle name="Note 3 3 2 3 5" xfId="8761" xr:uid="{E230A651-CE75-46AA-95AA-6A70D8FFEF71}"/>
    <cellStyle name="Note 3 3 2 3 6" xfId="12652" xr:uid="{4D39C93C-5A0B-4B99-9A56-E75770C3208B}"/>
    <cellStyle name="Note 3 3 2 4" xfId="1201" xr:uid="{00000000-0005-0000-0000-000005080000}"/>
    <cellStyle name="Note 3 3 2 4 2" xfId="5102" xr:uid="{00000000-0005-0000-0000-000006080000}"/>
    <cellStyle name="Note 3 3 2 4 3" xfId="9111" xr:uid="{76F28E5B-BEE5-4657-BC6B-FF9597B64DDF}"/>
    <cellStyle name="Note 3 3 2 4 4" xfId="13002" xr:uid="{9FFC1A3C-2C1D-4674-944A-CEF87D93AB20}"/>
    <cellStyle name="Note 3 3 2 5" xfId="1891" xr:uid="{00000000-0005-0000-0000-000007080000}"/>
    <cellStyle name="Note 3 3 2 5 2" xfId="5788" xr:uid="{00000000-0005-0000-0000-000008080000}"/>
    <cellStyle name="Note 3 3 2 5 3" xfId="9797" xr:uid="{0C780C62-1323-499A-B3CA-E377ADEA88E4}"/>
    <cellStyle name="Note 3 3 2 6" xfId="3146" xr:uid="{00000000-0005-0000-0000-000009080000}"/>
    <cellStyle name="Note 3 3 2 6 2" xfId="7040" xr:uid="{00000000-0005-0000-0000-00000A080000}"/>
    <cellStyle name="Note 3 3 2 6 3" xfId="11049" xr:uid="{2AF46F1F-22EB-4B4D-8BC7-1DE40DA24F94}"/>
    <cellStyle name="Note 3 3 2 7" xfId="4324" xr:uid="{00000000-0005-0000-0000-00000B080000}"/>
    <cellStyle name="Note 3 3 2 8" xfId="8333" xr:uid="{EADC7DAE-3A67-451D-B314-1DB7935DA4B1}"/>
    <cellStyle name="Note 3 3 2 9" xfId="12224" xr:uid="{0EBF454A-49C4-47B7-9249-881F4437B410}"/>
    <cellStyle name="Note 3 3 3" xfId="584" xr:uid="{00000000-0005-0000-0000-00000C080000}"/>
    <cellStyle name="Note 3 3 3 2" xfId="884" xr:uid="{00000000-0005-0000-0000-00000D080000}"/>
    <cellStyle name="Note 3 3 3 2 2" xfId="1896" xr:uid="{00000000-0005-0000-0000-00000E080000}"/>
    <cellStyle name="Note 3 3 3 2 2 2" xfId="5793" xr:uid="{00000000-0005-0000-0000-00000F080000}"/>
    <cellStyle name="Note 3 3 3 2 2 3" xfId="9802" xr:uid="{F45A25D9-68C8-4FA4-9D3F-828A3A0B6FF0}"/>
    <cellStyle name="Note 3 3 3 2 3" xfId="4003" xr:uid="{00000000-0005-0000-0000-000010080000}"/>
    <cellStyle name="Note 3 3 3 2 3 2" xfId="7897" xr:uid="{00000000-0005-0000-0000-000011080000}"/>
    <cellStyle name="Note 3 3 3 2 3 3" xfId="11906" xr:uid="{07ED064C-0314-41B2-B2CF-A47CFB664AA4}"/>
    <cellStyle name="Note 3 3 3 2 4" xfId="4785" xr:uid="{00000000-0005-0000-0000-000012080000}"/>
    <cellStyle name="Note 3 3 3 2 5" xfId="8794" xr:uid="{5B266D48-66AC-48A5-A213-D266961D1577}"/>
    <cellStyle name="Note 3 3 3 2 6" xfId="12685" xr:uid="{79B6B03B-FA4B-4790-B719-6ABEE7918BEB}"/>
    <cellStyle name="Note 3 3 3 3" xfId="1365" xr:uid="{00000000-0005-0000-0000-000013080000}"/>
    <cellStyle name="Note 3 3 3 3 2" xfId="5266" xr:uid="{00000000-0005-0000-0000-000014080000}"/>
    <cellStyle name="Note 3 3 3 3 3" xfId="9275" xr:uid="{99E086F6-566A-4757-BD87-214A98535288}"/>
    <cellStyle name="Note 3 3 3 3 4" xfId="13166" xr:uid="{4D4E9D48-5C8B-4339-AA49-C97912075C5A}"/>
    <cellStyle name="Note 3 3 3 4" xfId="1895" xr:uid="{00000000-0005-0000-0000-000015080000}"/>
    <cellStyle name="Note 3 3 3 4 2" xfId="5792" xr:uid="{00000000-0005-0000-0000-000016080000}"/>
    <cellStyle name="Note 3 3 3 4 3" xfId="9801" xr:uid="{10EEC2BE-D916-4380-9A69-7B43BF711F1D}"/>
    <cellStyle name="Note 3 3 3 5" xfId="3310" xr:uid="{00000000-0005-0000-0000-000017080000}"/>
    <cellStyle name="Note 3 3 3 5 2" xfId="7204" xr:uid="{00000000-0005-0000-0000-000018080000}"/>
    <cellStyle name="Note 3 3 3 5 3" xfId="11213" xr:uid="{89C5E904-52BB-4A8F-B43B-80EE3572363E}"/>
    <cellStyle name="Note 3 3 3 6" xfId="4488" xr:uid="{00000000-0005-0000-0000-000019080000}"/>
    <cellStyle name="Note 3 3 3 7" xfId="8497" xr:uid="{2325B0A1-E0D2-434F-9B9D-01E0D265EAE8}"/>
    <cellStyle name="Note 3 3 3 8" xfId="12388" xr:uid="{F97D3F94-C5BE-4AA8-BCCB-F3A66D38E9F6}"/>
    <cellStyle name="Note 3 3 4" xfId="818" xr:uid="{00000000-0005-0000-0000-00001A080000}"/>
    <cellStyle name="Note 3 3 4 2" xfId="1897" xr:uid="{00000000-0005-0000-0000-00001B080000}"/>
    <cellStyle name="Note 3 3 4 2 2" xfId="5794" xr:uid="{00000000-0005-0000-0000-00001C080000}"/>
    <cellStyle name="Note 3 3 4 2 3" xfId="9803" xr:uid="{1ECDB4AC-F9E9-4899-9877-CE22D2DA8059}"/>
    <cellStyle name="Note 3 3 4 3" xfId="3937" xr:uid="{00000000-0005-0000-0000-00001D080000}"/>
    <cellStyle name="Note 3 3 4 3 2" xfId="7831" xr:uid="{00000000-0005-0000-0000-00001E080000}"/>
    <cellStyle name="Note 3 3 4 3 3" xfId="11840" xr:uid="{2A3400D1-4C94-4B6A-8BA7-70B71F5CAC62}"/>
    <cellStyle name="Note 3 3 4 4" xfId="4719" xr:uid="{00000000-0005-0000-0000-00001F080000}"/>
    <cellStyle name="Note 3 3 4 5" xfId="8728" xr:uid="{4D295A93-6572-4EAC-AE68-30DC67C282F9}"/>
    <cellStyle name="Note 3 3 4 6" xfId="12619" xr:uid="{0B8A3E54-88EF-479A-B3B7-7F513888CE85}"/>
    <cellStyle name="Note 3 3 5" xfId="1044" xr:uid="{00000000-0005-0000-0000-000020080000}"/>
    <cellStyle name="Note 3 3 5 2" xfId="4945" xr:uid="{00000000-0005-0000-0000-000021080000}"/>
    <cellStyle name="Note 3 3 5 3" xfId="8954" xr:uid="{C5FBCBBA-D69C-4E37-AAE8-D7E176CACBE1}"/>
    <cellStyle name="Note 3 3 5 4" xfId="12845" xr:uid="{FFB972DF-F932-41C0-B5CE-9983185DEC0B}"/>
    <cellStyle name="Note 3 3 6" xfId="1890" xr:uid="{00000000-0005-0000-0000-000022080000}"/>
    <cellStyle name="Note 3 3 6 2" xfId="5787" xr:uid="{00000000-0005-0000-0000-000023080000}"/>
    <cellStyle name="Note 3 3 6 3" xfId="9796" xr:uid="{DB17704F-B805-4284-AA05-E46BBB9308CA}"/>
    <cellStyle name="Note 3 3 7" xfId="2989" xr:uid="{00000000-0005-0000-0000-000024080000}"/>
    <cellStyle name="Note 3 3 7 2" xfId="6883" xr:uid="{00000000-0005-0000-0000-000025080000}"/>
    <cellStyle name="Note 3 3 7 3" xfId="10892" xr:uid="{69A279CD-9A33-4FA8-907B-6FE000BDC990}"/>
    <cellStyle name="Note 3 3 8" xfId="4167" xr:uid="{00000000-0005-0000-0000-000026080000}"/>
    <cellStyle name="Note 3 3 9" xfId="8176" xr:uid="{1E982102-A173-4C9F-9911-49AE17E6A26A}"/>
    <cellStyle name="Note 3 4" xfId="219" xr:uid="{00000000-0005-0000-0000-000027080000}"/>
    <cellStyle name="Note 3 4 10" xfId="12032" xr:uid="{E8D052E1-3F7B-4DD5-9FEA-D681FD21E818}"/>
    <cellStyle name="Note 3 4 11" xfId="13468" xr:uid="{8B0381A9-9310-4629-B233-9B3E5E227F8D}"/>
    <cellStyle name="Note 3 4 2" xfId="381" xr:uid="{00000000-0005-0000-0000-000028080000}"/>
    <cellStyle name="Note 3 4 2 2" xfId="711" xr:uid="{00000000-0005-0000-0000-000029080000}"/>
    <cellStyle name="Note 3 4 2 2 2" xfId="908" xr:uid="{00000000-0005-0000-0000-00002A080000}"/>
    <cellStyle name="Note 3 4 2 2 2 2" xfId="1901" xr:uid="{00000000-0005-0000-0000-00002B080000}"/>
    <cellStyle name="Note 3 4 2 2 2 2 2" xfId="5798" xr:uid="{00000000-0005-0000-0000-00002C080000}"/>
    <cellStyle name="Note 3 4 2 2 2 2 3" xfId="9807" xr:uid="{AE8BCBE2-D525-4327-94D9-975739AEE70E}"/>
    <cellStyle name="Note 3 4 2 2 2 3" xfId="4027" xr:uid="{00000000-0005-0000-0000-00002D080000}"/>
    <cellStyle name="Note 3 4 2 2 2 3 2" xfId="7921" xr:uid="{00000000-0005-0000-0000-00002E080000}"/>
    <cellStyle name="Note 3 4 2 2 2 3 3" xfId="11930" xr:uid="{8797859D-AD98-47F1-B79A-27950BF47A33}"/>
    <cellStyle name="Note 3 4 2 2 2 4" xfId="4809" xr:uid="{00000000-0005-0000-0000-00002F080000}"/>
    <cellStyle name="Note 3 4 2 2 2 5" xfId="8818" xr:uid="{B83278EF-5DEF-47C0-9FB0-F6898D17727F}"/>
    <cellStyle name="Note 3 4 2 2 2 6" xfId="12709" xr:uid="{7451544B-D9F4-4DC3-BCC0-D43EF976C3DC}"/>
    <cellStyle name="Note 3 4 2 2 3" xfId="1492" xr:uid="{00000000-0005-0000-0000-000030080000}"/>
    <cellStyle name="Note 3 4 2 2 3 2" xfId="5393" xr:uid="{00000000-0005-0000-0000-000031080000}"/>
    <cellStyle name="Note 3 4 2 2 3 3" xfId="9402" xr:uid="{00401F7C-7113-4A9D-8072-D49E6CC2BE8B}"/>
    <cellStyle name="Note 3 4 2 2 3 4" xfId="13293" xr:uid="{27DCEC67-FE05-4689-8B56-F99EA75C6FC5}"/>
    <cellStyle name="Note 3 4 2 2 4" xfId="1900" xr:uid="{00000000-0005-0000-0000-000032080000}"/>
    <cellStyle name="Note 3 4 2 2 4 2" xfId="5797" xr:uid="{00000000-0005-0000-0000-000033080000}"/>
    <cellStyle name="Note 3 4 2 2 4 3" xfId="9806" xr:uid="{92BC3F34-5F21-4DF1-8E1B-73EEA50578EC}"/>
    <cellStyle name="Note 3 4 2 2 5" xfId="3437" xr:uid="{00000000-0005-0000-0000-000034080000}"/>
    <cellStyle name="Note 3 4 2 2 5 2" xfId="7331" xr:uid="{00000000-0005-0000-0000-000035080000}"/>
    <cellStyle name="Note 3 4 2 2 5 3" xfId="11340" xr:uid="{D94F4926-FCB9-442F-AD8C-47536F2DF77A}"/>
    <cellStyle name="Note 3 4 2 2 6" xfId="4615" xr:uid="{00000000-0005-0000-0000-000036080000}"/>
    <cellStyle name="Note 3 4 2 2 7" xfId="8624" xr:uid="{0E19F69F-FFF3-4B08-AD65-6094D584268B}"/>
    <cellStyle name="Note 3 4 2 2 8" xfId="12515" xr:uid="{0FF12471-E222-4794-9C13-A294A9E6D7A3}"/>
    <cellStyle name="Note 3 4 2 3" xfId="842" xr:uid="{00000000-0005-0000-0000-000037080000}"/>
    <cellStyle name="Note 3 4 2 3 2" xfId="1902" xr:uid="{00000000-0005-0000-0000-000038080000}"/>
    <cellStyle name="Note 3 4 2 3 2 2" xfId="5799" xr:uid="{00000000-0005-0000-0000-000039080000}"/>
    <cellStyle name="Note 3 4 2 3 2 3" xfId="9808" xr:uid="{93B42C62-F171-4DDB-B237-51F0B81E53C3}"/>
    <cellStyle name="Note 3 4 2 3 3" xfId="3961" xr:uid="{00000000-0005-0000-0000-00003A080000}"/>
    <cellStyle name="Note 3 4 2 3 3 2" xfId="7855" xr:uid="{00000000-0005-0000-0000-00003B080000}"/>
    <cellStyle name="Note 3 4 2 3 3 3" xfId="11864" xr:uid="{71112765-77E5-4293-9E9A-62C2EF787E99}"/>
    <cellStyle name="Note 3 4 2 3 4" xfId="4743" xr:uid="{00000000-0005-0000-0000-00003C080000}"/>
    <cellStyle name="Note 3 4 2 3 5" xfId="8752" xr:uid="{6B72D364-06CF-4453-B43A-154DE011B045}"/>
    <cellStyle name="Note 3 4 2 3 6" xfId="12643" xr:uid="{099CDD89-6C19-45BC-B0DC-9C2CD494F4FE}"/>
    <cellStyle name="Note 3 4 2 4" xfId="1171" xr:uid="{00000000-0005-0000-0000-00003D080000}"/>
    <cellStyle name="Note 3 4 2 4 2" xfId="5072" xr:uid="{00000000-0005-0000-0000-00003E080000}"/>
    <cellStyle name="Note 3 4 2 4 3" xfId="9081" xr:uid="{EE711884-ED30-468E-8006-02698D7EED55}"/>
    <cellStyle name="Note 3 4 2 4 4" xfId="12972" xr:uid="{A3ECB065-3017-4520-AB40-70FB4D7A83EA}"/>
    <cellStyle name="Note 3 4 2 5" xfId="1899" xr:uid="{00000000-0005-0000-0000-00003F080000}"/>
    <cellStyle name="Note 3 4 2 5 2" xfId="5796" xr:uid="{00000000-0005-0000-0000-000040080000}"/>
    <cellStyle name="Note 3 4 2 5 3" xfId="9805" xr:uid="{144B3B07-F15D-4F99-9B4A-711D14A175BF}"/>
    <cellStyle name="Note 3 4 2 6" xfId="3116" xr:uid="{00000000-0005-0000-0000-000041080000}"/>
    <cellStyle name="Note 3 4 2 6 2" xfId="7010" xr:uid="{00000000-0005-0000-0000-000042080000}"/>
    <cellStyle name="Note 3 4 2 6 3" xfId="11019" xr:uid="{9B120182-3390-403A-9F60-9C4026F9596A}"/>
    <cellStyle name="Note 3 4 2 7" xfId="4294" xr:uid="{00000000-0005-0000-0000-000043080000}"/>
    <cellStyle name="Note 3 4 2 8" xfId="8303" xr:uid="{9D4208DD-1399-41A1-AA07-9CBF6F3FED1A}"/>
    <cellStyle name="Note 3 4 2 9" xfId="12194" xr:uid="{96152848-2D39-49D9-8E98-518515C140BE}"/>
    <cellStyle name="Note 3 4 3" xfId="549" xr:uid="{00000000-0005-0000-0000-000044080000}"/>
    <cellStyle name="Note 3 4 3 2" xfId="875" xr:uid="{00000000-0005-0000-0000-000045080000}"/>
    <cellStyle name="Note 3 4 3 2 2" xfId="1904" xr:uid="{00000000-0005-0000-0000-000046080000}"/>
    <cellStyle name="Note 3 4 3 2 2 2" xfId="5801" xr:uid="{00000000-0005-0000-0000-000047080000}"/>
    <cellStyle name="Note 3 4 3 2 2 3" xfId="9810" xr:uid="{2E4988CD-CF3F-4C17-8B5F-7E722D0CC9A0}"/>
    <cellStyle name="Note 3 4 3 2 3" xfId="3994" xr:uid="{00000000-0005-0000-0000-000048080000}"/>
    <cellStyle name="Note 3 4 3 2 3 2" xfId="7888" xr:uid="{00000000-0005-0000-0000-000049080000}"/>
    <cellStyle name="Note 3 4 3 2 3 3" xfId="11897" xr:uid="{544C691B-B2D9-4E36-B71C-263026AA540E}"/>
    <cellStyle name="Note 3 4 3 2 4" xfId="4776" xr:uid="{00000000-0005-0000-0000-00004A080000}"/>
    <cellStyle name="Note 3 4 3 2 5" xfId="8785" xr:uid="{97D90A76-E69C-46DF-97E3-04D56F5D8A8B}"/>
    <cellStyle name="Note 3 4 3 2 6" xfId="12676" xr:uid="{51D89FA6-B5C7-405E-A40F-9ECCAA6D74F8}"/>
    <cellStyle name="Note 3 4 3 3" xfId="1330" xr:uid="{00000000-0005-0000-0000-00004B080000}"/>
    <cellStyle name="Note 3 4 3 3 2" xfId="5231" xr:uid="{00000000-0005-0000-0000-00004C080000}"/>
    <cellStyle name="Note 3 4 3 3 3" xfId="9240" xr:uid="{88833285-FE4C-4640-95BD-B15CA094705E}"/>
    <cellStyle name="Note 3 4 3 3 4" xfId="13131" xr:uid="{08ACD942-91B6-4EA7-B863-1EACEED43247}"/>
    <cellStyle name="Note 3 4 3 4" xfId="1903" xr:uid="{00000000-0005-0000-0000-00004D080000}"/>
    <cellStyle name="Note 3 4 3 4 2" xfId="5800" xr:uid="{00000000-0005-0000-0000-00004E080000}"/>
    <cellStyle name="Note 3 4 3 4 3" xfId="9809" xr:uid="{423B6FD1-A298-4095-BB9A-C502E6064ED8}"/>
    <cellStyle name="Note 3 4 3 5" xfId="3275" xr:uid="{00000000-0005-0000-0000-00004F080000}"/>
    <cellStyle name="Note 3 4 3 5 2" xfId="7169" xr:uid="{00000000-0005-0000-0000-000050080000}"/>
    <cellStyle name="Note 3 4 3 5 3" xfId="11178" xr:uid="{72D561F2-E681-4397-93F6-690655F7E8A7}"/>
    <cellStyle name="Note 3 4 3 6" xfId="4453" xr:uid="{00000000-0005-0000-0000-000051080000}"/>
    <cellStyle name="Note 3 4 3 7" xfId="8462" xr:uid="{5303F113-F51E-4E7E-9177-B6A2DD5F9FC1}"/>
    <cellStyle name="Note 3 4 3 8" xfId="12353" xr:uid="{6D9D5585-B48D-4239-B769-099FDAC9FC0A}"/>
    <cellStyle name="Note 3 4 4" xfId="809" xr:uid="{00000000-0005-0000-0000-000052080000}"/>
    <cellStyle name="Note 3 4 4 2" xfId="1905" xr:uid="{00000000-0005-0000-0000-000053080000}"/>
    <cellStyle name="Note 3 4 4 2 2" xfId="5802" xr:uid="{00000000-0005-0000-0000-000054080000}"/>
    <cellStyle name="Note 3 4 4 2 3" xfId="9811" xr:uid="{156350F2-6245-45F1-B01A-31C184302CB9}"/>
    <cellStyle name="Note 3 4 4 3" xfId="3928" xr:uid="{00000000-0005-0000-0000-000055080000}"/>
    <cellStyle name="Note 3 4 4 3 2" xfId="7822" xr:uid="{00000000-0005-0000-0000-000056080000}"/>
    <cellStyle name="Note 3 4 4 3 3" xfId="11831" xr:uid="{4855DEE2-33E2-4868-AF8B-11365F856D04}"/>
    <cellStyle name="Note 3 4 4 4" xfId="4710" xr:uid="{00000000-0005-0000-0000-000057080000}"/>
    <cellStyle name="Note 3 4 4 5" xfId="8719" xr:uid="{58028067-AFCB-4E12-802D-F7B3DAFCEF28}"/>
    <cellStyle name="Note 3 4 4 6" xfId="12610" xr:uid="{C66B930B-6B52-4D06-B5D0-04B82A50785C}"/>
    <cellStyle name="Note 3 4 5" xfId="1009" xr:uid="{00000000-0005-0000-0000-000058080000}"/>
    <cellStyle name="Note 3 4 5 2" xfId="4910" xr:uid="{00000000-0005-0000-0000-000059080000}"/>
    <cellStyle name="Note 3 4 5 3" xfId="8919" xr:uid="{B2163B15-C7C2-4007-A2EE-4A2A09D370F9}"/>
    <cellStyle name="Note 3 4 5 4" xfId="12810" xr:uid="{3A88C073-866D-41F0-A089-99A16C4EEA96}"/>
    <cellStyle name="Note 3 4 6" xfId="1898" xr:uid="{00000000-0005-0000-0000-00005A080000}"/>
    <cellStyle name="Note 3 4 6 2" xfId="5795" xr:uid="{00000000-0005-0000-0000-00005B080000}"/>
    <cellStyle name="Note 3 4 6 3" xfId="9804" xr:uid="{96E89A2C-1B31-4E45-8F69-D10CC93FD38D}"/>
    <cellStyle name="Note 3 4 7" xfId="2954" xr:uid="{00000000-0005-0000-0000-00005C080000}"/>
    <cellStyle name="Note 3 4 7 2" xfId="6848" xr:uid="{00000000-0005-0000-0000-00005D080000}"/>
    <cellStyle name="Note 3 4 7 3" xfId="10857" xr:uid="{DE4BFE7B-124D-4B04-A29A-ABB4C233A60C}"/>
    <cellStyle name="Note 3 4 8" xfId="4132" xr:uid="{00000000-0005-0000-0000-00005E080000}"/>
    <cellStyle name="Note 3 4 9" xfId="8141" xr:uid="{204ECB1C-BDCF-4CDF-B556-259E318B5064}"/>
    <cellStyle name="Note 3 5" xfId="328" xr:uid="{00000000-0005-0000-0000-00005F080000}"/>
    <cellStyle name="Note 3 5 2" xfId="658" xr:uid="{00000000-0005-0000-0000-000060080000}"/>
    <cellStyle name="Note 3 5 2 2" xfId="899" xr:uid="{00000000-0005-0000-0000-000061080000}"/>
    <cellStyle name="Note 3 5 2 2 2" xfId="1908" xr:uid="{00000000-0005-0000-0000-000062080000}"/>
    <cellStyle name="Note 3 5 2 2 2 2" xfId="5805" xr:uid="{00000000-0005-0000-0000-000063080000}"/>
    <cellStyle name="Note 3 5 2 2 2 3" xfId="9814" xr:uid="{63D7472B-16DB-4852-A915-A7A9F0934119}"/>
    <cellStyle name="Note 3 5 2 2 3" xfId="4018" xr:uid="{00000000-0005-0000-0000-000064080000}"/>
    <cellStyle name="Note 3 5 2 2 3 2" xfId="7912" xr:uid="{00000000-0005-0000-0000-000065080000}"/>
    <cellStyle name="Note 3 5 2 2 3 3" xfId="11921" xr:uid="{08F030E5-C8FC-4670-A763-6B24B9738A55}"/>
    <cellStyle name="Note 3 5 2 2 4" xfId="4800" xr:uid="{00000000-0005-0000-0000-000066080000}"/>
    <cellStyle name="Note 3 5 2 2 5" xfId="8809" xr:uid="{4618E2A7-2738-4AED-AE4B-B0EF340897B7}"/>
    <cellStyle name="Note 3 5 2 2 6" xfId="12700" xr:uid="{358A0C21-7C07-41C4-AFDA-B37DB4BD7822}"/>
    <cellStyle name="Note 3 5 2 3" xfId="1439" xr:uid="{00000000-0005-0000-0000-000067080000}"/>
    <cellStyle name="Note 3 5 2 3 2" xfId="5340" xr:uid="{00000000-0005-0000-0000-000068080000}"/>
    <cellStyle name="Note 3 5 2 3 3" xfId="9349" xr:uid="{8CA28706-CF2A-4013-9558-C5E8BE47CFB3}"/>
    <cellStyle name="Note 3 5 2 3 4" xfId="13240" xr:uid="{482A1230-E13F-455A-B818-D82466C4F018}"/>
    <cellStyle name="Note 3 5 2 4" xfId="1907" xr:uid="{00000000-0005-0000-0000-000069080000}"/>
    <cellStyle name="Note 3 5 2 4 2" xfId="5804" xr:uid="{00000000-0005-0000-0000-00006A080000}"/>
    <cellStyle name="Note 3 5 2 4 3" xfId="9813" xr:uid="{C6940ADE-E9F4-41BD-8E4E-2DAB943C8929}"/>
    <cellStyle name="Note 3 5 2 5" xfId="3384" xr:uid="{00000000-0005-0000-0000-00006B080000}"/>
    <cellStyle name="Note 3 5 2 5 2" xfId="7278" xr:uid="{00000000-0005-0000-0000-00006C080000}"/>
    <cellStyle name="Note 3 5 2 5 3" xfId="11287" xr:uid="{B29B9E6F-A343-43A9-8880-F06DE41D85B5}"/>
    <cellStyle name="Note 3 5 2 6" xfId="4562" xr:uid="{00000000-0005-0000-0000-00006D080000}"/>
    <cellStyle name="Note 3 5 2 7" xfId="8571" xr:uid="{17BE7D4B-EAAF-42AE-8736-DE3878F8CC65}"/>
    <cellStyle name="Note 3 5 2 8" xfId="12462" xr:uid="{59F61173-F72F-4C7E-9ED0-FA104A199EE8}"/>
    <cellStyle name="Note 3 5 3" xfId="833" xr:uid="{00000000-0005-0000-0000-00006E080000}"/>
    <cellStyle name="Note 3 5 3 2" xfId="1909" xr:uid="{00000000-0005-0000-0000-00006F080000}"/>
    <cellStyle name="Note 3 5 3 2 2" xfId="5806" xr:uid="{00000000-0005-0000-0000-000070080000}"/>
    <cellStyle name="Note 3 5 3 2 3" xfId="9815" xr:uid="{D0F98F21-5575-4A5E-99A4-E4D41FA29E0D}"/>
    <cellStyle name="Note 3 5 3 3" xfId="3952" xr:uid="{00000000-0005-0000-0000-000071080000}"/>
    <cellStyle name="Note 3 5 3 3 2" xfId="7846" xr:uid="{00000000-0005-0000-0000-000072080000}"/>
    <cellStyle name="Note 3 5 3 3 3" xfId="11855" xr:uid="{A45A8735-9902-42A5-B528-3EECE532BD41}"/>
    <cellStyle name="Note 3 5 3 4" xfId="4734" xr:uid="{00000000-0005-0000-0000-000073080000}"/>
    <cellStyle name="Note 3 5 3 5" xfId="8743" xr:uid="{94C29EDE-8D8A-4212-83B6-6804A901062E}"/>
    <cellStyle name="Note 3 5 3 6" xfId="12634" xr:uid="{3B0BDD7F-EF65-4935-BE9B-6BB7B8BE1991}"/>
    <cellStyle name="Note 3 5 4" xfId="1118" xr:uid="{00000000-0005-0000-0000-000074080000}"/>
    <cellStyle name="Note 3 5 4 2" xfId="5019" xr:uid="{00000000-0005-0000-0000-000075080000}"/>
    <cellStyle name="Note 3 5 4 3" xfId="9028" xr:uid="{6EFB1986-C24B-477E-9B2A-0929E789B217}"/>
    <cellStyle name="Note 3 5 4 4" xfId="12919" xr:uid="{2CF83C24-97CF-49AD-9D78-16D163B5D669}"/>
    <cellStyle name="Note 3 5 5" xfId="1906" xr:uid="{00000000-0005-0000-0000-000076080000}"/>
    <cellStyle name="Note 3 5 5 2" xfId="5803" xr:uid="{00000000-0005-0000-0000-000077080000}"/>
    <cellStyle name="Note 3 5 5 3" xfId="9812" xr:uid="{A741A3AF-9993-40F8-B946-4245D2EE67C8}"/>
    <cellStyle name="Note 3 5 6" xfId="3063" xr:uid="{00000000-0005-0000-0000-000078080000}"/>
    <cellStyle name="Note 3 5 6 2" xfId="6957" xr:uid="{00000000-0005-0000-0000-000079080000}"/>
    <cellStyle name="Note 3 5 6 3" xfId="10966" xr:uid="{5B8C0E2E-E8EE-4270-8B88-1DC8CD40907F}"/>
    <cellStyle name="Note 3 5 7" xfId="4241" xr:uid="{00000000-0005-0000-0000-00007A080000}"/>
    <cellStyle name="Note 3 5 8" xfId="8250" xr:uid="{07A0969F-91DA-46DC-BEAF-DA0F6D664BFE}"/>
    <cellStyle name="Note 3 5 9" xfId="12141" xr:uid="{08294D13-EBD0-4F95-A4F5-925CFAD35FDD}"/>
    <cellStyle name="Note 3 6" xfId="490" xr:uid="{00000000-0005-0000-0000-00007B080000}"/>
    <cellStyle name="Note 3 6 2" xfId="866" xr:uid="{00000000-0005-0000-0000-00007C080000}"/>
    <cellStyle name="Note 3 6 2 2" xfId="1911" xr:uid="{00000000-0005-0000-0000-00007D080000}"/>
    <cellStyle name="Note 3 6 2 2 2" xfId="5808" xr:uid="{00000000-0005-0000-0000-00007E080000}"/>
    <cellStyle name="Note 3 6 2 2 3" xfId="9817" xr:uid="{F6E8162B-C2D7-42D4-9317-94701586440A}"/>
    <cellStyle name="Note 3 6 2 3" xfId="3985" xr:uid="{00000000-0005-0000-0000-00007F080000}"/>
    <cellStyle name="Note 3 6 2 3 2" xfId="7879" xr:uid="{00000000-0005-0000-0000-000080080000}"/>
    <cellStyle name="Note 3 6 2 3 3" xfId="11888" xr:uid="{E723DAF4-2A67-46B8-9C65-D639F301F3DA}"/>
    <cellStyle name="Note 3 6 2 4" xfId="4767" xr:uid="{00000000-0005-0000-0000-000081080000}"/>
    <cellStyle name="Note 3 6 2 5" xfId="8776" xr:uid="{0593CD2E-EAB5-48AA-A969-510192DE0A4C}"/>
    <cellStyle name="Note 3 6 2 6" xfId="12667" xr:uid="{07925EAD-547B-4E42-80A5-202DA3DA00C0}"/>
    <cellStyle name="Note 3 6 3" xfId="1274" xr:uid="{00000000-0005-0000-0000-000082080000}"/>
    <cellStyle name="Note 3 6 3 2" xfId="5175" xr:uid="{00000000-0005-0000-0000-000083080000}"/>
    <cellStyle name="Note 3 6 3 3" xfId="9184" xr:uid="{C3F66122-957E-445E-8809-3F2006991B0B}"/>
    <cellStyle name="Note 3 6 3 4" xfId="13075" xr:uid="{C8428D57-4381-42A2-9E77-960E923575C7}"/>
    <cellStyle name="Note 3 6 4" xfId="1910" xr:uid="{00000000-0005-0000-0000-000084080000}"/>
    <cellStyle name="Note 3 6 4 2" xfId="5807" xr:uid="{00000000-0005-0000-0000-000085080000}"/>
    <cellStyle name="Note 3 6 4 3" xfId="9816" xr:uid="{1F6717D5-129A-4046-A6D7-2CC1C8CA92F8}"/>
    <cellStyle name="Note 3 6 5" xfId="3219" xr:uid="{00000000-0005-0000-0000-000086080000}"/>
    <cellStyle name="Note 3 6 5 2" xfId="7113" xr:uid="{00000000-0005-0000-0000-000087080000}"/>
    <cellStyle name="Note 3 6 5 3" xfId="11122" xr:uid="{099BDC13-6E45-492D-B376-0600D99BFFBA}"/>
    <cellStyle name="Note 3 6 6" xfId="4397" xr:uid="{00000000-0005-0000-0000-000088080000}"/>
    <cellStyle name="Note 3 6 7" xfId="8406" xr:uid="{AF669588-57E8-4E76-99D4-25A59820A23B}"/>
    <cellStyle name="Note 3 6 8" xfId="12297" xr:uid="{15CD0F96-F9F9-404B-9599-9DC774EAFC10}"/>
    <cellStyle name="Note 3 7" xfId="800" xr:uid="{00000000-0005-0000-0000-000089080000}"/>
    <cellStyle name="Note 3 7 2" xfId="1912" xr:uid="{00000000-0005-0000-0000-00008A080000}"/>
    <cellStyle name="Note 3 7 2 2" xfId="5809" xr:uid="{00000000-0005-0000-0000-00008B080000}"/>
    <cellStyle name="Note 3 7 2 3" xfId="9818" xr:uid="{0948F171-4551-44B1-94C3-BF271733F23E}"/>
    <cellStyle name="Note 3 7 3" xfId="3919" xr:uid="{00000000-0005-0000-0000-00008C080000}"/>
    <cellStyle name="Note 3 7 3 2" xfId="7813" xr:uid="{00000000-0005-0000-0000-00008D080000}"/>
    <cellStyle name="Note 3 7 3 3" xfId="11822" xr:uid="{5FA714B3-8FCF-4D1F-BE4C-FB06F5E56B74}"/>
    <cellStyle name="Note 3 7 4" xfId="4701" xr:uid="{00000000-0005-0000-0000-00008E080000}"/>
    <cellStyle name="Note 3 7 5" xfId="8710" xr:uid="{1A62CF26-3C0A-49DA-AF72-F506CC53009D}"/>
    <cellStyle name="Note 3 7 6" xfId="12601" xr:uid="{3509904D-9762-47B3-8A0C-5CBD4DA2C676}"/>
    <cellStyle name="Note 3 8" xfId="953" xr:uid="{00000000-0005-0000-0000-00008F080000}"/>
    <cellStyle name="Note 3 8 2" xfId="4854" xr:uid="{00000000-0005-0000-0000-000090080000}"/>
    <cellStyle name="Note 3 8 3" xfId="8863" xr:uid="{3C2F2155-2212-4525-BC09-2E9B3A9DF5FC}"/>
    <cellStyle name="Note 3 8 4" xfId="12754" xr:uid="{6547B7BC-8E40-49C2-9D13-24A7BEE27D65}"/>
    <cellStyle name="Note 3 9" xfId="1865" xr:uid="{00000000-0005-0000-0000-000091080000}"/>
    <cellStyle name="Note 3 9 2" xfId="5762" xr:uid="{00000000-0005-0000-0000-000092080000}"/>
    <cellStyle name="Note 3 9 3" xfId="9771" xr:uid="{E997B7E0-05BB-4982-830D-8F6248398F21}"/>
    <cellStyle name="Note 4" xfId="229" xr:uid="{00000000-0005-0000-0000-000093080000}"/>
    <cellStyle name="Note 4 10" xfId="12042" xr:uid="{FC428606-6531-4887-8E88-58F2506B014D}"/>
    <cellStyle name="Note 4 11" xfId="13478" xr:uid="{2B1514E7-E7DA-40DF-9E1A-EC3784A33C8F}"/>
    <cellStyle name="Note 4 2" xfId="388" xr:uid="{00000000-0005-0000-0000-000094080000}"/>
    <cellStyle name="Note 4 2 2" xfId="718" xr:uid="{00000000-0005-0000-0000-000095080000}"/>
    <cellStyle name="Note 4 2 2 2" xfId="911" xr:uid="{00000000-0005-0000-0000-000096080000}"/>
    <cellStyle name="Note 4 2 2 2 2" xfId="1916" xr:uid="{00000000-0005-0000-0000-000097080000}"/>
    <cellStyle name="Note 4 2 2 2 2 2" xfId="5813" xr:uid="{00000000-0005-0000-0000-000098080000}"/>
    <cellStyle name="Note 4 2 2 2 2 3" xfId="9822" xr:uid="{FD67FF36-736A-488C-9D71-9C9AEE5FC6B3}"/>
    <cellStyle name="Note 4 2 2 2 3" xfId="4030" xr:uid="{00000000-0005-0000-0000-000099080000}"/>
    <cellStyle name="Note 4 2 2 2 3 2" xfId="7924" xr:uid="{00000000-0005-0000-0000-00009A080000}"/>
    <cellStyle name="Note 4 2 2 2 3 3" xfId="11933" xr:uid="{471FC08A-5721-494C-A265-1607318AC23B}"/>
    <cellStyle name="Note 4 2 2 2 4" xfId="4812" xr:uid="{00000000-0005-0000-0000-00009B080000}"/>
    <cellStyle name="Note 4 2 2 2 5" xfId="8821" xr:uid="{3EE50034-9698-46D3-8DE4-B258D0093364}"/>
    <cellStyle name="Note 4 2 2 2 6" xfId="12712" xr:uid="{4896A5F0-6895-4FCB-BE97-20CCF1D38358}"/>
    <cellStyle name="Note 4 2 2 3" xfId="1499" xr:uid="{00000000-0005-0000-0000-00009C080000}"/>
    <cellStyle name="Note 4 2 2 3 2" xfId="5400" xr:uid="{00000000-0005-0000-0000-00009D080000}"/>
    <cellStyle name="Note 4 2 2 3 3" xfId="9409" xr:uid="{972E8051-69A1-4AE3-966C-34DDB5C7CCB3}"/>
    <cellStyle name="Note 4 2 2 3 4" xfId="13300" xr:uid="{97F80203-6DFB-4B7B-95F0-8185CD647B0A}"/>
    <cellStyle name="Note 4 2 2 4" xfId="1915" xr:uid="{00000000-0005-0000-0000-00009E080000}"/>
    <cellStyle name="Note 4 2 2 4 2" xfId="5812" xr:uid="{00000000-0005-0000-0000-00009F080000}"/>
    <cellStyle name="Note 4 2 2 4 3" xfId="9821" xr:uid="{69A372DE-CCA0-4942-A011-5285059029F2}"/>
    <cellStyle name="Note 4 2 2 5" xfId="3444" xr:uid="{00000000-0005-0000-0000-0000A0080000}"/>
    <cellStyle name="Note 4 2 2 5 2" xfId="7338" xr:uid="{00000000-0005-0000-0000-0000A1080000}"/>
    <cellStyle name="Note 4 2 2 5 3" xfId="11347" xr:uid="{54347D0B-8402-4DE3-B502-7655FDC2E6B1}"/>
    <cellStyle name="Note 4 2 2 6" xfId="4622" xr:uid="{00000000-0005-0000-0000-0000A2080000}"/>
    <cellStyle name="Note 4 2 2 7" xfId="8631" xr:uid="{97F27589-D3EA-4768-A070-002EBCF4C8F2}"/>
    <cellStyle name="Note 4 2 2 8" xfId="12522" xr:uid="{A2279E0C-1054-4EF3-A3DF-F8DDA067205F}"/>
    <cellStyle name="Note 4 2 3" xfId="845" xr:uid="{00000000-0005-0000-0000-0000A3080000}"/>
    <cellStyle name="Note 4 2 3 2" xfId="1917" xr:uid="{00000000-0005-0000-0000-0000A4080000}"/>
    <cellStyle name="Note 4 2 3 2 2" xfId="5814" xr:uid="{00000000-0005-0000-0000-0000A5080000}"/>
    <cellStyle name="Note 4 2 3 2 3" xfId="9823" xr:uid="{414CEF60-5A6D-4FEB-A0DE-5A03F4D35297}"/>
    <cellStyle name="Note 4 2 3 3" xfId="3964" xr:uid="{00000000-0005-0000-0000-0000A6080000}"/>
    <cellStyle name="Note 4 2 3 3 2" xfId="7858" xr:uid="{00000000-0005-0000-0000-0000A7080000}"/>
    <cellStyle name="Note 4 2 3 3 3" xfId="11867" xr:uid="{BB0FEB44-3027-4A2F-9831-156E0C3CF9EE}"/>
    <cellStyle name="Note 4 2 3 4" xfId="4746" xr:uid="{00000000-0005-0000-0000-0000A8080000}"/>
    <cellStyle name="Note 4 2 3 5" xfId="8755" xr:uid="{3245C255-D90C-4D72-AA10-F913B531257C}"/>
    <cellStyle name="Note 4 2 3 6" xfId="12646" xr:uid="{561D9A45-4076-4F8D-BF73-DE71F2273501}"/>
    <cellStyle name="Note 4 2 4" xfId="1178" xr:uid="{00000000-0005-0000-0000-0000A9080000}"/>
    <cellStyle name="Note 4 2 4 2" xfId="5079" xr:uid="{00000000-0005-0000-0000-0000AA080000}"/>
    <cellStyle name="Note 4 2 4 3" xfId="9088" xr:uid="{E3778BC0-EB00-4FA1-8D55-D7C1032EEE68}"/>
    <cellStyle name="Note 4 2 4 4" xfId="12979" xr:uid="{E614D2C8-D4EE-45AF-908D-7672B607598B}"/>
    <cellStyle name="Note 4 2 5" xfId="1914" xr:uid="{00000000-0005-0000-0000-0000AB080000}"/>
    <cellStyle name="Note 4 2 5 2" xfId="5811" xr:uid="{00000000-0005-0000-0000-0000AC080000}"/>
    <cellStyle name="Note 4 2 5 3" xfId="9820" xr:uid="{61EC1B1C-FC37-48EF-84C0-5696AC36908C}"/>
    <cellStyle name="Note 4 2 6" xfId="3123" xr:uid="{00000000-0005-0000-0000-0000AD080000}"/>
    <cellStyle name="Note 4 2 6 2" xfId="7017" xr:uid="{00000000-0005-0000-0000-0000AE080000}"/>
    <cellStyle name="Note 4 2 6 3" xfId="11026" xr:uid="{85F3EF3B-17D6-400E-975A-CD70DC843C4B}"/>
    <cellStyle name="Note 4 2 7" xfId="4301" xr:uid="{00000000-0005-0000-0000-0000AF080000}"/>
    <cellStyle name="Note 4 2 8" xfId="8310" xr:uid="{60BA3BBB-F768-4730-9F8F-28EB6CB8BEF5}"/>
    <cellStyle name="Note 4 2 9" xfId="12201" xr:uid="{D2700150-FDF6-4FF5-9E51-9159362B5CCF}"/>
    <cellStyle name="Note 4 3" xfId="559" xr:uid="{00000000-0005-0000-0000-0000B0080000}"/>
    <cellStyle name="Note 4 3 2" xfId="878" xr:uid="{00000000-0005-0000-0000-0000B1080000}"/>
    <cellStyle name="Note 4 3 2 2" xfId="1919" xr:uid="{00000000-0005-0000-0000-0000B2080000}"/>
    <cellStyle name="Note 4 3 2 2 2" xfId="5816" xr:uid="{00000000-0005-0000-0000-0000B3080000}"/>
    <cellStyle name="Note 4 3 2 2 3" xfId="9825" xr:uid="{B79939BE-6D06-4423-91BD-4DDB995B46FB}"/>
    <cellStyle name="Note 4 3 2 3" xfId="3997" xr:uid="{00000000-0005-0000-0000-0000B4080000}"/>
    <cellStyle name="Note 4 3 2 3 2" xfId="7891" xr:uid="{00000000-0005-0000-0000-0000B5080000}"/>
    <cellStyle name="Note 4 3 2 3 3" xfId="11900" xr:uid="{FF2C26B9-39A2-4B69-8120-D341366977C7}"/>
    <cellStyle name="Note 4 3 2 4" xfId="4779" xr:uid="{00000000-0005-0000-0000-0000B6080000}"/>
    <cellStyle name="Note 4 3 2 5" xfId="8788" xr:uid="{9F12ED3F-B822-4408-AFBD-D6C69083CDC0}"/>
    <cellStyle name="Note 4 3 2 6" xfId="12679" xr:uid="{4A17CB23-EA4A-4702-A04E-F2E2A89CCCB1}"/>
    <cellStyle name="Note 4 3 3" xfId="1340" xr:uid="{00000000-0005-0000-0000-0000B7080000}"/>
    <cellStyle name="Note 4 3 3 2" xfId="5241" xr:uid="{00000000-0005-0000-0000-0000B8080000}"/>
    <cellStyle name="Note 4 3 3 3" xfId="9250" xr:uid="{294F0EF1-EAC4-4CB2-ABF4-A3B46A65E375}"/>
    <cellStyle name="Note 4 3 3 4" xfId="13141" xr:uid="{8520EF84-0442-465F-B478-D6A67261005C}"/>
    <cellStyle name="Note 4 3 4" xfId="1918" xr:uid="{00000000-0005-0000-0000-0000B9080000}"/>
    <cellStyle name="Note 4 3 4 2" xfId="5815" xr:uid="{00000000-0005-0000-0000-0000BA080000}"/>
    <cellStyle name="Note 4 3 4 3" xfId="9824" xr:uid="{8982E906-6312-49A1-B269-AAE58867F5FE}"/>
    <cellStyle name="Note 4 3 5" xfId="3285" xr:uid="{00000000-0005-0000-0000-0000BB080000}"/>
    <cellStyle name="Note 4 3 5 2" xfId="7179" xr:uid="{00000000-0005-0000-0000-0000BC080000}"/>
    <cellStyle name="Note 4 3 5 3" xfId="11188" xr:uid="{6E22BE0F-0F44-41EB-A2F5-2D2407DE85BD}"/>
    <cellStyle name="Note 4 3 6" xfId="4463" xr:uid="{00000000-0005-0000-0000-0000BD080000}"/>
    <cellStyle name="Note 4 3 7" xfId="8472" xr:uid="{AFC86FDC-CF4D-4333-B446-095855ADBF1A}"/>
    <cellStyle name="Note 4 3 8" xfId="12363" xr:uid="{EEB7227C-0904-4D9C-B46D-2FDC9ABC7FEF}"/>
    <cellStyle name="Note 4 4" xfId="812" xr:uid="{00000000-0005-0000-0000-0000BE080000}"/>
    <cellStyle name="Note 4 4 2" xfId="1920" xr:uid="{00000000-0005-0000-0000-0000BF080000}"/>
    <cellStyle name="Note 4 4 2 2" xfId="5817" xr:uid="{00000000-0005-0000-0000-0000C0080000}"/>
    <cellStyle name="Note 4 4 2 3" xfId="9826" xr:uid="{2A4AC54C-6209-4BDE-98A4-17D7D66B68D8}"/>
    <cellStyle name="Note 4 4 3" xfId="3931" xr:uid="{00000000-0005-0000-0000-0000C1080000}"/>
    <cellStyle name="Note 4 4 3 2" xfId="7825" xr:uid="{00000000-0005-0000-0000-0000C2080000}"/>
    <cellStyle name="Note 4 4 3 3" xfId="11834" xr:uid="{EB56F562-B8E9-4E7F-955B-8B3DD93CC303}"/>
    <cellStyle name="Note 4 4 4" xfId="4713" xr:uid="{00000000-0005-0000-0000-0000C3080000}"/>
    <cellStyle name="Note 4 4 5" xfId="8722" xr:uid="{00453C77-FEE0-413C-8C1C-584D9BE6F7A2}"/>
    <cellStyle name="Note 4 4 6" xfId="12613" xr:uid="{E66B948D-D30F-442A-B516-40AD589B9A58}"/>
    <cellStyle name="Note 4 5" xfId="1019" xr:uid="{00000000-0005-0000-0000-0000C4080000}"/>
    <cellStyle name="Note 4 5 2" xfId="4920" xr:uid="{00000000-0005-0000-0000-0000C5080000}"/>
    <cellStyle name="Note 4 5 3" xfId="8929" xr:uid="{BA0BE25C-064B-4804-AC33-EF85635E313F}"/>
    <cellStyle name="Note 4 5 4" xfId="12820" xr:uid="{67A5B31D-D77D-49A0-9607-4D7E14B56208}"/>
    <cellStyle name="Note 4 6" xfId="1913" xr:uid="{00000000-0005-0000-0000-0000C6080000}"/>
    <cellStyle name="Note 4 6 2" xfId="5810" xr:uid="{00000000-0005-0000-0000-0000C7080000}"/>
    <cellStyle name="Note 4 6 3" xfId="9819" xr:uid="{7983E834-552A-454A-BD47-40E27EA8AF0F}"/>
    <cellStyle name="Note 4 7" xfId="2964" xr:uid="{00000000-0005-0000-0000-0000C8080000}"/>
    <cellStyle name="Note 4 7 2" xfId="6858" xr:uid="{00000000-0005-0000-0000-0000C9080000}"/>
    <cellStyle name="Note 4 7 3" xfId="10867" xr:uid="{75D9EEAC-3641-4DD9-88E4-D00042D755E8}"/>
    <cellStyle name="Note 4 8" xfId="4142" xr:uid="{00000000-0005-0000-0000-0000CA080000}"/>
    <cellStyle name="Note 4 9" xfId="8151" xr:uid="{CDB402BF-CCA8-402E-9245-6E6BAD2077C2}"/>
    <cellStyle name="Note 5" xfId="301" xr:uid="{00000000-0005-0000-0000-0000CB080000}"/>
    <cellStyle name="Note 5 10" xfId="12114" xr:uid="{41AE1748-3198-482F-84BE-2359A8FE0F5F}"/>
    <cellStyle name="Note 5 11" xfId="13550" xr:uid="{BC90E46B-346C-4F3B-8CAD-020C3786D118}"/>
    <cellStyle name="Note 5 2" xfId="455" xr:uid="{00000000-0005-0000-0000-0000CC080000}"/>
    <cellStyle name="Note 5 2 2" xfId="785" xr:uid="{00000000-0005-0000-0000-0000CD080000}"/>
    <cellStyle name="Note 5 2 2 2" xfId="926" xr:uid="{00000000-0005-0000-0000-0000CE080000}"/>
    <cellStyle name="Note 5 2 2 2 2" xfId="1924" xr:uid="{00000000-0005-0000-0000-0000CF080000}"/>
    <cellStyle name="Note 5 2 2 2 2 2" xfId="5821" xr:uid="{00000000-0005-0000-0000-0000D0080000}"/>
    <cellStyle name="Note 5 2 2 2 2 3" xfId="9830" xr:uid="{04C6692E-A2DD-4A98-90EA-6EC41C580D7C}"/>
    <cellStyle name="Note 5 2 2 2 3" xfId="4045" xr:uid="{00000000-0005-0000-0000-0000D1080000}"/>
    <cellStyle name="Note 5 2 2 2 3 2" xfId="7939" xr:uid="{00000000-0005-0000-0000-0000D2080000}"/>
    <cellStyle name="Note 5 2 2 2 3 3" xfId="11948" xr:uid="{6D2D23E2-B9B8-4A7C-AFC0-D83B4EFEF4D7}"/>
    <cellStyle name="Note 5 2 2 2 4" xfId="4827" xr:uid="{00000000-0005-0000-0000-0000D3080000}"/>
    <cellStyle name="Note 5 2 2 2 5" xfId="8836" xr:uid="{449C46C9-4776-4BD9-9D73-CE4071521509}"/>
    <cellStyle name="Note 5 2 2 2 6" xfId="12727" xr:uid="{3AE4B914-E47A-4D0A-BECD-13A540913FD9}"/>
    <cellStyle name="Note 5 2 2 3" xfId="1566" xr:uid="{00000000-0005-0000-0000-0000D4080000}"/>
    <cellStyle name="Note 5 2 2 3 2" xfId="5467" xr:uid="{00000000-0005-0000-0000-0000D5080000}"/>
    <cellStyle name="Note 5 2 2 3 3" xfId="9476" xr:uid="{CE4827E4-DEA8-407E-B5A0-118D96BFEC19}"/>
    <cellStyle name="Note 5 2 2 3 4" xfId="13367" xr:uid="{B742B105-E5AA-41E6-BAC1-7B9D0C2280D6}"/>
    <cellStyle name="Note 5 2 2 4" xfId="1923" xr:uid="{00000000-0005-0000-0000-0000D6080000}"/>
    <cellStyle name="Note 5 2 2 4 2" xfId="5820" xr:uid="{00000000-0005-0000-0000-0000D7080000}"/>
    <cellStyle name="Note 5 2 2 4 3" xfId="9829" xr:uid="{738FE064-1CF0-43F9-8579-CC7542545333}"/>
    <cellStyle name="Note 5 2 2 5" xfId="3511" xr:uid="{00000000-0005-0000-0000-0000D8080000}"/>
    <cellStyle name="Note 5 2 2 5 2" xfId="7405" xr:uid="{00000000-0005-0000-0000-0000D9080000}"/>
    <cellStyle name="Note 5 2 2 5 3" xfId="11414" xr:uid="{71E7911C-4E8F-4864-A68B-0445A136B46C}"/>
    <cellStyle name="Note 5 2 2 6" xfId="4689" xr:uid="{00000000-0005-0000-0000-0000DA080000}"/>
    <cellStyle name="Note 5 2 2 7" xfId="8698" xr:uid="{331001B5-B883-4D6F-B99B-DBA231F25DF9}"/>
    <cellStyle name="Note 5 2 2 8" xfId="12589" xr:uid="{F4C902C4-775B-4383-990B-2B64F788BF61}"/>
    <cellStyle name="Note 5 2 3" xfId="860" xr:uid="{00000000-0005-0000-0000-0000DB080000}"/>
    <cellStyle name="Note 5 2 3 2" xfId="1925" xr:uid="{00000000-0005-0000-0000-0000DC080000}"/>
    <cellStyle name="Note 5 2 3 2 2" xfId="5822" xr:uid="{00000000-0005-0000-0000-0000DD080000}"/>
    <cellStyle name="Note 5 2 3 2 3" xfId="9831" xr:uid="{CEBEC45D-D442-4F15-BFFC-36FAD19DCC56}"/>
    <cellStyle name="Note 5 2 3 3" xfId="3979" xr:uid="{00000000-0005-0000-0000-0000DE080000}"/>
    <cellStyle name="Note 5 2 3 3 2" xfId="7873" xr:uid="{00000000-0005-0000-0000-0000DF080000}"/>
    <cellStyle name="Note 5 2 3 3 3" xfId="11882" xr:uid="{30B2037C-99E2-4005-B8DE-C22B224BBD5C}"/>
    <cellStyle name="Note 5 2 3 4" xfId="4761" xr:uid="{00000000-0005-0000-0000-0000E0080000}"/>
    <cellStyle name="Note 5 2 3 5" xfId="8770" xr:uid="{B4DACB85-2830-4B77-89C2-E2BB2C65F6B9}"/>
    <cellStyle name="Note 5 2 3 6" xfId="12661" xr:uid="{38B6AF35-4659-44B1-AE9E-9454E57C0A1D}"/>
    <cellStyle name="Note 5 2 4" xfId="1245" xr:uid="{00000000-0005-0000-0000-0000E1080000}"/>
    <cellStyle name="Note 5 2 4 2" xfId="5146" xr:uid="{00000000-0005-0000-0000-0000E2080000}"/>
    <cellStyle name="Note 5 2 4 3" xfId="9155" xr:uid="{D48E39AC-7EA9-4BFC-8D96-0BC8B4CB94AF}"/>
    <cellStyle name="Note 5 2 4 4" xfId="13046" xr:uid="{3C46E88F-F7DA-4F05-933F-58574017FE20}"/>
    <cellStyle name="Note 5 2 5" xfId="1922" xr:uid="{00000000-0005-0000-0000-0000E3080000}"/>
    <cellStyle name="Note 5 2 5 2" xfId="5819" xr:uid="{00000000-0005-0000-0000-0000E4080000}"/>
    <cellStyle name="Note 5 2 5 3" xfId="9828" xr:uid="{ECC96D7D-D2BE-4B83-B4CC-1E068A78AAB3}"/>
    <cellStyle name="Note 5 2 6" xfId="3190" xr:uid="{00000000-0005-0000-0000-0000E5080000}"/>
    <cellStyle name="Note 5 2 6 2" xfId="7084" xr:uid="{00000000-0005-0000-0000-0000E6080000}"/>
    <cellStyle name="Note 5 2 6 3" xfId="11093" xr:uid="{66F0112B-A876-4844-A801-15784F2C899A}"/>
    <cellStyle name="Note 5 2 7" xfId="4368" xr:uid="{00000000-0005-0000-0000-0000E7080000}"/>
    <cellStyle name="Note 5 2 8" xfId="8377" xr:uid="{2C6044C6-DD12-4F1B-97D6-73AD4B5F9409}"/>
    <cellStyle name="Note 5 2 9" xfId="12268" xr:uid="{BAF72790-B393-477B-A882-F3BA9E32EDF4}"/>
    <cellStyle name="Note 5 3" xfId="631" xr:uid="{00000000-0005-0000-0000-0000E8080000}"/>
    <cellStyle name="Note 5 3 2" xfId="893" xr:uid="{00000000-0005-0000-0000-0000E9080000}"/>
    <cellStyle name="Note 5 3 2 2" xfId="1927" xr:uid="{00000000-0005-0000-0000-0000EA080000}"/>
    <cellStyle name="Note 5 3 2 2 2" xfId="5824" xr:uid="{00000000-0005-0000-0000-0000EB080000}"/>
    <cellStyle name="Note 5 3 2 2 3" xfId="9833" xr:uid="{D807F447-F928-4FE5-8A93-AB8DCE20349B}"/>
    <cellStyle name="Note 5 3 2 3" xfId="4012" xr:uid="{00000000-0005-0000-0000-0000EC080000}"/>
    <cellStyle name="Note 5 3 2 3 2" xfId="7906" xr:uid="{00000000-0005-0000-0000-0000ED080000}"/>
    <cellStyle name="Note 5 3 2 3 3" xfId="11915" xr:uid="{561E0189-AD46-4B71-9672-850DC14EFCA7}"/>
    <cellStyle name="Note 5 3 2 4" xfId="4794" xr:uid="{00000000-0005-0000-0000-0000EE080000}"/>
    <cellStyle name="Note 5 3 2 5" xfId="8803" xr:uid="{D1E409BE-6F03-440A-98B1-A6E71ABCE335}"/>
    <cellStyle name="Note 5 3 2 6" xfId="12694" xr:uid="{1A40D5FF-AF0A-44BC-9B70-19CBBA424949}"/>
    <cellStyle name="Note 5 3 3" xfId="1412" xr:uid="{00000000-0005-0000-0000-0000EF080000}"/>
    <cellStyle name="Note 5 3 3 2" xfId="5313" xr:uid="{00000000-0005-0000-0000-0000F0080000}"/>
    <cellStyle name="Note 5 3 3 3" xfId="9322" xr:uid="{25E7FFE7-8331-4EED-8272-EB88362437DC}"/>
    <cellStyle name="Note 5 3 3 4" xfId="13213" xr:uid="{CDD454EF-4D57-4C69-9A99-8EF37DFBB4CB}"/>
    <cellStyle name="Note 5 3 4" xfId="1926" xr:uid="{00000000-0005-0000-0000-0000F1080000}"/>
    <cellStyle name="Note 5 3 4 2" xfId="5823" xr:uid="{00000000-0005-0000-0000-0000F2080000}"/>
    <cellStyle name="Note 5 3 4 3" xfId="9832" xr:uid="{A6C4ABC2-795A-434F-B372-E7629DDF9D5C}"/>
    <cellStyle name="Note 5 3 5" xfId="3357" xr:uid="{00000000-0005-0000-0000-0000F3080000}"/>
    <cellStyle name="Note 5 3 5 2" xfId="7251" xr:uid="{00000000-0005-0000-0000-0000F4080000}"/>
    <cellStyle name="Note 5 3 5 3" xfId="11260" xr:uid="{BD79B39C-3244-4F7B-BF1E-868EAE4A99A9}"/>
    <cellStyle name="Note 5 3 6" xfId="4535" xr:uid="{00000000-0005-0000-0000-0000F5080000}"/>
    <cellStyle name="Note 5 3 7" xfId="8544" xr:uid="{19BF7932-D0AC-4D6B-8CC6-F3787E87330F}"/>
    <cellStyle name="Note 5 3 8" xfId="12435" xr:uid="{715A7BDB-6E6D-43A0-96D7-86F568787546}"/>
    <cellStyle name="Note 5 4" xfId="827" xr:uid="{00000000-0005-0000-0000-0000F6080000}"/>
    <cellStyle name="Note 5 4 2" xfId="1928" xr:uid="{00000000-0005-0000-0000-0000F7080000}"/>
    <cellStyle name="Note 5 4 2 2" xfId="5825" xr:uid="{00000000-0005-0000-0000-0000F8080000}"/>
    <cellStyle name="Note 5 4 2 3" xfId="9834" xr:uid="{BDFC49B7-4081-4F99-A3CE-A97AA56B4832}"/>
    <cellStyle name="Note 5 4 3" xfId="3946" xr:uid="{00000000-0005-0000-0000-0000F9080000}"/>
    <cellStyle name="Note 5 4 3 2" xfId="7840" xr:uid="{00000000-0005-0000-0000-0000FA080000}"/>
    <cellStyle name="Note 5 4 3 3" xfId="11849" xr:uid="{E0D61D36-E700-4888-82B8-3EF2A2FD354D}"/>
    <cellStyle name="Note 5 4 4" xfId="4728" xr:uid="{00000000-0005-0000-0000-0000FB080000}"/>
    <cellStyle name="Note 5 4 5" xfId="8737" xr:uid="{B19AED0F-37E3-413A-92DA-09CD1BDA3DF5}"/>
    <cellStyle name="Note 5 4 6" xfId="12628" xr:uid="{A940CF47-5F9C-4BD3-8822-A2AC92AD2F13}"/>
    <cellStyle name="Note 5 5" xfId="1091" xr:uid="{00000000-0005-0000-0000-0000FC080000}"/>
    <cellStyle name="Note 5 5 2" xfId="4992" xr:uid="{00000000-0005-0000-0000-0000FD080000}"/>
    <cellStyle name="Note 5 5 3" xfId="9001" xr:uid="{B08FC1B7-ADEF-4785-8B71-7183610352EB}"/>
    <cellStyle name="Note 5 5 4" xfId="12892" xr:uid="{85F11B1F-00C9-4856-A2D8-1B836D82BD5C}"/>
    <cellStyle name="Note 5 6" xfId="1921" xr:uid="{00000000-0005-0000-0000-0000FE080000}"/>
    <cellStyle name="Note 5 6 2" xfId="5818" xr:uid="{00000000-0005-0000-0000-0000FF080000}"/>
    <cellStyle name="Note 5 6 3" xfId="9827" xr:uid="{EC3080CC-B127-4EA5-AC7F-873305D00EE6}"/>
    <cellStyle name="Note 5 7" xfId="3036" xr:uid="{00000000-0005-0000-0000-000000090000}"/>
    <cellStyle name="Note 5 7 2" xfId="6930" xr:uid="{00000000-0005-0000-0000-000001090000}"/>
    <cellStyle name="Note 5 7 3" xfId="10939" xr:uid="{4A7C893D-1C83-4D2D-A7B0-AE3B43A748D3}"/>
    <cellStyle name="Note 5 8" xfId="4214" xr:uid="{00000000-0005-0000-0000-000002090000}"/>
    <cellStyle name="Note 5 9" xfId="8223" xr:uid="{568A7412-921E-4498-9814-D62C5FE3B9A3}"/>
    <cellStyle name="Note 6" xfId="310" xr:uid="{00000000-0005-0000-0000-000003090000}"/>
    <cellStyle name="Note 6 2" xfId="640" xr:uid="{00000000-0005-0000-0000-000004090000}"/>
    <cellStyle name="Note 6 2 2" xfId="895" xr:uid="{00000000-0005-0000-0000-000005090000}"/>
    <cellStyle name="Note 6 2 2 2" xfId="1931" xr:uid="{00000000-0005-0000-0000-000006090000}"/>
    <cellStyle name="Note 6 2 2 2 2" xfId="5828" xr:uid="{00000000-0005-0000-0000-000007090000}"/>
    <cellStyle name="Note 6 2 2 2 3" xfId="9837" xr:uid="{F9C179FD-E54A-46A1-8A91-72E909D4D9E0}"/>
    <cellStyle name="Note 6 2 2 3" xfId="4014" xr:uid="{00000000-0005-0000-0000-000008090000}"/>
    <cellStyle name="Note 6 2 2 3 2" xfId="7908" xr:uid="{00000000-0005-0000-0000-000009090000}"/>
    <cellStyle name="Note 6 2 2 3 3" xfId="11917" xr:uid="{98903DB8-295A-49D2-A6A8-0FF195A9B3D0}"/>
    <cellStyle name="Note 6 2 2 4" xfId="4796" xr:uid="{00000000-0005-0000-0000-00000A090000}"/>
    <cellStyle name="Note 6 2 2 5" xfId="8805" xr:uid="{46061BAC-A98D-4B1E-965D-A8D921DA7C0D}"/>
    <cellStyle name="Note 6 2 2 6" xfId="12696" xr:uid="{DF1C375F-9B28-4653-A081-5903DDE0A713}"/>
    <cellStyle name="Note 6 2 3" xfId="1421" xr:uid="{00000000-0005-0000-0000-00000B090000}"/>
    <cellStyle name="Note 6 2 3 2" xfId="5322" xr:uid="{00000000-0005-0000-0000-00000C090000}"/>
    <cellStyle name="Note 6 2 3 3" xfId="9331" xr:uid="{EDA63BA4-71A4-49DD-BED1-17A8F136F961}"/>
    <cellStyle name="Note 6 2 3 4" xfId="13222" xr:uid="{19017473-5803-4E18-94CD-804DBAAD47B1}"/>
    <cellStyle name="Note 6 2 4" xfId="1930" xr:uid="{00000000-0005-0000-0000-00000D090000}"/>
    <cellStyle name="Note 6 2 4 2" xfId="5827" xr:uid="{00000000-0005-0000-0000-00000E090000}"/>
    <cellStyle name="Note 6 2 4 3" xfId="9836" xr:uid="{C8F56786-52D3-4F03-83D2-0B6CDF7E7FBA}"/>
    <cellStyle name="Note 6 2 5" xfId="3366" xr:uid="{00000000-0005-0000-0000-00000F090000}"/>
    <cellStyle name="Note 6 2 5 2" xfId="7260" xr:uid="{00000000-0005-0000-0000-000010090000}"/>
    <cellStyle name="Note 6 2 5 3" xfId="11269" xr:uid="{F0A9E989-A283-439B-A9E0-5837F6544927}"/>
    <cellStyle name="Note 6 2 6" xfId="4544" xr:uid="{00000000-0005-0000-0000-000011090000}"/>
    <cellStyle name="Note 6 2 7" xfId="8553" xr:uid="{4203B4BA-8555-4ED7-B898-EED2864FA7AC}"/>
    <cellStyle name="Note 6 2 8" xfId="12444" xr:uid="{011887AF-C259-46A6-9646-7F6AE95093CA}"/>
    <cellStyle name="Note 6 3" xfId="829" xr:uid="{00000000-0005-0000-0000-000012090000}"/>
    <cellStyle name="Note 6 3 2" xfId="1932" xr:uid="{00000000-0005-0000-0000-000013090000}"/>
    <cellStyle name="Note 6 3 2 2" xfId="5829" xr:uid="{00000000-0005-0000-0000-000014090000}"/>
    <cellStyle name="Note 6 3 2 3" xfId="9838" xr:uid="{358D3AD0-CC62-4FEC-899D-9CC66458F143}"/>
    <cellStyle name="Note 6 3 3" xfId="3948" xr:uid="{00000000-0005-0000-0000-000015090000}"/>
    <cellStyle name="Note 6 3 3 2" xfId="7842" xr:uid="{00000000-0005-0000-0000-000016090000}"/>
    <cellStyle name="Note 6 3 3 3" xfId="11851" xr:uid="{57EE8F4E-3B24-4698-A93E-68510B74E52E}"/>
    <cellStyle name="Note 6 3 4" xfId="4730" xr:uid="{00000000-0005-0000-0000-000017090000}"/>
    <cellStyle name="Note 6 3 5" xfId="8739" xr:uid="{DB3627B4-0E20-4AE2-9EA4-565CCC05CC97}"/>
    <cellStyle name="Note 6 3 6" xfId="12630" xr:uid="{797EEFF6-8215-41F4-93C1-2CC9A28D57DC}"/>
    <cellStyle name="Note 6 4" xfId="1100" xr:uid="{00000000-0005-0000-0000-000018090000}"/>
    <cellStyle name="Note 6 4 2" xfId="5001" xr:uid="{00000000-0005-0000-0000-000019090000}"/>
    <cellStyle name="Note 6 4 3" xfId="9010" xr:uid="{45F886E5-B4D5-4EDC-BBBC-CDDB2C390B21}"/>
    <cellStyle name="Note 6 4 4" xfId="12901" xr:uid="{034403CC-1411-42E8-BDF3-AC2410CA0994}"/>
    <cellStyle name="Note 6 5" xfId="1929" xr:uid="{00000000-0005-0000-0000-00001A090000}"/>
    <cellStyle name="Note 6 5 2" xfId="5826" xr:uid="{00000000-0005-0000-0000-00001B090000}"/>
    <cellStyle name="Note 6 5 3" xfId="9835" xr:uid="{06E45F0E-9E31-44DC-9EBB-BAAEB1E7FEDC}"/>
    <cellStyle name="Note 6 6" xfId="3045" xr:uid="{00000000-0005-0000-0000-00001C090000}"/>
    <cellStyle name="Note 6 6 2" xfId="6939" xr:uid="{00000000-0005-0000-0000-00001D090000}"/>
    <cellStyle name="Note 6 6 3" xfId="10948" xr:uid="{C96298AA-362E-4F29-9BBD-2CAAFFFB5915}"/>
    <cellStyle name="Note 6 7" xfId="4223" xr:uid="{00000000-0005-0000-0000-00001E090000}"/>
    <cellStyle name="Note 6 8" xfId="8232" xr:uid="{46DD588C-7221-4E35-97B7-F643439B550D}"/>
    <cellStyle name="Note 6 9" xfId="12123" xr:uid="{F3F276C1-B378-49CF-A670-833774FC994E}"/>
    <cellStyle name="Note 7" xfId="472" xr:uid="{00000000-0005-0000-0000-00001F090000}"/>
    <cellStyle name="Note 7 2" xfId="862" xr:uid="{00000000-0005-0000-0000-000020090000}"/>
    <cellStyle name="Note 7 2 2" xfId="1934" xr:uid="{00000000-0005-0000-0000-000021090000}"/>
    <cellStyle name="Note 7 2 2 2" xfId="5831" xr:uid="{00000000-0005-0000-0000-000022090000}"/>
    <cellStyle name="Note 7 2 2 3" xfId="9840" xr:uid="{32AFB49B-77C6-4EF9-A010-7582B0889D52}"/>
    <cellStyle name="Note 7 2 3" xfId="3981" xr:uid="{00000000-0005-0000-0000-000023090000}"/>
    <cellStyle name="Note 7 2 3 2" xfId="7875" xr:uid="{00000000-0005-0000-0000-000024090000}"/>
    <cellStyle name="Note 7 2 3 3" xfId="11884" xr:uid="{3DD8954E-E401-42AB-A998-905B2801DCF1}"/>
    <cellStyle name="Note 7 2 4" xfId="4763" xr:uid="{00000000-0005-0000-0000-000025090000}"/>
    <cellStyle name="Note 7 2 5" xfId="8772" xr:uid="{A9905514-EAC6-4F3D-9071-1DB7CC33331A}"/>
    <cellStyle name="Note 7 2 6" xfId="12663" xr:uid="{4BCF841D-7414-4469-ABFF-DE9A0302905B}"/>
    <cellStyle name="Note 7 3" xfId="1256" xr:uid="{00000000-0005-0000-0000-000026090000}"/>
    <cellStyle name="Note 7 3 2" xfId="5157" xr:uid="{00000000-0005-0000-0000-000027090000}"/>
    <cellStyle name="Note 7 3 3" xfId="9166" xr:uid="{B4744849-21AB-4B38-AC83-73C938C90958}"/>
    <cellStyle name="Note 7 3 4" xfId="13057" xr:uid="{A9950CBD-CF40-4934-AB37-AA167C33E4A0}"/>
    <cellStyle name="Note 7 4" xfId="1933" xr:uid="{00000000-0005-0000-0000-000028090000}"/>
    <cellStyle name="Note 7 4 2" xfId="5830" xr:uid="{00000000-0005-0000-0000-000029090000}"/>
    <cellStyle name="Note 7 4 3" xfId="9839" xr:uid="{0E313E56-5059-4519-9DBE-29B5256B27DF}"/>
    <cellStyle name="Note 7 5" xfId="3201" xr:uid="{00000000-0005-0000-0000-00002A090000}"/>
    <cellStyle name="Note 7 5 2" xfId="7095" xr:uid="{00000000-0005-0000-0000-00002B090000}"/>
    <cellStyle name="Note 7 5 3" xfId="11104" xr:uid="{F9D6F4AF-032D-41B3-8148-E709928D6395}"/>
    <cellStyle name="Note 7 6" xfId="4379" xr:uid="{00000000-0005-0000-0000-00002C090000}"/>
    <cellStyle name="Note 7 7" xfId="8388" xr:uid="{34E85C3F-45CA-422A-941A-ED717066FDD2}"/>
    <cellStyle name="Note 7 8" xfId="12279" xr:uid="{B9B96F0E-64BE-49EC-8763-C1F028931967}"/>
    <cellStyle name="Note 8" xfId="796" xr:uid="{00000000-0005-0000-0000-00002D090000}"/>
    <cellStyle name="Note 8 2" xfId="1935" xr:uid="{00000000-0005-0000-0000-00002E090000}"/>
    <cellStyle name="Note 8 2 2" xfId="5832" xr:uid="{00000000-0005-0000-0000-00002F090000}"/>
    <cellStyle name="Note 8 2 3" xfId="9841" xr:uid="{E946F323-395E-4C01-9557-3D8AFD583BC8}"/>
    <cellStyle name="Note 8 3" xfId="3915" xr:uid="{00000000-0005-0000-0000-000030090000}"/>
    <cellStyle name="Note 8 3 2" xfId="7809" xr:uid="{00000000-0005-0000-0000-000031090000}"/>
    <cellStyle name="Note 8 3 3" xfId="11818" xr:uid="{EC98761A-EBEC-4958-BABA-EF73FFBE0942}"/>
    <cellStyle name="Note 8 4" xfId="4697" xr:uid="{00000000-0005-0000-0000-000032090000}"/>
    <cellStyle name="Note 8 5" xfId="8706" xr:uid="{3B7A8BCB-C7BD-4036-86BE-FD88A99B5547}"/>
    <cellStyle name="Note 8 6" xfId="12597" xr:uid="{CEF78C83-6B0A-41A0-99B9-156C25FE7E3C}"/>
    <cellStyle name="Note 9" xfId="935" xr:uid="{00000000-0005-0000-0000-000033090000}"/>
    <cellStyle name="Note 9 2" xfId="4836" xr:uid="{00000000-0005-0000-0000-000034090000}"/>
    <cellStyle name="Note 9 3" xfId="8845" xr:uid="{C9399596-AC83-4B1A-95C6-93D0B5E693C5}"/>
    <cellStyle name="Note 9 4" xfId="12736" xr:uid="{8E3D7B76-BB60-466D-B01A-C13C57FEE4B7}"/>
    <cellStyle name="Output" xfId="101" xr:uid="{00000000-0005-0000-0000-000035090000}"/>
    <cellStyle name="Output 10" xfId="2881" xr:uid="{00000000-0005-0000-0000-000036090000}"/>
    <cellStyle name="Output 10 2" xfId="6775" xr:uid="{00000000-0005-0000-0000-000037090000}"/>
    <cellStyle name="Output 10 3" xfId="10784" xr:uid="{C78911F2-09A1-478B-A9A7-5CF51EFACA5E}"/>
    <cellStyle name="Output 11" xfId="4059" xr:uid="{00000000-0005-0000-0000-000038090000}"/>
    <cellStyle name="Output 12" xfId="8068" xr:uid="{A3FFBA8D-AE6D-4D04-80EE-6D704B817B9A}"/>
    <cellStyle name="Output 13" xfId="11959" xr:uid="{DBCFD251-BDFF-43A8-BAA3-FF31843CFF9F}"/>
    <cellStyle name="Output 14" xfId="13395" xr:uid="{DBA3598F-2A31-4E35-88FB-DF31C70FDA63}"/>
    <cellStyle name="Output 2" xfId="115" xr:uid="{00000000-0005-0000-0000-000039090000}"/>
    <cellStyle name="Output 2 10" xfId="4069" xr:uid="{00000000-0005-0000-0000-00003A090000}"/>
    <cellStyle name="Output 2 11" xfId="8078" xr:uid="{5FD7ECE7-DDC2-4A8E-9D73-EE96C23E0E48}"/>
    <cellStyle name="Output 2 12" xfId="11969" xr:uid="{27F731A1-DD63-4418-98A0-3EFFEB9A732C}"/>
    <cellStyle name="Output 2 13" xfId="13405" xr:uid="{8727C766-1F06-4064-856D-D9D2F9311933}"/>
    <cellStyle name="Output 2 2" xfId="176" xr:uid="{00000000-0005-0000-0000-00003B090000}"/>
    <cellStyle name="Output 2 2 10" xfId="8101" xr:uid="{8C1B4320-9241-4134-AA51-D3B4DFEACC0E}"/>
    <cellStyle name="Output 2 2 11" xfId="11992" xr:uid="{8D0C4264-ED76-40B6-8037-B8EACABF4351}"/>
    <cellStyle name="Output 2 2 12" xfId="13428" xr:uid="{59153A7A-99DF-4171-8F0C-384A82C8BABB}"/>
    <cellStyle name="Output 2 2 2" xfId="277" xr:uid="{00000000-0005-0000-0000-00003C090000}"/>
    <cellStyle name="Output 2 2 2 10" xfId="13526" xr:uid="{C0AC33B0-4471-42B1-A0EF-FA1698DC9FD9}"/>
    <cellStyle name="Output 2 2 2 2" xfId="433" xr:uid="{00000000-0005-0000-0000-00003D090000}"/>
    <cellStyle name="Output 2 2 2 2 2" xfId="763" xr:uid="{00000000-0005-0000-0000-00003E090000}"/>
    <cellStyle name="Output 2 2 2 2 2 2" xfId="1544" xr:uid="{00000000-0005-0000-0000-00003F090000}"/>
    <cellStyle name="Output 2 2 2 2 2 2 2" xfId="1942" xr:uid="{00000000-0005-0000-0000-000040090000}"/>
    <cellStyle name="Output 2 2 2 2 2 2 2 2" xfId="5839" xr:uid="{00000000-0005-0000-0000-000041090000}"/>
    <cellStyle name="Output 2 2 2 2 2 2 2 3" xfId="9848" xr:uid="{C5C7430F-2448-4E97-BACA-EF642195CFE6}"/>
    <cellStyle name="Output 2 2 2 2 2 2 3" xfId="5445" xr:uid="{00000000-0005-0000-0000-000042090000}"/>
    <cellStyle name="Output 2 2 2 2 2 2 4" xfId="9454" xr:uid="{A67F9E7A-CA16-4C05-BF29-B795630C03C6}"/>
    <cellStyle name="Output 2 2 2 2 2 2 5" xfId="13345" xr:uid="{FB1BF1E5-378D-47C1-9D9A-E0BA14AB75FF}"/>
    <cellStyle name="Output 2 2 2 2 2 3" xfId="1941" xr:uid="{00000000-0005-0000-0000-000043090000}"/>
    <cellStyle name="Output 2 2 2 2 2 3 2" xfId="5838" xr:uid="{00000000-0005-0000-0000-000044090000}"/>
    <cellStyle name="Output 2 2 2 2 2 3 3" xfId="9847" xr:uid="{17A6A2A2-A55F-448E-B7CB-B34FF12F4AFC}"/>
    <cellStyle name="Output 2 2 2 2 2 4" xfId="3489" xr:uid="{00000000-0005-0000-0000-000045090000}"/>
    <cellStyle name="Output 2 2 2 2 2 4 2" xfId="7383" xr:uid="{00000000-0005-0000-0000-000046090000}"/>
    <cellStyle name="Output 2 2 2 2 2 4 3" xfId="11392" xr:uid="{FBD6183F-F244-47E3-BCDA-322AA5B151C9}"/>
    <cellStyle name="Output 2 2 2 2 2 5" xfId="4667" xr:uid="{00000000-0005-0000-0000-000047090000}"/>
    <cellStyle name="Output 2 2 2 2 2 6" xfId="8676" xr:uid="{693C6DDA-F764-4237-9969-819B489DCB27}"/>
    <cellStyle name="Output 2 2 2 2 2 7" xfId="12567" xr:uid="{1387F3B7-D686-459A-8A1A-00F2562D168B}"/>
    <cellStyle name="Output 2 2 2 2 3" xfId="1223" xr:uid="{00000000-0005-0000-0000-000048090000}"/>
    <cellStyle name="Output 2 2 2 2 3 2" xfId="1943" xr:uid="{00000000-0005-0000-0000-000049090000}"/>
    <cellStyle name="Output 2 2 2 2 3 2 2" xfId="5840" xr:uid="{00000000-0005-0000-0000-00004A090000}"/>
    <cellStyle name="Output 2 2 2 2 3 2 3" xfId="9849" xr:uid="{861747A9-8860-44AA-AB7B-1932EAE05890}"/>
    <cellStyle name="Output 2 2 2 2 3 3" xfId="5124" xr:uid="{00000000-0005-0000-0000-00004B090000}"/>
    <cellStyle name="Output 2 2 2 2 3 4" xfId="9133" xr:uid="{90AB2CF3-071A-4092-B919-D48ADDAFDCC1}"/>
    <cellStyle name="Output 2 2 2 2 3 5" xfId="13024" xr:uid="{99573960-E217-4864-9D2B-CA705C72C033}"/>
    <cellStyle name="Output 2 2 2 2 4" xfId="1940" xr:uid="{00000000-0005-0000-0000-00004C090000}"/>
    <cellStyle name="Output 2 2 2 2 4 2" xfId="5837" xr:uid="{00000000-0005-0000-0000-00004D090000}"/>
    <cellStyle name="Output 2 2 2 2 4 3" xfId="9846" xr:uid="{8617D42D-22CE-4A68-914A-35F1B27EF2C5}"/>
    <cellStyle name="Output 2 2 2 2 5" xfId="3168" xr:uid="{00000000-0005-0000-0000-00004E090000}"/>
    <cellStyle name="Output 2 2 2 2 5 2" xfId="7062" xr:uid="{00000000-0005-0000-0000-00004F090000}"/>
    <cellStyle name="Output 2 2 2 2 5 3" xfId="11071" xr:uid="{81C57E20-072D-4786-BA46-AE7BE242CF60}"/>
    <cellStyle name="Output 2 2 2 2 6" xfId="4346" xr:uid="{00000000-0005-0000-0000-000050090000}"/>
    <cellStyle name="Output 2 2 2 2 7" xfId="8355" xr:uid="{24588344-ECE7-4964-A6D8-8C19AED5253C}"/>
    <cellStyle name="Output 2 2 2 2 8" xfId="12246" xr:uid="{F80B7962-6454-4BA3-A225-5D2684BDBB6C}"/>
    <cellStyle name="Output 2 2 2 3" xfId="607" xr:uid="{00000000-0005-0000-0000-000051090000}"/>
    <cellStyle name="Output 2 2 2 3 2" xfId="1388" xr:uid="{00000000-0005-0000-0000-000052090000}"/>
    <cellStyle name="Output 2 2 2 3 2 2" xfId="1945" xr:uid="{00000000-0005-0000-0000-000053090000}"/>
    <cellStyle name="Output 2 2 2 3 2 2 2" xfId="5842" xr:uid="{00000000-0005-0000-0000-000054090000}"/>
    <cellStyle name="Output 2 2 2 3 2 2 3" xfId="9851" xr:uid="{69ADA8E5-1423-4D70-AB9F-ADEBA2255606}"/>
    <cellStyle name="Output 2 2 2 3 2 3" xfId="5289" xr:uid="{00000000-0005-0000-0000-000055090000}"/>
    <cellStyle name="Output 2 2 2 3 2 4" xfId="9298" xr:uid="{A5F99563-4123-4F10-A03A-1F85B92495D3}"/>
    <cellStyle name="Output 2 2 2 3 2 5" xfId="13189" xr:uid="{6A7B893F-646E-4F31-9B20-54230DEDEB56}"/>
    <cellStyle name="Output 2 2 2 3 3" xfId="1944" xr:uid="{00000000-0005-0000-0000-000056090000}"/>
    <cellStyle name="Output 2 2 2 3 3 2" xfId="5841" xr:uid="{00000000-0005-0000-0000-000057090000}"/>
    <cellStyle name="Output 2 2 2 3 3 3" xfId="9850" xr:uid="{33C0E6BD-8DA2-454A-9B24-1D9D1E559969}"/>
    <cellStyle name="Output 2 2 2 3 4" xfId="3333" xr:uid="{00000000-0005-0000-0000-000058090000}"/>
    <cellStyle name="Output 2 2 2 3 4 2" xfId="7227" xr:uid="{00000000-0005-0000-0000-000059090000}"/>
    <cellStyle name="Output 2 2 2 3 4 3" xfId="11236" xr:uid="{FF0F70C8-D6D9-4D44-889B-78A1243F6197}"/>
    <cellStyle name="Output 2 2 2 3 5" xfId="4511" xr:uid="{00000000-0005-0000-0000-00005A090000}"/>
    <cellStyle name="Output 2 2 2 3 6" xfId="8520" xr:uid="{8ECBE736-ABF8-4970-BB28-12952B2F534B}"/>
    <cellStyle name="Output 2 2 2 3 7" xfId="12411" xr:uid="{DFB4DF89-3845-497C-8BF2-096DBB5C9733}"/>
    <cellStyle name="Output 2 2 2 4" xfId="1067" xr:uid="{00000000-0005-0000-0000-00005B090000}"/>
    <cellStyle name="Output 2 2 2 4 2" xfId="1946" xr:uid="{00000000-0005-0000-0000-00005C090000}"/>
    <cellStyle name="Output 2 2 2 4 2 2" xfId="5843" xr:uid="{00000000-0005-0000-0000-00005D090000}"/>
    <cellStyle name="Output 2 2 2 4 2 3" xfId="9852" xr:uid="{737FDE4E-9F69-42D0-94C3-AC66ADD378E6}"/>
    <cellStyle name="Output 2 2 2 4 3" xfId="4968" xr:uid="{00000000-0005-0000-0000-00005E090000}"/>
    <cellStyle name="Output 2 2 2 4 4" xfId="8977" xr:uid="{AE747F07-B582-4C53-9636-7B3660C547A1}"/>
    <cellStyle name="Output 2 2 2 4 5" xfId="12868" xr:uid="{57EAE447-E647-436E-81B9-56F3AAB1A832}"/>
    <cellStyle name="Output 2 2 2 5" xfId="1939" xr:uid="{00000000-0005-0000-0000-00005F090000}"/>
    <cellStyle name="Output 2 2 2 5 2" xfId="5836" xr:uid="{00000000-0005-0000-0000-000060090000}"/>
    <cellStyle name="Output 2 2 2 5 3" xfId="9845" xr:uid="{18A7BA0E-D6F5-4F7E-A557-3885D7DAB089}"/>
    <cellStyle name="Output 2 2 2 6" xfId="3012" xr:uid="{00000000-0005-0000-0000-000061090000}"/>
    <cellStyle name="Output 2 2 2 6 2" xfId="6906" xr:uid="{00000000-0005-0000-0000-000062090000}"/>
    <cellStyle name="Output 2 2 2 6 3" xfId="10915" xr:uid="{4DC85DC4-EA87-4DF1-B1A4-7AE5A4D7B88F}"/>
    <cellStyle name="Output 2 2 2 7" xfId="4190" xr:uid="{00000000-0005-0000-0000-000063090000}"/>
    <cellStyle name="Output 2 2 2 8" xfId="8199" xr:uid="{F512AAD4-AF1F-4DBD-B5C3-1499677C96E0}"/>
    <cellStyle name="Output 2 2 2 9" xfId="12090" xr:uid="{7E090E2E-6C69-446D-A443-257955E4404F}"/>
    <cellStyle name="Output 2 2 3" xfId="227" xr:uid="{00000000-0005-0000-0000-000064090000}"/>
    <cellStyle name="Output 2 2 3 2" xfId="557" xr:uid="{00000000-0005-0000-0000-000065090000}"/>
    <cellStyle name="Output 2 2 3 2 2" xfId="1338" xr:uid="{00000000-0005-0000-0000-000066090000}"/>
    <cellStyle name="Output 2 2 3 2 2 2" xfId="1949" xr:uid="{00000000-0005-0000-0000-000067090000}"/>
    <cellStyle name="Output 2 2 3 2 2 2 2" xfId="5846" xr:uid="{00000000-0005-0000-0000-000068090000}"/>
    <cellStyle name="Output 2 2 3 2 2 2 3" xfId="9855" xr:uid="{4B424728-FEB0-46E7-8C6E-3F56381D2644}"/>
    <cellStyle name="Output 2 2 3 2 2 3" xfId="5239" xr:uid="{00000000-0005-0000-0000-000069090000}"/>
    <cellStyle name="Output 2 2 3 2 2 4" xfId="9248" xr:uid="{94838063-A9FC-4401-9DE9-7C6FB3408FD7}"/>
    <cellStyle name="Output 2 2 3 2 2 5" xfId="13139" xr:uid="{2DC3C90C-FB3F-4590-80A2-ADCAEBC5106C}"/>
    <cellStyle name="Output 2 2 3 2 3" xfId="1948" xr:uid="{00000000-0005-0000-0000-00006A090000}"/>
    <cellStyle name="Output 2 2 3 2 3 2" xfId="5845" xr:uid="{00000000-0005-0000-0000-00006B090000}"/>
    <cellStyle name="Output 2 2 3 2 3 3" xfId="9854" xr:uid="{FC8DEC40-6E28-45AB-9339-1EA698FAE976}"/>
    <cellStyle name="Output 2 2 3 2 4" xfId="3283" xr:uid="{00000000-0005-0000-0000-00006C090000}"/>
    <cellStyle name="Output 2 2 3 2 4 2" xfId="7177" xr:uid="{00000000-0005-0000-0000-00006D090000}"/>
    <cellStyle name="Output 2 2 3 2 4 3" xfId="11186" xr:uid="{0453FC18-AB5A-4EBE-BAF7-CF394C22BF9E}"/>
    <cellStyle name="Output 2 2 3 2 5" xfId="4461" xr:uid="{00000000-0005-0000-0000-00006E090000}"/>
    <cellStyle name="Output 2 2 3 2 6" xfId="8470" xr:uid="{9E11556C-0FEE-4BB8-A138-B99658D0578C}"/>
    <cellStyle name="Output 2 2 3 2 7" xfId="12361" xr:uid="{DA53B407-6A09-4A30-873F-58B777B3BFD5}"/>
    <cellStyle name="Output 2 2 3 3" xfId="1017" xr:uid="{00000000-0005-0000-0000-00006F090000}"/>
    <cellStyle name="Output 2 2 3 3 2" xfId="1950" xr:uid="{00000000-0005-0000-0000-000070090000}"/>
    <cellStyle name="Output 2 2 3 3 2 2" xfId="5847" xr:uid="{00000000-0005-0000-0000-000071090000}"/>
    <cellStyle name="Output 2 2 3 3 2 3" xfId="9856" xr:uid="{D21AF83C-4AA5-4901-BE45-82FC6067ED53}"/>
    <cellStyle name="Output 2 2 3 3 3" xfId="4918" xr:uid="{00000000-0005-0000-0000-000072090000}"/>
    <cellStyle name="Output 2 2 3 3 4" xfId="8927" xr:uid="{BB2BFA43-0278-424C-89D8-02B12FE6C3D8}"/>
    <cellStyle name="Output 2 2 3 3 5" xfId="12818" xr:uid="{D2FC26DE-1013-46E9-B342-2A687E5C6237}"/>
    <cellStyle name="Output 2 2 3 4" xfId="1947" xr:uid="{00000000-0005-0000-0000-000073090000}"/>
    <cellStyle name="Output 2 2 3 4 2" xfId="5844" xr:uid="{00000000-0005-0000-0000-000074090000}"/>
    <cellStyle name="Output 2 2 3 4 3" xfId="9853" xr:uid="{035D4D88-8846-410F-86A5-F874C228E238}"/>
    <cellStyle name="Output 2 2 3 5" xfId="2962" xr:uid="{00000000-0005-0000-0000-000075090000}"/>
    <cellStyle name="Output 2 2 3 5 2" xfId="6856" xr:uid="{00000000-0005-0000-0000-000076090000}"/>
    <cellStyle name="Output 2 2 3 5 3" xfId="10865" xr:uid="{C7955157-3520-43C1-B9F2-2EE3CE53F8E5}"/>
    <cellStyle name="Output 2 2 3 6" xfId="4140" xr:uid="{00000000-0005-0000-0000-000077090000}"/>
    <cellStyle name="Output 2 2 3 7" xfId="8149" xr:uid="{7E6AC775-218D-4700-B266-31BBCB564239}"/>
    <cellStyle name="Output 2 2 3 8" xfId="12040" xr:uid="{F26091BB-4219-46C2-A325-EDAE6620F292}"/>
    <cellStyle name="Output 2 2 3 9" xfId="13476" xr:uid="{4DB600A8-8262-4E60-AE54-AAADB35A6AAC}"/>
    <cellStyle name="Output 2 2 4" xfId="344" xr:uid="{00000000-0005-0000-0000-000078090000}"/>
    <cellStyle name="Output 2 2 4 2" xfId="674" xr:uid="{00000000-0005-0000-0000-000079090000}"/>
    <cellStyle name="Output 2 2 4 2 2" xfId="1455" xr:uid="{00000000-0005-0000-0000-00007A090000}"/>
    <cellStyle name="Output 2 2 4 2 2 2" xfId="1953" xr:uid="{00000000-0005-0000-0000-00007B090000}"/>
    <cellStyle name="Output 2 2 4 2 2 2 2" xfId="5850" xr:uid="{00000000-0005-0000-0000-00007C090000}"/>
    <cellStyle name="Output 2 2 4 2 2 2 3" xfId="9859" xr:uid="{4E82D396-560D-45CC-AFEA-2794BA0F9A97}"/>
    <cellStyle name="Output 2 2 4 2 2 3" xfId="5356" xr:uid="{00000000-0005-0000-0000-00007D090000}"/>
    <cellStyle name="Output 2 2 4 2 2 4" xfId="9365" xr:uid="{182EC564-ED9C-4415-A51D-6506AA59E1C5}"/>
    <cellStyle name="Output 2 2 4 2 2 5" xfId="13256" xr:uid="{83BB2CF0-00C9-4317-836E-3B99D2549AE7}"/>
    <cellStyle name="Output 2 2 4 2 3" xfId="1952" xr:uid="{00000000-0005-0000-0000-00007E090000}"/>
    <cellStyle name="Output 2 2 4 2 3 2" xfId="5849" xr:uid="{00000000-0005-0000-0000-00007F090000}"/>
    <cellStyle name="Output 2 2 4 2 3 3" xfId="9858" xr:uid="{B59B3070-EDCA-4026-9925-649B74801058}"/>
    <cellStyle name="Output 2 2 4 2 4" xfId="3400" xr:uid="{00000000-0005-0000-0000-000080090000}"/>
    <cellStyle name="Output 2 2 4 2 4 2" xfId="7294" xr:uid="{00000000-0005-0000-0000-000081090000}"/>
    <cellStyle name="Output 2 2 4 2 4 3" xfId="11303" xr:uid="{DA2F30BC-5452-45F6-BBDC-565A61434819}"/>
    <cellStyle name="Output 2 2 4 2 5" xfId="4578" xr:uid="{00000000-0005-0000-0000-000082090000}"/>
    <cellStyle name="Output 2 2 4 2 6" xfId="8587" xr:uid="{FCD3E167-55E3-47F1-A808-CE3E82B5A1CB}"/>
    <cellStyle name="Output 2 2 4 2 7" xfId="12478" xr:uid="{D762F0B0-2280-426F-A855-3502477444ED}"/>
    <cellStyle name="Output 2 2 4 3" xfId="1134" xr:uid="{00000000-0005-0000-0000-000083090000}"/>
    <cellStyle name="Output 2 2 4 3 2" xfId="1954" xr:uid="{00000000-0005-0000-0000-000084090000}"/>
    <cellStyle name="Output 2 2 4 3 2 2" xfId="5851" xr:uid="{00000000-0005-0000-0000-000085090000}"/>
    <cellStyle name="Output 2 2 4 3 2 3" xfId="9860" xr:uid="{4BAA9B0A-6C02-4100-A058-81CD722F6EB1}"/>
    <cellStyle name="Output 2 2 4 3 3" xfId="5035" xr:uid="{00000000-0005-0000-0000-000086090000}"/>
    <cellStyle name="Output 2 2 4 3 4" xfId="9044" xr:uid="{7F67C99D-7AAD-4CCE-97CE-923D82BD674B}"/>
    <cellStyle name="Output 2 2 4 3 5" xfId="12935" xr:uid="{2E66004B-EC7C-48BC-BE32-E4B28E39764A}"/>
    <cellStyle name="Output 2 2 4 4" xfId="1951" xr:uid="{00000000-0005-0000-0000-000087090000}"/>
    <cellStyle name="Output 2 2 4 4 2" xfId="5848" xr:uid="{00000000-0005-0000-0000-000088090000}"/>
    <cellStyle name="Output 2 2 4 4 3" xfId="9857" xr:uid="{B117ED3C-CA12-4D77-B186-1F19356495C8}"/>
    <cellStyle name="Output 2 2 4 5" xfId="3079" xr:uid="{00000000-0005-0000-0000-000089090000}"/>
    <cellStyle name="Output 2 2 4 5 2" xfId="6973" xr:uid="{00000000-0005-0000-0000-00008A090000}"/>
    <cellStyle name="Output 2 2 4 5 3" xfId="10982" xr:uid="{F9A23BAE-2E1E-49B4-B690-3826EB22FA14}"/>
    <cellStyle name="Output 2 2 4 6" xfId="4257" xr:uid="{00000000-0005-0000-0000-00008B090000}"/>
    <cellStyle name="Output 2 2 4 7" xfId="8266" xr:uid="{6F534BBD-0C25-4BAF-A282-BA3513C3105B}"/>
    <cellStyle name="Output 2 2 4 8" xfId="12157" xr:uid="{D27D5BD3-79E9-4372-AA5F-CEB95BCD50DE}"/>
    <cellStyle name="Output 2 2 5" xfId="509" xr:uid="{00000000-0005-0000-0000-00008C090000}"/>
    <cellStyle name="Output 2 2 5 2" xfId="1290" xr:uid="{00000000-0005-0000-0000-00008D090000}"/>
    <cellStyle name="Output 2 2 5 2 2" xfId="1956" xr:uid="{00000000-0005-0000-0000-00008E090000}"/>
    <cellStyle name="Output 2 2 5 2 2 2" xfId="5853" xr:uid="{00000000-0005-0000-0000-00008F090000}"/>
    <cellStyle name="Output 2 2 5 2 2 3" xfId="9862" xr:uid="{D792A3A8-9531-49BF-8116-952E34B89503}"/>
    <cellStyle name="Output 2 2 5 2 3" xfId="5191" xr:uid="{00000000-0005-0000-0000-000090090000}"/>
    <cellStyle name="Output 2 2 5 2 4" xfId="9200" xr:uid="{5BD2668A-579A-451D-A024-07F13FA98BCD}"/>
    <cellStyle name="Output 2 2 5 2 5" xfId="13091" xr:uid="{5E751E90-0708-4228-8269-C95C0B756F6A}"/>
    <cellStyle name="Output 2 2 5 3" xfId="1955" xr:uid="{00000000-0005-0000-0000-000091090000}"/>
    <cellStyle name="Output 2 2 5 3 2" xfId="5852" xr:uid="{00000000-0005-0000-0000-000092090000}"/>
    <cellStyle name="Output 2 2 5 3 3" xfId="9861" xr:uid="{22AA1C92-4BFB-4B8B-AC2E-AB2933B92A96}"/>
    <cellStyle name="Output 2 2 5 4" xfId="3235" xr:uid="{00000000-0005-0000-0000-000093090000}"/>
    <cellStyle name="Output 2 2 5 4 2" xfId="7129" xr:uid="{00000000-0005-0000-0000-000094090000}"/>
    <cellStyle name="Output 2 2 5 4 3" xfId="11138" xr:uid="{8C5C9771-DB65-4C59-9FB3-73D6E9830150}"/>
    <cellStyle name="Output 2 2 5 5" xfId="4413" xr:uid="{00000000-0005-0000-0000-000095090000}"/>
    <cellStyle name="Output 2 2 5 6" xfId="8422" xr:uid="{BA2100A8-5F34-48FF-B5D6-B412C6A0997A}"/>
    <cellStyle name="Output 2 2 5 7" xfId="12313" xr:uid="{0F9C420F-F53B-40D4-9920-CCA19CCC2DA8}"/>
    <cellStyle name="Output 2 2 6" xfId="969" xr:uid="{00000000-0005-0000-0000-000096090000}"/>
    <cellStyle name="Output 2 2 6 2" xfId="1957" xr:uid="{00000000-0005-0000-0000-000097090000}"/>
    <cellStyle name="Output 2 2 6 2 2" xfId="5854" xr:uid="{00000000-0005-0000-0000-000098090000}"/>
    <cellStyle name="Output 2 2 6 2 3" xfId="9863" xr:uid="{06E150A8-2076-432E-90D3-7B5012199290}"/>
    <cellStyle name="Output 2 2 6 3" xfId="4870" xr:uid="{00000000-0005-0000-0000-000099090000}"/>
    <cellStyle name="Output 2 2 6 4" xfId="8879" xr:uid="{78F2158C-0124-44F4-9F14-0B72174085C0}"/>
    <cellStyle name="Output 2 2 6 5" xfId="12770" xr:uid="{00225622-A444-4A8B-BCAE-790E1FAEE53A}"/>
    <cellStyle name="Output 2 2 7" xfId="1938" xr:uid="{00000000-0005-0000-0000-00009A090000}"/>
    <cellStyle name="Output 2 2 7 2" xfId="5835" xr:uid="{00000000-0005-0000-0000-00009B090000}"/>
    <cellStyle name="Output 2 2 7 3" xfId="9844" xr:uid="{6012D558-80D0-4C55-84BB-D1A5C17F93B1}"/>
    <cellStyle name="Output 2 2 8" xfId="2914" xr:uid="{00000000-0005-0000-0000-00009C090000}"/>
    <cellStyle name="Output 2 2 8 2" xfId="6808" xr:uid="{00000000-0005-0000-0000-00009D090000}"/>
    <cellStyle name="Output 2 2 8 3" xfId="10817" xr:uid="{4FD16F6F-4383-480A-B1C6-F104536F1413}"/>
    <cellStyle name="Output 2 2 9" xfId="4092" xr:uid="{00000000-0005-0000-0000-00009E090000}"/>
    <cellStyle name="Output 2 3" xfId="241" xr:uid="{00000000-0005-0000-0000-00009F090000}"/>
    <cellStyle name="Output 2 3 10" xfId="13490" xr:uid="{CCE6B0C9-07C3-48C6-BC82-9A0697E85717}"/>
    <cellStyle name="Output 2 3 2" xfId="400" xr:uid="{00000000-0005-0000-0000-0000A0090000}"/>
    <cellStyle name="Output 2 3 2 2" xfId="730" xr:uid="{00000000-0005-0000-0000-0000A1090000}"/>
    <cellStyle name="Output 2 3 2 2 2" xfId="1511" xr:uid="{00000000-0005-0000-0000-0000A2090000}"/>
    <cellStyle name="Output 2 3 2 2 2 2" xfId="1961" xr:uid="{00000000-0005-0000-0000-0000A3090000}"/>
    <cellStyle name="Output 2 3 2 2 2 2 2" xfId="5858" xr:uid="{00000000-0005-0000-0000-0000A4090000}"/>
    <cellStyle name="Output 2 3 2 2 2 2 3" xfId="9867" xr:uid="{EFBE148C-366D-4404-9326-3D9A48E7649E}"/>
    <cellStyle name="Output 2 3 2 2 2 3" xfId="5412" xr:uid="{00000000-0005-0000-0000-0000A5090000}"/>
    <cellStyle name="Output 2 3 2 2 2 4" xfId="9421" xr:uid="{362B3955-CF96-47B2-A5AC-ED5CAEEBF186}"/>
    <cellStyle name="Output 2 3 2 2 2 5" xfId="13312" xr:uid="{D4C7C20C-8079-41EF-ADF7-7C12C031D785}"/>
    <cellStyle name="Output 2 3 2 2 3" xfId="1960" xr:uid="{00000000-0005-0000-0000-0000A6090000}"/>
    <cellStyle name="Output 2 3 2 2 3 2" xfId="5857" xr:uid="{00000000-0005-0000-0000-0000A7090000}"/>
    <cellStyle name="Output 2 3 2 2 3 3" xfId="9866" xr:uid="{07DF90E6-5BC3-4896-9AFE-93CCAAF2E572}"/>
    <cellStyle name="Output 2 3 2 2 4" xfId="3456" xr:uid="{00000000-0005-0000-0000-0000A8090000}"/>
    <cellStyle name="Output 2 3 2 2 4 2" xfId="7350" xr:uid="{00000000-0005-0000-0000-0000A9090000}"/>
    <cellStyle name="Output 2 3 2 2 4 3" xfId="11359" xr:uid="{490A407F-5503-4E56-AE33-D64875628F5B}"/>
    <cellStyle name="Output 2 3 2 2 5" xfId="4634" xr:uid="{00000000-0005-0000-0000-0000AA090000}"/>
    <cellStyle name="Output 2 3 2 2 6" xfId="8643" xr:uid="{47DDEB89-3051-46C8-8DAA-08D9005A0CB0}"/>
    <cellStyle name="Output 2 3 2 2 7" xfId="12534" xr:uid="{BEDBBDC4-A701-48D0-B224-9C93CC23F3CB}"/>
    <cellStyle name="Output 2 3 2 3" xfId="1190" xr:uid="{00000000-0005-0000-0000-0000AB090000}"/>
    <cellStyle name="Output 2 3 2 3 2" xfId="1962" xr:uid="{00000000-0005-0000-0000-0000AC090000}"/>
    <cellStyle name="Output 2 3 2 3 2 2" xfId="5859" xr:uid="{00000000-0005-0000-0000-0000AD090000}"/>
    <cellStyle name="Output 2 3 2 3 2 3" xfId="9868" xr:uid="{8A22B171-36BD-4382-AD81-9A9F604F2451}"/>
    <cellStyle name="Output 2 3 2 3 3" xfId="5091" xr:uid="{00000000-0005-0000-0000-0000AE090000}"/>
    <cellStyle name="Output 2 3 2 3 4" xfId="9100" xr:uid="{1C978139-AF3E-488F-961F-6EBF06A288FA}"/>
    <cellStyle name="Output 2 3 2 3 5" xfId="12991" xr:uid="{C9AA56A1-0DE6-4185-BF18-73ECB3F28022}"/>
    <cellStyle name="Output 2 3 2 4" xfId="1959" xr:uid="{00000000-0005-0000-0000-0000AF090000}"/>
    <cellStyle name="Output 2 3 2 4 2" xfId="5856" xr:uid="{00000000-0005-0000-0000-0000B0090000}"/>
    <cellStyle name="Output 2 3 2 4 3" xfId="9865" xr:uid="{5A8D7F4A-03D2-4E43-AA32-D1E4F50EF9C0}"/>
    <cellStyle name="Output 2 3 2 5" xfId="3135" xr:uid="{00000000-0005-0000-0000-0000B1090000}"/>
    <cellStyle name="Output 2 3 2 5 2" xfId="7029" xr:uid="{00000000-0005-0000-0000-0000B2090000}"/>
    <cellStyle name="Output 2 3 2 5 3" xfId="11038" xr:uid="{BC24287C-43E6-49B2-9954-A2B174CBC2D6}"/>
    <cellStyle name="Output 2 3 2 6" xfId="4313" xr:uid="{00000000-0005-0000-0000-0000B3090000}"/>
    <cellStyle name="Output 2 3 2 7" xfId="8322" xr:uid="{16440CCC-68D9-4E62-8B5B-E981418720D5}"/>
    <cellStyle name="Output 2 3 2 8" xfId="12213" xr:uid="{678B5629-ADE2-4E68-A886-AE85A6F4A8BD}"/>
    <cellStyle name="Output 2 3 3" xfId="571" xr:uid="{00000000-0005-0000-0000-0000B4090000}"/>
    <cellStyle name="Output 2 3 3 2" xfId="1352" xr:uid="{00000000-0005-0000-0000-0000B5090000}"/>
    <cellStyle name="Output 2 3 3 2 2" xfId="1964" xr:uid="{00000000-0005-0000-0000-0000B6090000}"/>
    <cellStyle name="Output 2 3 3 2 2 2" xfId="5861" xr:uid="{00000000-0005-0000-0000-0000B7090000}"/>
    <cellStyle name="Output 2 3 3 2 2 3" xfId="9870" xr:uid="{89DE0E76-1A9C-4DF2-AFFD-911507800BCF}"/>
    <cellStyle name="Output 2 3 3 2 3" xfId="5253" xr:uid="{00000000-0005-0000-0000-0000B8090000}"/>
    <cellStyle name="Output 2 3 3 2 4" xfId="9262" xr:uid="{365F9182-3E3E-4B89-BC51-20435E09F223}"/>
    <cellStyle name="Output 2 3 3 2 5" xfId="13153" xr:uid="{804895A5-B16E-4111-89C7-293D7ACA0931}"/>
    <cellStyle name="Output 2 3 3 3" xfId="1963" xr:uid="{00000000-0005-0000-0000-0000B9090000}"/>
    <cellStyle name="Output 2 3 3 3 2" xfId="5860" xr:uid="{00000000-0005-0000-0000-0000BA090000}"/>
    <cellStyle name="Output 2 3 3 3 3" xfId="9869" xr:uid="{13F3D21B-CEF1-453A-B67B-79A403EDCB74}"/>
    <cellStyle name="Output 2 3 3 4" xfId="3297" xr:uid="{00000000-0005-0000-0000-0000BB090000}"/>
    <cellStyle name="Output 2 3 3 4 2" xfId="7191" xr:uid="{00000000-0005-0000-0000-0000BC090000}"/>
    <cellStyle name="Output 2 3 3 4 3" xfId="11200" xr:uid="{C48A1EE6-076F-468B-8C3B-B942364F5D43}"/>
    <cellStyle name="Output 2 3 3 5" xfId="4475" xr:uid="{00000000-0005-0000-0000-0000BD090000}"/>
    <cellStyle name="Output 2 3 3 6" xfId="8484" xr:uid="{1B4D8F0C-D0DA-459A-A687-0966E4DE5EEB}"/>
    <cellStyle name="Output 2 3 3 7" xfId="12375" xr:uid="{651C5953-EABC-40BB-BD10-4FCA48ACC1C3}"/>
    <cellStyle name="Output 2 3 4" xfId="1031" xr:uid="{00000000-0005-0000-0000-0000BE090000}"/>
    <cellStyle name="Output 2 3 4 2" xfId="1965" xr:uid="{00000000-0005-0000-0000-0000BF090000}"/>
    <cellStyle name="Output 2 3 4 2 2" xfId="5862" xr:uid="{00000000-0005-0000-0000-0000C0090000}"/>
    <cellStyle name="Output 2 3 4 2 3" xfId="9871" xr:uid="{B221CD2B-F7E5-463F-A0D4-A9EC86FF59F2}"/>
    <cellStyle name="Output 2 3 4 3" xfId="4932" xr:uid="{00000000-0005-0000-0000-0000C1090000}"/>
    <cellStyle name="Output 2 3 4 4" xfId="8941" xr:uid="{3C4CC194-4184-4D58-AD8D-9D40514B4539}"/>
    <cellStyle name="Output 2 3 4 5" xfId="12832" xr:uid="{4EDDB149-3921-4B42-8765-BF5A0FD68C70}"/>
    <cellStyle name="Output 2 3 5" xfId="1958" xr:uid="{00000000-0005-0000-0000-0000C2090000}"/>
    <cellStyle name="Output 2 3 5 2" xfId="5855" xr:uid="{00000000-0005-0000-0000-0000C3090000}"/>
    <cellStyle name="Output 2 3 5 3" xfId="9864" xr:uid="{CA03283E-3979-457E-B43F-DBA8612AB111}"/>
    <cellStyle name="Output 2 3 6" xfId="2976" xr:uid="{00000000-0005-0000-0000-0000C4090000}"/>
    <cellStyle name="Output 2 3 6 2" xfId="6870" xr:uid="{00000000-0005-0000-0000-0000C5090000}"/>
    <cellStyle name="Output 2 3 6 3" xfId="10879" xr:uid="{50612DB3-1DE5-4D7D-A36D-EAA01662A3EC}"/>
    <cellStyle name="Output 2 3 7" xfId="4154" xr:uid="{00000000-0005-0000-0000-0000C6090000}"/>
    <cellStyle name="Output 2 3 8" xfId="8163" xr:uid="{27ECF56A-1A51-4836-8CF0-93532ABFBB7D}"/>
    <cellStyle name="Output 2 3 9" xfId="12054" xr:uid="{84152EDF-E469-460B-900F-319B63C3FCCB}"/>
    <cellStyle name="Output 2 4" xfId="217" xr:uid="{00000000-0005-0000-0000-0000C7090000}"/>
    <cellStyle name="Output 2 4 2" xfId="547" xr:uid="{00000000-0005-0000-0000-0000C8090000}"/>
    <cellStyle name="Output 2 4 2 2" xfId="1328" xr:uid="{00000000-0005-0000-0000-0000C9090000}"/>
    <cellStyle name="Output 2 4 2 2 2" xfId="1968" xr:uid="{00000000-0005-0000-0000-0000CA090000}"/>
    <cellStyle name="Output 2 4 2 2 2 2" xfId="5865" xr:uid="{00000000-0005-0000-0000-0000CB090000}"/>
    <cellStyle name="Output 2 4 2 2 2 3" xfId="9874" xr:uid="{DC879CB7-0FD6-4D15-A89B-2BDD6E7B5F62}"/>
    <cellStyle name="Output 2 4 2 2 3" xfId="5229" xr:uid="{00000000-0005-0000-0000-0000CC090000}"/>
    <cellStyle name="Output 2 4 2 2 4" xfId="9238" xr:uid="{5329F54C-FBAB-45A2-ADD5-ADBBEEB3EE1E}"/>
    <cellStyle name="Output 2 4 2 2 5" xfId="13129" xr:uid="{5F929622-A9E8-44F6-85E7-4960A6E72EBC}"/>
    <cellStyle name="Output 2 4 2 3" xfId="1967" xr:uid="{00000000-0005-0000-0000-0000CD090000}"/>
    <cellStyle name="Output 2 4 2 3 2" xfId="5864" xr:uid="{00000000-0005-0000-0000-0000CE090000}"/>
    <cellStyle name="Output 2 4 2 3 3" xfId="9873" xr:uid="{8DB59AFF-1DFC-49E2-A0FF-533023965E90}"/>
    <cellStyle name="Output 2 4 2 4" xfId="3273" xr:uid="{00000000-0005-0000-0000-0000CF090000}"/>
    <cellStyle name="Output 2 4 2 4 2" xfId="7167" xr:uid="{00000000-0005-0000-0000-0000D0090000}"/>
    <cellStyle name="Output 2 4 2 4 3" xfId="11176" xr:uid="{86315A89-1D9A-477B-8761-7C81900A5649}"/>
    <cellStyle name="Output 2 4 2 5" xfId="4451" xr:uid="{00000000-0005-0000-0000-0000D1090000}"/>
    <cellStyle name="Output 2 4 2 6" xfId="8460" xr:uid="{418DAE9B-7A1C-49CD-99A1-432C65FD678F}"/>
    <cellStyle name="Output 2 4 2 7" xfId="12351" xr:uid="{1116FA4A-2769-437E-8B42-C5AD53B94885}"/>
    <cellStyle name="Output 2 4 3" xfId="1007" xr:uid="{00000000-0005-0000-0000-0000D2090000}"/>
    <cellStyle name="Output 2 4 3 2" xfId="1969" xr:uid="{00000000-0005-0000-0000-0000D3090000}"/>
    <cellStyle name="Output 2 4 3 2 2" xfId="5866" xr:uid="{00000000-0005-0000-0000-0000D4090000}"/>
    <cellStyle name="Output 2 4 3 2 3" xfId="9875" xr:uid="{83F30553-5190-4962-AF19-F1A466AF1E0C}"/>
    <cellStyle name="Output 2 4 3 3" xfId="4908" xr:uid="{00000000-0005-0000-0000-0000D5090000}"/>
    <cellStyle name="Output 2 4 3 4" xfId="8917" xr:uid="{60ABD20E-F80B-4F64-B18A-8B48EF11E5C5}"/>
    <cellStyle name="Output 2 4 3 5" xfId="12808" xr:uid="{075F03A1-2114-4380-BDF9-EFCFFD058E7E}"/>
    <cellStyle name="Output 2 4 4" xfId="1966" xr:uid="{00000000-0005-0000-0000-0000D6090000}"/>
    <cellStyle name="Output 2 4 4 2" xfId="5863" xr:uid="{00000000-0005-0000-0000-0000D7090000}"/>
    <cellStyle name="Output 2 4 4 3" xfId="9872" xr:uid="{00E1228D-BD34-4081-826B-83A74CC569C3}"/>
    <cellStyle name="Output 2 4 5" xfId="2952" xr:uid="{00000000-0005-0000-0000-0000D8090000}"/>
    <cellStyle name="Output 2 4 5 2" xfId="6846" xr:uid="{00000000-0005-0000-0000-0000D9090000}"/>
    <cellStyle name="Output 2 4 5 3" xfId="10855" xr:uid="{00BB1E3D-D09D-46B7-8A72-ED3066115034}"/>
    <cellStyle name="Output 2 4 6" xfId="4130" xr:uid="{00000000-0005-0000-0000-0000DA090000}"/>
    <cellStyle name="Output 2 4 7" xfId="8139" xr:uid="{7DE9BEEA-6638-4CF3-A0F4-08ADD3DD5881}"/>
    <cellStyle name="Output 2 4 8" xfId="12030" xr:uid="{EF74FAFF-4559-416F-8699-5C3D390FB754}"/>
    <cellStyle name="Output 2 4 9" xfId="13466" xr:uid="{43AB6AE2-9E60-4796-A735-B06304E39783}"/>
    <cellStyle name="Output 2 5" xfId="321" xr:uid="{00000000-0005-0000-0000-0000DB090000}"/>
    <cellStyle name="Output 2 5 2" xfId="651" xr:uid="{00000000-0005-0000-0000-0000DC090000}"/>
    <cellStyle name="Output 2 5 2 2" xfId="1432" xr:uid="{00000000-0005-0000-0000-0000DD090000}"/>
    <cellStyle name="Output 2 5 2 2 2" xfId="1972" xr:uid="{00000000-0005-0000-0000-0000DE090000}"/>
    <cellStyle name="Output 2 5 2 2 2 2" xfId="5869" xr:uid="{00000000-0005-0000-0000-0000DF090000}"/>
    <cellStyle name="Output 2 5 2 2 2 3" xfId="9878" xr:uid="{28B6D167-2E6E-449F-AC82-094C437714C0}"/>
    <cellStyle name="Output 2 5 2 2 3" xfId="5333" xr:uid="{00000000-0005-0000-0000-0000E0090000}"/>
    <cellStyle name="Output 2 5 2 2 4" xfId="9342" xr:uid="{89286F5A-04C7-44A0-B8BD-778AD3D88844}"/>
    <cellStyle name="Output 2 5 2 2 5" xfId="13233" xr:uid="{BF5BBE08-ED42-41A2-B8C3-4F68B594AFAF}"/>
    <cellStyle name="Output 2 5 2 3" xfId="1971" xr:uid="{00000000-0005-0000-0000-0000E1090000}"/>
    <cellStyle name="Output 2 5 2 3 2" xfId="5868" xr:uid="{00000000-0005-0000-0000-0000E2090000}"/>
    <cellStyle name="Output 2 5 2 3 3" xfId="9877" xr:uid="{A0E31C32-9C78-4064-9F83-9E9B62B17936}"/>
    <cellStyle name="Output 2 5 2 4" xfId="3377" xr:uid="{00000000-0005-0000-0000-0000E3090000}"/>
    <cellStyle name="Output 2 5 2 4 2" xfId="7271" xr:uid="{00000000-0005-0000-0000-0000E4090000}"/>
    <cellStyle name="Output 2 5 2 4 3" xfId="11280" xr:uid="{88F014B6-63E8-41E6-8179-D78F9D416D76}"/>
    <cellStyle name="Output 2 5 2 5" xfId="4555" xr:uid="{00000000-0005-0000-0000-0000E5090000}"/>
    <cellStyle name="Output 2 5 2 6" xfId="8564" xr:uid="{99753623-8785-4782-8718-E5AB2CB71551}"/>
    <cellStyle name="Output 2 5 2 7" xfId="12455" xr:uid="{5FA7D59C-C1AA-44CA-9E0A-E478E8C16A7D}"/>
    <cellStyle name="Output 2 5 3" xfId="1111" xr:uid="{00000000-0005-0000-0000-0000E6090000}"/>
    <cellStyle name="Output 2 5 3 2" xfId="1973" xr:uid="{00000000-0005-0000-0000-0000E7090000}"/>
    <cellStyle name="Output 2 5 3 2 2" xfId="5870" xr:uid="{00000000-0005-0000-0000-0000E8090000}"/>
    <cellStyle name="Output 2 5 3 2 3" xfId="9879" xr:uid="{91BE63C9-6F0C-4E58-9F47-FBBEB58DC9E1}"/>
    <cellStyle name="Output 2 5 3 3" xfId="5012" xr:uid="{00000000-0005-0000-0000-0000E9090000}"/>
    <cellStyle name="Output 2 5 3 4" xfId="9021" xr:uid="{19027EF3-FAA1-4F7E-89EE-0FDD59315A1D}"/>
    <cellStyle name="Output 2 5 3 5" xfId="12912" xr:uid="{DAA82BE0-41EF-4B59-9AB8-F9BB146DBD08}"/>
    <cellStyle name="Output 2 5 4" xfId="1970" xr:uid="{00000000-0005-0000-0000-0000EA090000}"/>
    <cellStyle name="Output 2 5 4 2" xfId="5867" xr:uid="{00000000-0005-0000-0000-0000EB090000}"/>
    <cellStyle name="Output 2 5 4 3" xfId="9876" xr:uid="{28BBB1B8-F0BA-429E-93D1-F84A665A3356}"/>
    <cellStyle name="Output 2 5 5" xfId="3056" xr:uid="{00000000-0005-0000-0000-0000EC090000}"/>
    <cellStyle name="Output 2 5 5 2" xfId="6950" xr:uid="{00000000-0005-0000-0000-0000ED090000}"/>
    <cellStyle name="Output 2 5 5 3" xfId="10959" xr:uid="{4123D9D5-178C-4072-AE1D-115EF0CACE56}"/>
    <cellStyle name="Output 2 5 6" xfId="4234" xr:uid="{00000000-0005-0000-0000-0000EE090000}"/>
    <cellStyle name="Output 2 5 7" xfId="8243" xr:uid="{44935EFC-C36F-41AB-9DC9-8FC9D2ECBA4E}"/>
    <cellStyle name="Output 2 5 8" xfId="12134" xr:uid="{8238ABCB-7DA5-4569-B1CF-E6545EC4EB10}"/>
    <cellStyle name="Output 2 6" xfId="483" xr:uid="{00000000-0005-0000-0000-0000EF090000}"/>
    <cellStyle name="Output 2 6 2" xfId="1267" xr:uid="{00000000-0005-0000-0000-0000F0090000}"/>
    <cellStyle name="Output 2 6 2 2" xfId="1975" xr:uid="{00000000-0005-0000-0000-0000F1090000}"/>
    <cellStyle name="Output 2 6 2 2 2" xfId="5872" xr:uid="{00000000-0005-0000-0000-0000F2090000}"/>
    <cellStyle name="Output 2 6 2 2 3" xfId="9881" xr:uid="{2D081A3B-8F4B-4528-8EBC-B2B00A716857}"/>
    <cellStyle name="Output 2 6 2 3" xfId="5168" xr:uid="{00000000-0005-0000-0000-0000F3090000}"/>
    <cellStyle name="Output 2 6 2 4" xfId="9177" xr:uid="{0B476475-E8BF-442D-822E-51109C615879}"/>
    <cellStyle name="Output 2 6 2 5" xfId="13068" xr:uid="{90A0947A-4052-4E75-8E23-B8072631AD89}"/>
    <cellStyle name="Output 2 6 3" xfId="1974" xr:uid="{00000000-0005-0000-0000-0000F4090000}"/>
    <cellStyle name="Output 2 6 3 2" xfId="5871" xr:uid="{00000000-0005-0000-0000-0000F5090000}"/>
    <cellStyle name="Output 2 6 3 3" xfId="9880" xr:uid="{5977A387-DE9B-4E90-98D7-0C9E0C817129}"/>
    <cellStyle name="Output 2 6 4" xfId="3212" xr:uid="{00000000-0005-0000-0000-0000F6090000}"/>
    <cellStyle name="Output 2 6 4 2" xfId="7106" xr:uid="{00000000-0005-0000-0000-0000F7090000}"/>
    <cellStyle name="Output 2 6 4 3" xfId="11115" xr:uid="{8FA69C6C-48F8-4B8F-97CE-706051DC329C}"/>
    <cellStyle name="Output 2 6 5" xfId="4390" xr:uid="{00000000-0005-0000-0000-0000F8090000}"/>
    <cellStyle name="Output 2 6 6" xfId="8399" xr:uid="{4C67FB9D-3D56-4DA6-9BCA-EF60754C3CA5}"/>
    <cellStyle name="Output 2 6 7" xfId="12290" xr:uid="{BB4E3FDA-F839-442B-918A-11E6B964FE03}"/>
    <cellStyle name="Output 2 7" xfId="946" xr:uid="{00000000-0005-0000-0000-0000F9090000}"/>
    <cellStyle name="Output 2 7 2" xfId="1976" xr:uid="{00000000-0005-0000-0000-0000FA090000}"/>
    <cellStyle name="Output 2 7 2 2" xfId="5873" xr:uid="{00000000-0005-0000-0000-0000FB090000}"/>
    <cellStyle name="Output 2 7 2 3" xfId="9882" xr:uid="{0E7D2A87-84AB-4A06-9889-78772889566F}"/>
    <cellStyle name="Output 2 7 3" xfId="4847" xr:uid="{00000000-0005-0000-0000-0000FC090000}"/>
    <cellStyle name="Output 2 7 4" xfId="8856" xr:uid="{2B6B34AA-1E43-4B02-B9F5-F28C542A112B}"/>
    <cellStyle name="Output 2 7 5" xfId="12747" xr:uid="{7521971C-6392-42E4-8F4E-F6C2D563795E}"/>
    <cellStyle name="Output 2 8" xfId="1937" xr:uid="{00000000-0005-0000-0000-0000FD090000}"/>
    <cellStyle name="Output 2 8 2" xfId="5834" xr:uid="{00000000-0005-0000-0000-0000FE090000}"/>
    <cellStyle name="Output 2 8 3" xfId="9843" xr:uid="{E99AD9CD-F699-4EA3-A556-813FF4101621}"/>
    <cellStyle name="Output 2 9" xfId="2891" xr:uid="{00000000-0005-0000-0000-0000FF090000}"/>
    <cellStyle name="Output 2 9 2" xfId="6785" xr:uid="{00000000-0005-0000-0000-0000000A0000}"/>
    <cellStyle name="Output 2 9 3" xfId="10794" xr:uid="{B3D420A1-753F-4DA0-8789-E60360D8DCA8}"/>
    <cellStyle name="Output 3" xfId="139" xr:uid="{00000000-0005-0000-0000-0000010A0000}"/>
    <cellStyle name="Output 3 10" xfId="4077" xr:uid="{00000000-0005-0000-0000-0000020A0000}"/>
    <cellStyle name="Output 3 11" xfId="8086" xr:uid="{0A5E44E7-5711-4C06-B878-DBA17C008090}"/>
    <cellStyle name="Output 3 12" xfId="11977" xr:uid="{E4E92AAD-838B-44B6-BF4D-C4782ACB3EBF}"/>
    <cellStyle name="Output 3 13" xfId="13413" xr:uid="{2B26EC22-E3D9-4F51-B49E-AB7C1069FA13}"/>
    <cellStyle name="Output 3 2" xfId="177" xr:uid="{00000000-0005-0000-0000-0000030A0000}"/>
    <cellStyle name="Output 3 2 10" xfId="8102" xr:uid="{C6D39CFA-2832-46B8-999E-319D3C7E3122}"/>
    <cellStyle name="Output 3 2 11" xfId="11993" xr:uid="{D154CE7F-010C-417C-95F2-FFF3EB0FA857}"/>
    <cellStyle name="Output 3 2 12" xfId="13429" xr:uid="{99B80DE8-904B-4AA7-A53D-861298B68D31}"/>
    <cellStyle name="Output 3 2 2" xfId="278" xr:uid="{00000000-0005-0000-0000-0000040A0000}"/>
    <cellStyle name="Output 3 2 2 10" xfId="13527" xr:uid="{01F68C81-B096-44E9-892B-0657665E0EDC}"/>
    <cellStyle name="Output 3 2 2 2" xfId="434" xr:uid="{00000000-0005-0000-0000-0000050A0000}"/>
    <cellStyle name="Output 3 2 2 2 2" xfId="764" xr:uid="{00000000-0005-0000-0000-0000060A0000}"/>
    <cellStyle name="Output 3 2 2 2 2 2" xfId="1545" xr:uid="{00000000-0005-0000-0000-0000070A0000}"/>
    <cellStyle name="Output 3 2 2 2 2 2 2" xfId="1982" xr:uid="{00000000-0005-0000-0000-0000080A0000}"/>
    <cellStyle name="Output 3 2 2 2 2 2 2 2" xfId="5879" xr:uid="{00000000-0005-0000-0000-0000090A0000}"/>
    <cellStyle name="Output 3 2 2 2 2 2 2 3" xfId="9888" xr:uid="{E2955A64-7B75-43D5-A1E1-E52CCF00BEEA}"/>
    <cellStyle name="Output 3 2 2 2 2 2 3" xfId="5446" xr:uid="{00000000-0005-0000-0000-00000A0A0000}"/>
    <cellStyle name="Output 3 2 2 2 2 2 4" xfId="9455" xr:uid="{2F58A52F-298E-447B-A95B-F4B0940B5535}"/>
    <cellStyle name="Output 3 2 2 2 2 2 5" xfId="13346" xr:uid="{5247C48B-F69D-4375-8242-9A8214A6E733}"/>
    <cellStyle name="Output 3 2 2 2 2 3" xfId="1981" xr:uid="{00000000-0005-0000-0000-00000B0A0000}"/>
    <cellStyle name="Output 3 2 2 2 2 3 2" xfId="5878" xr:uid="{00000000-0005-0000-0000-00000C0A0000}"/>
    <cellStyle name="Output 3 2 2 2 2 3 3" xfId="9887" xr:uid="{0FAE7866-C762-43BE-92F7-DF41AEDA98C2}"/>
    <cellStyle name="Output 3 2 2 2 2 4" xfId="3490" xr:uid="{00000000-0005-0000-0000-00000D0A0000}"/>
    <cellStyle name="Output 3 2 2 2 2 4 2" xfId="7384" xr:uid="{00000000-0005-0000-0000-00000E0A0000}"/>
    <cellStyle name="Output 3 2 2 2 2 4 3" xfId="11393" xr:uid="{0E018140-B885-4A90-B18E-40FE699EC901}"/>
    <cellStyle name="Output 3 2 2 2 2 5" xfId="4668" xr:uid="{00000000-0005-0000-0000-00000F0A0000}"/>
    <cellStyle name="Output 3 2 2 2 2 6" xfId="8677" xr:uid="{5215171B-EB9D-4979-8570-44E3BE34DC5F}"/>
    <cellStyle name="Output 3 2 2 2 2 7" xfId="12568" xr:uid="{4A1CCEC2-1652-436B-AF27-A4E8CCDCB14C}"/>
    <cellStyle name="Output 3 2 2 2 3" xfId="1224" xr:uid="{00000000-0005-0000-0000-0000100A0000}"/>
    <cellStyle name="Output 3 2 2 2 3 2" xfId="1983" xr:uid="{00000000-0005-0000-0000-0000110A0000}"/>
    <cellStyle name="Output 3 2 2 2 3 2 2" xfId="5880" xr:uid="{00000000-0005-0000-0000-0000120A0000}"/>
    <cellStyle name="Output 3 2 2 2 3 2 3" xfId="9889" xr:uid="{0F48BCF3-0C41-41E1-A18D-3E890FEA777A}"/>
    <cellStyle name="Output 3 2 2 2 3 3" xfId="5125" xr:uid="{00000000-0005-0000-0000-0000130A0000}"/>
    <cellStyle name="Output 3 2 2 2 3 4" xfId="9134" xr:uid="{B44FCADE-4F11-4536-BE2A-3D4C7192414A}"/>
    <cellStyle name="Output 3 2 2 2 3 5" xfId="13025" xr:uid="{767855CA-8B8B-4D4F-B619-31F7C72599DE}"/>
    <cellStyle name="Output 3 2 2 2 4" xfId="1980" xr:uid="{00000000-0005-0000-0000-0000140A0000}"/>
    <cellStyle name="Output 3 2 2 2 4 2" xfId="5877" xr:uid="{00000000-0005-0000-0000-0000150A0000}"/>
    <cellStyle name="Output 3 2 2 2 4 3" xfId="9886" xr:uid="{83B97C60-AE49-40D3-98DD-3580A5812BF5}"/>
    <cellStyle name="Output 3 2 2 2 5" xfId="3169" xr:uid="{00000000-0005-0000-0000-0000160A0000}"/>
    <cellStyle name="Output 3 2 2 2 5 2" xfId="7063" xr:uid="{00000000-0005-0000-0000-0000170A0000}"/>
    <cellStyle name="Output 3 2 2 2 5 3" xfId="11072" xr:uid="{18403905-4A7F-4D3C-907D-84C3705C4ACE}"/>
    <cellStyle name="Output 3 2 2 2 6" xfId="4347" xr:uid="{00000000-0005-0000-0000-0000180A0000}"/>
    <cellStyle name="Output 3 2 2 2 7" xfId="8356" xr:uid="{90702AD3-BB9C-413E-A748-1EFAC0EE2E9A}"/>
    <cellStyle name="Output 3 2 2 2 8" xfId="12247" xr:uid="{25D3721C-4552-4508-91A8-D45770FAAEBA}"/>
    <cellStyle name="Output 3 2 2 3" xfId="608" xr:uid="{00000000-0005-0000-0000-0000190A0000}"/>
    <cellStyle name="Output 3 2 2 3 2" xfId="1389" xr:uid="{00000000-0005-0000-0000-00001A0A0000}"/>
    <cellStyle name="Output 3 2 2 3 2 2" xfId="1985" xr:uid="{00000000-0005-0000-0000-00001B0A0000}"/>
    <cellStyle name="Output 3 2 2 3 2 2 2" xfId="5882" xr:uid="{00000000-0005-0000-0000-00001C0A0000}"/>
    <cellStyle name="Output 3 2 2 3 2 2 3" xfId="9891" xr:uid="{26FA9F97-442D-4290-8AD2-CE33E0E6899B}"/>
    <cellStyle name="Output 3 2 2 3 2 3" xfId="5290" xr:uid="{00000000-0005-0000-0000-00001D0A0000}"/>
    <cellStyle name="Output 3 2 2 3 2 4" xfId="9299" xr:uid="{F0AEC72C-C589-43EF-8A08-F56F1FC3AF64}"/>
    <cellStyle name="Output 3 2 2 3 2 5" xfId="13190" xr:uid="{1B0A9107-03D1-4F66-AB6F-787F062CA56C}"/>
    <cellStyle name="Output 3 2 2 3 3" xfId="1984" xr:uid="{00000000-0005-0000-0000-00001E0A0000}"/>
    <cellStyle name="Output 3 2 2 3 3 2" xfId="5881" xr:uid="{00000000-0005-0000-0000-00001F0A0000}"/>
    <cellStyle name="Output 3 2 2 3 3 3" xfId="9890" xr:uid="{ABFA0401-8D36-49BD-9DE7-10D2F88FBAC6}"/>
    <cellStyle name="Output 3 2 2 3 4" xfId="3334" xr:uid="{00000000-0005-0000-0000-0000200A0000}"/>
    <cellStyle name="Output 3 2 2 3 4 2" xfId="7228" xr:uid="{00000000-0005-0000-0000-0000210A0000}"/>
    <cellStyle name="Output 3 2 2 3 4 3" xfId="11237" xr:uid="{482F05E9-0660-47ED-9E87-C99131E95362}"/>
    <cellStyle name="Output 3 2 2 3 5" xfId="4512" xr:uid="{00000000-0005-0000-0000-0000220A0000}"/>
    <cellStyle name="Output 3 2 2 3 6" xfId="8521" xr:uid="{DB8E1A70-52BC-4B41-9C71-22EBE580F728}"/>
    <cellStyle name="Output 3 2 2 3 7" xfId="12412" xr:uid="{D23F7247-320D-4B7A-BF21-218EDB6B2481}"/>
    <cellStyle name="Output 3 2 2 4" xfId="1068" xr:uid="{00000000-0005-0000-0000-0000230A0000}"/>
    <cellStyle name="Output 3 2 2 4 2" xfId="1986" xr:uid="{00000000-0005-0000-0000-0000240A0000}"/>
    <cellStyle name="Output 3 2 2 4 2 2" xfId="5883" xr:uid="{00000000-0005-0000-0000-0000250A0000}"/>
    <cellStyle name="Output 3 2 2 4 2 3" xfId="9892" xr:uid="{BB4605EF-041A-4511-9CE3-ECC775EA241A}"/>
    <cellStyle name="Output 3 2 2 4 3" xfId="4969" xr:uid="{00000000-0005-0000-0000-0000260A0000}"/>
    <cellStyle name="Output 3 2 2 4 4" xfId="8978" xr:uid="{E6829008-B83E-490E-A801-9A604541154D}"/>
    <cellStyle name="Output 3 2 2 4 5" xfId="12869" xr:uid="{F8B7261C-FA5D-483B-916B-D5BBA3EAAC8F}"/>
    <cellStyle name="Output 3 2 2 5" xfId="1979" xr:uid="{00000000-0005-0000-0000-0000270A0000}"/>
    <cellStyle name="Output 3 2 2 5 2" xfId="5876" xr:uid="{00000000-0005-0000-0000-0000280A0000}"/>
    <cellStyle name="Output 3 2 2 5 3" xfId="9885" xr:uid="{08CA5541-B443-492C-B33D-7DC6B5929E32}"/>
    <cellStyle name="Output 3 2 2 6" xfId="3013" xr:uid="{00000000-0005-0000-0000-0000290A0000}"/>
    <cellStyle name="Output 3 2 2 6 2" xfId="6907" xr:uid="{00000000-0005-0000-0000-00002A0A0000}"/>
    <cellStyle name="Output 3 2 2 6 3" xfId="10916" xr:uid="{F6CEAC06-689F-4349-9FA9-16F99494F240}"/>
    <cellStyle name="Output 3 2 2 7" xfId="4191" xr:uid="{00000000-0005-0000-0000-00002B0A0000}"/>
    <cellStyle name="Output 3 2 2 8" xfId="8200" xr:uid="{31B7D47C-2856-4F0C-87F0-13F988777FB3}"/>
    <cellStyle name="Output 3 2 2 9" xfId="12091" xr:uid="{036C1428-4FC8-4B03-8172-218C9A783410}"/>
    <cellStyle name="Output 3 2 3" xfId="228" xr:uid="{00000000-0005-0000-0000-00002C0A0000}"/>
    <cellStyle name="Output 3 2 3 2" xfId="558" xr:uid="{00000000-0005-0000-0000-00002D0A0000}"/>
    <cellStyle name="Output 3 2 3 2 2" xfId="1339" xr:uid="{00000000-0005-0000-0000-00002E0A0000}"/>
    <cellStyle name="Output 3 2 3 2 2 2" xfId="1989" xr:uid="{00000000-0005-0000-0000-00002F0A0000}"/>
    <cellStyle name="Output 3 2 3 2 2 2 2" xfId="5886" xr:uid="{00000000-0005-0000-0000-0000300A0000}"/>
    <cellStyle name="Output 3 2 3 2 2 2 3" xfId="9895" xr:uid="{42F3DA78-A5CE-4B23-A2F6-7168B7B32FAA}"/>
    <cellStyle name="Output 3 2 3 2 2 3" xfId="5240" xr:uid="{00000000-0005-0000-0000-0000310A0000}"/>
    <cellStyle name="Output 3 2 3 2 2 4" xfId="9249" xr:uid="{5E0C65CF-E9F4-4DDE-B0ED-ED2B13B41309}"/>
    <cellStyle name="Output 3 2 3 2 2 5" xfId="13140" xr:uid="{2430F046-8725-4F78-8915-0EBB07D62644}"/>
    <cellStyle name="Output 3 2 3 2 3" xfId="1988" xr:uid="{00000000-0005-0000-0000-0000320A0000}"/>
    <cellStyle name="Output 3 2 3 2 3 2" xfId="5885" xr:uid="{00000000-0005-0000-0000-0000330A0000}"/>
    <cellStyle name="Output 3 2 3 2 3 3" xfId="9894" xr:uid="{D314DE84-8406-4A88-92D3-AE54E5502D4D}"/>
    <cellStyle name="Output 3 2 3 2 4" xfId="3284" xr:uid="{00000000-0005-0000-0000-0000340A0000}"/>
    <cellStyle name="Output 3 2 3 2 4 2" xfId="7178" xr:uid="{00000000-0005-0000-0000-0000350A0000}"/>
    <cellStyle name="Output 3 2 3 2 4 3" xfId="11187" xr:uid="{3847957A-893A-454A-A593-842B8FA34251}"/>
    <cellStyle name="Output 3 2 3 2 5" xfId="4462" xr:uid="{00000000-0005-0000-0000-0000360A0000}"/>
    <cellStyle name="Output 3 2 3 2 6" xfId="8471" xr:uid="{3AF922EA-B808-43EF-94DE-D76690FA7C63}"/>
    <cellStyle name="Output 3 2 3 2 7" xfId="12362" xr:uid="{07DFFE29-555F-4072-8C66-8C3D5684639F}"/>
    <cellStyle name="Output 3 2 3 3" xfId="1018" xr:uid="{00000000-0005-0000-0000-0000370A0000}"/>
    <cellStyle name="Output 3 2 3 3 2" xfId="1990" xr:uid="{00000000-0005-0000-0000-0000380A0000}"/>
    <cellStyle name="Output 3 2 3 3 2 2" xfId="5887" xr:uid="{00000000-0005-0000-0000-0000390A0000}"/>
    <cellStyle name="Output 3 2 3 3 2 3" xfId="9896" xr:uid="{C8152426-C5D4-43FE-B6CE-3EDF0F50EEFC}"/>
    <cellStyle name="Output 3 2 3 3 3" xfId="4919" xr:uid="{00000000-0005-0000-0000-00003A0A0000}"/>
    <cellStyle name="Output 3 2 3 3 4" xfId="8928" xr:uid="{D2D7C191-4A7F-45B1-812E-88BC8A4CAD0C}"/>
    <cellStyle name="Output 3 2 3 3 5" xfId="12819" xr:uid="{CEAFD534-3921-434A-8EF3-D3FFF7E9F658}"/>
    <cellStyle name="Output 3 2 3 4" xfId="1987" xr:uid="{00000000-0005-0000-0000-00003B0A0000}"/>
    <cellStyle name="Output 3 2 3 4 2" xfId="5884" xr:uid="{00000000-0005-0000-0000-00003C0A0000}"/>
    <cellStyle name="Output 3 2 3 4 3" xfId="9893" xr:uid="{6EAFCE52-843F-4D6A-8FC8-BD53CB681E40}"/>
    <cellStyle name="Output 3 2 3 5" xfId="2963" xr:uid="{00000000-0005-0000-0000-00003D0A0000}"/>
    <cellStyle name="Output 3 2 3 5 2" xfId="6857" xr:uid="{00000000-0005-0000-0000-00003E0A0000}"/>
    <cellStyle name="Output 3 2 3 5 3" xfId="10866" xr:uid="{F9EF7720-77FC-40E8-9963-7552C1EBC9D4}"/>
    <cellStyle name="Output 3 2 3 6" xfId="4141" xr:uid="{00000000-0005-0000-0000-00003F0A0000}"/>
    <cellStyle name="Output 3 2 3 7" xfId="8150" xr:uid="{5537C4A2-2430-4621-9372-C12032C582D4}"/>
    <cellStyle name="Output 3 2 3 8" xfId="12041" xr:uid="{4CA8A6F1-9199-4DF5-A38D-B3A344E8FE9F}"/>
    <cellStyle name="Output 3 2 3 9" xfId="13477" xr:uid="{8D59ECBB-4FCA-418B-BB37-5FE2DEF1981D}"/>
    <cellStyle name="Output 3 2 4" xfId="345" xr:uid="{00000000-0005-0000-0000-0000400A0000}"/>
    <cellStyle name="Output 3 2 4 2" xfId="675" xr:uid="{00000000-0005-0000-0000-0000410A0000}"/>
    <cellStyle name="Output 3 2 4 2 2" xfId="1456" xr:uid="{00000000-0005-0000-0000-0000420A0000}"/>
    <cellStyle name="Output 3 2 4 2 2 2" xfId="1993" xr:uid="{00000000-0005-0000-0000-0000430A0000}"/>
    <cellStyle name="Output 3 2 4 2 2 2 2" xfId="5890" xr:uid="{00000000-0005-0000-0000-0000440A0000}"/>
    <cellStyle name="Output 3 2 4 2 2 2 3" xfId="9899" xr:uid="{CA767226-031B-403F-A20B-68E38C136412}"/>
    <cellStyle name="Output 3 2 4 2 2 3" xfId="5357" xr:uid="{00000000-0005-0000-0000-0000450A0000}"/>
    <cellStyle name="Output 3 2 4 2 2 4" xfId="9366" xr:uid="{B5A0AF16-5028-4AD9-A0C4-85B75A531E25}"/>
    <cellStyle name="Output 3 2 4 2 2 5" xfId="13257" xr:uid="{14591F70-0086-4C58-BB61-20E29A023236}"/>
    <cellStyle name="Output 3 2 4 2 3" xfId="1992" xr:uid="{00000000-0005-0000-0000-0000460A0000}"/>
    <cellStyle name="Output 3 2 4 2 3 2" xfId="5889" xr:uid="{00000000-0005-0000-0000-0000470A0000}"/>
    <cellStyle name="Output 3 2 4 2 3 3" xfId="9898" xr:uid="{9DF5F1FE-16F3-4215-A183-E00FFF21F27B}"/>
    <cellStyle name="Output 3 2 4 2 4" xfId="3401" xr:uid="{00000000-0005-0000-0000-0000480A0000}"/>
    <cellStyle name="Output 3 2 4 2 4 2" xfId="7295" xr:uid="{00000000-0005-0000-0000-0000490A0000}"/>
    <cellStyle name="Output 3 2 4 2 4 3" xfId="11304" xr:uid="{59F0280D-961B-4CA1-8D85-D834D0DA299B}"/>
    <cellStyle name="Output 3 2 4 2 5" xfId="4579" xr:uid="{00000000-0005-0000-0000-00004A0A0000}"/>
    <cellStyle name="Output 3 2 4 2 6" xfId="8588" xr:uid="{7B14352F-4E31-4925-9DAE-E535CD8E96B6}"/>
    <cellStyle name="Output 3 2 4 2 7" xfId="12479" xr:uid="{82A9E063-C946-41A5-B8B2-1C08694C2BFB}"/>
    <cellStyle name="Output 3 2 4 3" xfId="1135" xr:uid="{00000000-0005-0000-0000-00004B0A0000}"/>
    <cellStyle name="Output 3 2 4 3 2" xfId="1994" xr:uid="{00000000-0005-0000-0000-00004C0A0000}"/>
    <cellStyle name="Output 3 2 4 3 2 2" xfId="5891" xr:uid="{00000000-0005-0000-0000-00004D0A0000}"/>
    <cellStyle name="Output 3 2 4 3 2 3" xfId="9900" xr:uid="{CC990589-4DF1-484B-BDF8-C26505C74009}"/>
    <cellStyle name="Output 3 2 4 3 3" xfId="5036" xr:uid="{00000000-0005-0000-0000-00004E0A0000}"/>
    <cellStyle name="Output 3 2 4 3 4" xfId="9045" xr:uid="{BE147A98-00EE-4BBA-AD94-4DEF19F1549B}"/>
    <cellStyle name="Output 3 2 4 3 5" xfId="12936" xr:uid="{B3CFBD67-5687-4F49-B631-8AA3132B4837}"/>
    <cellStyle name="Output 3 2 4 4" xfId="1991" xr:uid="{00000000-0005-0000-0000-00004F0A0000}"/>
    <cellStyle name="Output 3 2 4 4 2" xfId="5888" xr:uid="{00000000-0005-0000-0000-0000500A0000}"/>
    <cellStyle name="Output 3 2 4 4 3" xfId="9897" xr:uid="{A940118B-88D3-44CF-A490-B4886514F427}"/>
    <cellStyle name="Output 3 2 4 5" xfId="3080" xr:uid="{00000000-0005-0000-0000-0000510A0000}"/>
    <cellStyle name="Output 3 2 4 5 2" xfId="6974" xr:uid="{00000000-0005-0000-0000-0000520A0000}"/>
    <cellStyle name="Output 3 2 4 5 3" xfId="10983" xr:uid="{F73611B3-609C-453D-A7AF-51812C0B763D}"/>
    <cellStyle name="Output 3 2 4 6" xfId="4258" xr:uid="{00000000-0005-0000-0000-0000530A0000}"/>
    <cellStyle name="Output 3 2 4 7" xfId="8267" xr:uid="{68650EBB-95C5-4471-8930-065E42706F45}"/>
    <cellStyle name="Output 3 2 4 8" xfId="12158" xr:uid="{BFBC646E-6139-4A59-8BA3-DBFA25B1EB23}"/>
    <cellStyle name="Output 3 2 5" xfId="510" xr:uid="{00000000-0005-0000-0000-0000540A0000}"/>
    <cellStyle name="Output 3 2 5 2" xfId="1291" xr:uid="{00000000-0005-0000-0000-0000550A0000}"/>
    <cellStyle name="Output 3 2 5 2 2" xfId="1996" xr:uid="{00000000-0005-0000-0000-0000560A0000}"/>
    <cellStyle name="Output 3 2 5 2 2 2" xfId="5893" xr:uid="{00000000-0005-0000-0000-0000570A0000}"/>
    <cellStyle name="Output 3 2 5 2 2 3" xfId="9902" xr:uid="{160AF71C-C5C9-44ED-AF8F-04A9EC46B306}"/>
    <cellStyle name="Output 3 2 5 2 3" xfId="5192" xr:uid="{00000000-0005-0000-0000-0000580A0000}"/>
    <cellStyle name="Output 3 2 5 2 4" xfId="9201" xr:uid="{5AC9E36F-F94C-40E4-89FD-4DB3DD32A05E}"/>
    <cellStyle name="Output 3 2 5 2 5" xfId="13092" xr:uid="{3C0F3968-14F4-4908-AD13-59CC68CFBE89}"/>
    <cellStyle name="Output 3 2 5 3" xfId="1995" xr:uid="{00000000-0005-0000-0000-0000590A0000}"/>
    <cellStyle name="Output 3 2 5 3 2" xfId="5892" xr:uid="{00000000-0005-0000-0000-00005A0A0000}"/>
    <cellStyle name="Output 3 2 5 3 3" xfId="9901" xr:uid="{8F4BA5EF-0118-4C52-8968-43FAE1AECF64}"/>
    <cellStyle name="Output 3 2 5 4" xfId="3236" xr:uid="{00000000-0005-0000-0000-00005B0A0000}"/>
    <cellStyle name="Output 3 2 5 4 2" xfId="7130" xr:uid="{00000000-0005-0000-0000-00005C0A0000}"/>
    <cellStyle name="Output 3 2 5 4 3" xfId="11139" xr:uid="{5DF94598-4196-47A8-ADF6-81BA6EC52686}"/>
    <cellStyle name="Output 3 2 5 5" xfId="4414" xr:uid="{00000000-0005-0000-0000-00005D0A0000}"/>
    <cellStyle name="Output 3 2 5 6" xfId="8423" xr:uid="{44F93236-66C5-42E7-9B76-F2BDE516FAC1}"/>
    <cellStyle name="Output 3 2 5 7" xfId="12314" xr:uid="{A6788B45-8C4C-4806-96FE-869EA97AFCE3}"/>
    <cellStyle name="Output 3 2 6" xfId="970" xr:uid="{00000000-0005-0000-0000-00005E0A0000}"/>
    <cellStyle name="Output 3 2 6 2" xfId="1997" xr:uid="{00000000-0005-0000-0000-00005F0A0000}"/>
    <cellStyle name="Output 3 2 6 2 2" xfId="5894" xr:uid="{00000000-0005-0000-0000-0000600A0000}"/>
    <cellStyle name="Output 3 2 6 2 3" xfId="9903" xr:uid="{068A9B36-C9FD-405E-9488-15C185EEC7F6}"/>
    <cellStyle name="Output 3 2 6 3" xfId="4871" xr:uid="{00000000-0005-0000-0000-0000610A0000}"/>
    <cellStyle name="Output 3 2 6 4" xfId="8880" xr:uid="{3786C7F6-0DFE-4C1F-BE83-C6CF72341C24}"/>
    <cellStyle name="Output 3 2 6 5" xfId="12771" xr:uid="{E26D12DE-1B6C-4B75-AD23-0AC48883E032}"/>
    <cellStyle name="Output 3 2 7" xfId="1978" xr:uid="{00000000-0005-0000-0000-0000620A0000}"/>
    <cellStyle name="Output 3 2 7 2" xfId="5875" xr:uid="{00000000-0005-0000-0000-0000630A0000}"/>
    <cellStyle name="Output 3 2 7 3" xfId="9884" xr:uid="{8D5FFFE6-B79F-43DD-9C84-68D56DCBEDFE}"/>
    <cellStyle name="Output 3 2 8" xfId="2915" xr:uid="{00000000-0005-0000-0000-0000640A0000}"/>
    <cellStyle name="Output 3 2 8 2" xfId="6809" xr:uid="{00000000-0005-0000-0000-0000650A0000}"/>
    <cellStyle name="Output 3 2 8 3" xfId="10818" xr:uid="{81D6EF05-CFB1-46C4-A4ED-005C4ABE2917}"/>
    <cellStyle name="Output 3 2 9" xfId="4093" xr:uid="{00000000-0005-0000-0000-0000660A0000}"/>
    <cellStyle name="Output 3 3" xfId="255" xr:uid="{00000000-0005-0000-0000-0000670A0000}"/>
    <cellStyle name="Output 3 3 10" xfId="13504" xr:uid="{833DA4CE-D2D4-418C-8B78-000D3BE1A8BB}"/>
    <cellStyle name="Output 3 3 2" xfId="412" xr:uid="{00000000-0005-0000-0000-0000680A0000}"/>
    <cellStyle name="Output 3 3 2 2" xfId="742" xr:uid="{00000000-0005-0000-0000-0000690A0000}"/>
    <cellStyle name="Output 3 3 2 2 2" xfId="1523" xr:uid="{00000000-0005-0000-0000-00006A0A0000}"/>
    <cellStyle name="Output 3 3 2 2 2 2" xfId="2001" xr:uid="{00000000-0005-0000-0000-00006B0A0000}"/>
    <cellStyle name="Output 3 3 2 2 2 2 2" xfId="5898" xr:uid="{00000000-0005-0000-0000-00006C0A0000}"/>
    <cellStyle name="Output 3 3 2 2 2 2 3" xfId="9907" xr:uid="{EE67F30C-4600-45DA-97F7-1D7368F8436E}"/>
    <cellStyle name="Output 3 3 2 2 2 3" xfId="5424" xr:uid="{00000000-0005-0000-0000-00006D0A0000}"/>
    <cellStyle name="Output 3 3 2 2 2 4" xfId="9433" xr:uid="{D3C23F6E-6CBA-4201-B946-49DBF6A5805A}"/>
    <cellStyle name="Output 3 3 2 2 2 5" xfId="13324" xr:uid="{0F9056C1-97DF-404A-9000-E924FAF93E51}"/>
    <cellStyle name="Output 3 3 2 2 3" xfId="2000" xr:uid="{00000000-0005-0000-0000-00006E0A0000}"/>
    <cellStyle name="Output 3 3 2 2 3 2" xfId="5897" xr:uid="{00000000-0005-0000-0000-00006F0A0000}"/>
    <cellStyle name="Output 3 3 2 2 3 3" xfId="9906" xr:uid="{08FD5D2A-5ACA-4514-AFA1-174C5AE1AF64}"/>
    <cellStyle name="Output 3 3 2 2 4" xfId="3468" xr:uid="{00000000-0005-0000-0000-0000700A0000}"/>
    <cellStyle name="Output 3 3 2 2 4 2" xfId="7362" xr:uid="{00000000-0005-0000-0000-0000710A0000}"/>
    <cellStyle name="Output 3 3 2 2 4 3" xfId="11371" xr:uid="{4124B5D9-7E42-45EF-A17F-A00CF6937E2D}"/>
    <cellStyle name="Output 3 3 2 2 5" xfId="4646" xr:uid="{00000000-0005-0000-0000-0000720A0000}"/>
    <cellStyle name="Output 3 3 2 2 6" xfId="8655" xr:uid="{FF515BDB-2B9C-4CAF-A277-53C47C64BC5F}"/>
    <cellStyle name="Output 3 3 2 2 7" xfId="12546" xr:uid="{14EE6A4D-38A6-4335-BFBF-DD3529106539}"/>
    <cellStyle name="Output 3 3 2 3" xfId="1202" xr:uid="{00000000-0005-0000-0000-0000730A0000}"/>
    <cellStyle name="Output 3 3 2 3 2" xfId="2002" xr:uid="{00000000-0005-0000-0000-0000740A0000}"/>
    <cellStyle name="Output 3 3 2 3 2 2" xfId="5899" xr:uid="{00000000-0005-0000-0000-0000750A0000}"/>
    <cellStyle name="Output 3 3 2 3 2 3" xfId="9908" xr:uid="{69B7C797-11E3-46B6-A783-AC678A592981}"/>
    <cellStyle name="Output 3 3 2 3 3" xfId="5103" xr:uid="{00000000-0005-0000-0000-0000760A0000}"/>
    <cellStyle name="Output 3 3 2 3 4" xfId="9112" xr:uid="{2AC31572-78E4-4B56-8B76-8D1BE009A891}"/>
    <cellStyle name="Output 3 3 2 3 5" xfId="13003" xr:uid="{9912BA26-B66E-4280-9A3F-FD2099DCFB4C}"/>
    <cellStyle name="Output 3 3 2 4" xfId="1999" xr:uid="{00000000-0005-0000-0000-0000770A0000}"/>
    <cellStyle name="Output 3 3 2 4 2" xfId="5896" xr:uid="{00000000-0005-0000-0000-0000780A0000}"/>
    <cellStyle name="Output 3 3 2 4 3" xfId="9905" xr:uid="{B2C2EAE1-06AF-4237-B129-A7B6777862A2}"/>
    <cellStyle name="Output 3 3 2 5" xfId="3147" xr:uid="{00000000-0005-0000-0000-0000790A0000}"/>
    <cellStyle name="Output 3 3 2 5 2" xfId="7041" xr:uid="{00000000-0005-0000-0000-00007A0A0000}"/>
    <cellStyle name="Output 3 3 2 5 3" xfId="11050" xr:uid="{67229896-4BC9-41E0-B5A1-AB85791DEDFE}"/>
    <cellStyle name="Output 3 3 2 6" xfId="4325" xr:uid="{00000000-0005-0000-0000-00007B0A0000}"/>
    <cellStyle name="Output 3 3 2 7" xfId="8334" xr:uid="{CA6F2BB6-50CF-4DAB-9C22-419299A91A3A}"/>
    <cellStyle name="Output 3 3 2 8" xfId="12225" xr:uid="{F20150A5-FD56-438F-9906-E3D0D67AD830}"/>
    <cellStyle name="Output 3 3 3" xfId="585" xr:uid="{00000000-0005-0000-0000-00007C0A0000}"/>
    <cellStyle name="Output 3 3 3 2" xfId="1366" xr:uid="{00000000-0005-0000-0000-00007D0A0000}"/>
    <cellStyle name="Output 3 3 3 2 2" xfId="2004" xr:uid="{00000000-0005-0000-0000-00007E0A0000}"/>
    <cellStyle name="Output 3 3 3 2 2 2" xfId="5901" xr:uid="{00000000-0005-0000-0000-00007F0A0000}"/>
    <cellStyle name="Output 3 3 3 2 2 3" xfId="9910" xr:uid="{6210F01B-A954-4EAD-A1C7-0A44F8B6F8E3}"/>
    <cellStyle name="Output 3 3 3 2 3" xfId="5267" xr:uid="{00000000-0005-0000-0000-0000800A0000}"/>
    <cellStyle name="Output 3 3 3 2 4" xfId="9276" xr:uid="{16E41F30-4CB0-4276-937C-8A7467391C1D}"/>
    <cellStyle name="Output 3 3 3 2 5" xfId="13167" xr:uid="{4799B5FF-B2B4-4A2B-8F10-4EA03FB06152}"/>
    <cellStyle name="Output 3 3 3 3" xfId="2003" xr:uid="{00000000-0005-0000-0000-0000810A0000}"/>
    <cellStyle name="Output 3 3 3 3 2" xfId="5900" xr:uid="{00000000-0005-0000-0000-0000820A0000}"/>
    <cellStyle name="Output 3 3 3 3 3" xfId="9909" xr:uid="{92ED3940-5639-424E-A493-E1FC8DE2DF13}"/>
    <cellStyle name="Output 3 3 3 4" xfId="3311" xr:uid="{00000000-0005-0000-0000-0000830A0000}"/>
    <cellStyle name="Output 3 3 3 4 2" xfId="7205" xr:uid="{00000000-0005-0000-0000-0000840A0000}"/>
    <cellStyle name="Output 3 3 3 4 3" xfId="11214" xr:uid="{8C6C9540-8258-450C-A9F4-26A1FB1EF7A1}"/>
    <cellStyle name="Output 3 3 3 5" xfId="4489" xr:uid="{00000000-0005-0000-0000-0000850A0000}"/>
    <cellStyle name="Output 3 3 3 6" xfId="8498" xr:uid="{869F71FC-82FB-490F-A722-778BE2E489B9}"/>
    <cellStyle name="Output 3 3 3 7" xfId="12389" xr:uid="{29F06104-990A-4C67-A9CE-096D258693CD}"/>
    <cellStyle name="Output 3 3 4" xfId="1045" xr:uid="{00000000-0005-0000-0000-0000860A0000}"/>
    <cellStyle name="Output 3 3 4 2" xfId="2005" xr:uid="{00000000-0005-0000-0000-0000870A0000}"/>
    <cellStyle name="Output 3 3 4 2 2" xfId="5902" xr:uid="{00000000-0005-0000-0000-0000880A0000}"/>
    <cellStyle name="Output 3 3 4 2 3" xfId="9911" xr:uid="{F4087BB4-7490-4F92-8413-82C496BB4772}"/>
    <cellStyle name="Output 3 3 4 3" xfId="4946" xr:uid="{00000000-0005-0000-0000-0000890A0000}"/>
    <cellStyle name="Output 3 3 4 4" xfId="8955" xr:uid="{31A8896D-42F8-4950-92DF-AF229F039687}"/>
    <cellStyle name="Output 3 3 4 5" xfId="12846" xr:uid="{9E000EAB-B708-418E-8A6E-E4E33ADB8140}"/>
    <cellStyle name="Output 3 3 5" xfId="1998" xr:uid="{00000000-0005-0000-0000-00008A0A0000}"/>
    <cellStyle name="Output 3 3 5 2" xfId="5895" xr:uid="{00000000-0005-0000-0000-00008B0A0000}"/>
    <cellStyle name="Output 3 3 5 3" xfId="9904" xr:uid="{CEC86B5C-B118-4D87-ACE7-6A8A1335C215}"/>
    <cellStyle name="Output 3 3 6" xfId="2990" xr:uid="{00000000-0005-0000-0000-00008C0A0000}"/>
    <cellStyle name="Output 3 3 6 2" xfId="6884" xr:uid="{00000000-0005-0000-0000-00008D0A0000}"/>
    <cellStyle name="Output 3 3 6 3" xfId="10893" xr:uid="{4574232C-8D12-4784-A36D-4B633A91B42F}"/>
    <cellStyle name="Output 3 3 7" xfId="4168" xr:uid="{00000000-0005-0000-0000-00008E0A0000}"/>
    <cellStyle name="Output 3 3 8" xfId="8177" xr:uid="{52EDAE73-5F98-4872-8EE9-8D3EEC963797}"/>
    <cellStyle name="Output 3 3 9" xfId="12068" xr:uid="{0605A8E5-89FC-4B49-99E0-3A964BF19BA3}"/>
    <cellStyle name="Output 3 4" xfId="220" xr:uid="{00000000-0005-0000-0000-00008F0A0000}"/>
    <cellStyle name="Output 3 4 2" xfId="550" xr:uid="{00000000-0005-0000-0000-0000900A0000}"/>
    <cellStyle name="Output 3 4 2 2" xfId="1331" xr:uid="{00000000-0005-0000-0000-0000910A0000}"/>
    <cellStyle name="Output 3 4 2 2 2" xfId="2008" xr:uid="{00000000-0005-0000-0000-0000920A0000}"/>
    <cellStyle name="Output 3 4 2 2 2 2" xfId="5905" xr:uid="{00000000-0005-0000-0000-0000930A0000}"/>
    <cellStyle name="Output 3 4 2 2 2 3" xfId="9914" xr:uid="{5EA88DA8-84C4-4EC3-BBCC-7428B8CCBD3A}"/>
    <cellStyle name="Output 3 4 2 2 3" xfId="5232" xr:uid="{00000000-0005-0000-0000-0000940A0000}"/>
    <cellStyle name="Output 3 4 2 2 4" xfId="9241" xr:uid="{E9CB166F-5D15-47E9-AE95-00A718E1382A}"/>
    <cellStyle name="Output 3 4 2 2 5" xfId="13132" xr:uid="{421F1D11-BF71-4DFE-A19D-90730C1A8343}"/>
    <cellStyle name="Output 3 4 2 3" xfId="2007" xr:uid="{00000000-0005-0000-0000-0000950A0000}"/>
    <cellStyle name="Output 3 4 2 3 2" xfId="5904" xr:uid="{00000000-0005-0000-0000-0000960A0000}"/>
    <cellStyle name="Output 3 4 2 3 3" xfId="9913" xr:uid="{1F0E1FE7-F93B-4ECB-9638-0577ED7B8380}"/>
    <cellStyle name="Output 3 4 2 4" xfId="3276" xr:uid="{00000000-0005-0000-0000-0000970A0000}"/>
    <cellStyle name="Output 3 4 2 4 2" xfId="7170" xr:uid="{00000000-0005-0000-0000-0000980A0000}"/>
    <cellStyle name="Output 3 4 2 4 3" xfId="11179" xr:uid="{7882619C-015D-44F9-8604-1D112E5CC664}"/>
    <cellStyle name="Output 3 4 2 5" xfId="4454" xr:uid="{00000000-0005-0000-0000-0000990A0000}"/>
    <cellStyle name="Output 3 4 2 6" xfId="8463" xr:uid="{0EED0844-0C3C-4193-8C48-081BD267CF22}"/>
    <cellStyle name="Output 3 4 2 7" xfId="12354" xr:uid="{89310C0D-9FC5-4D5A-9078-780F6293B83D}"/>
    <cellStyle name="Output 3 4 3" xfId="1010" xr:uid="{00000000-0005-0000-0000-00009A0A0000}"/>
    <cellStyle name="Output 3 4 3 2" xfId="2009" xr:uid="{00000000-0005-0000-0000-00009B0A0000}"/>
    <cellStyle name="Output 3 4 3 2 2" xfId="5906" xr:uid="{00000000-0005-0000-0000-00009C0A0000}"/>
    <cellStyle name="Output 3 4 3 2 3" xfId="9915" xr:uid="{82B56551-8D48-44D8-9BE7-709270746EBB}"/>
    <cellStyle name="Output 3 4 3 3" xfId="4911" xr:uid="{00000000-0005-0000-0000-00009D0A0000}"/>
    <cellStyle name="Output 3 4 3 4" xfId="8920" xr:uid="{248C8477-04B8-458C-A703-552EB3D996B1}"/>
    <cellStyle name="Output 3 4 3 5" xfId="12811" xr:uid="{08CDCF11-21C7-4B6E-A77E-8AD138FFBEF6}"/>
    <cellStyle name="Output 3 4 4" xfId="2006" xr:uid="{00000000-0005-0000-0000-00009E0A0000}"/>
    <cellStyle name="Output 3 4 4 2" xfId="5903" xr:uid="{00000000-0005-0000-0000-00009F0A0000}"/>
    <cellStyle name="Output 3 4 4 3" xfId="9912" xr:uid="{615E3886-BB09-4865-BD91-56A03724E36E}"/>
    <cellStyle name="Output 3 4 5" xfId="2955" xr:uid="{00000000-0005-0000-0000-0000A00A0000}"/>
    <cellStyle name="Output 3 4 5 2" xfId="6849" xr:uid="{00000000-0005-0000-0000-0000A10A0000}"/>
    <cellStyle name="Output 3 4 5 3" xfId="10858" xr:uid="{699DBAF3-7C78-49F9-B7E3-0E28610120C9}"/>
    <cellStyle name="Output 3 4 6" xfId="4133" xr:uid="{00000000-0005-0000-0000-0000A20A0000}"/>
    <cellStyle name="Output 3 4 7" xfId="8142" xr:uid="{B8CC6976-5E25-4F56-9777-03F3C74D7A09}"/>
    <cellStyle name="Output 3 4 8" xfId="12033" xr:uid="{27A7ED1D-3AD7-4867-A689-47AB602C38F5}"/>
    <cellStyle name="Output 3 4 9" xfId="13469" xr:uid="{FEDEAA2C-8F3A-4051-968A-61928F5EAF9A}"/>
    <cellStyle name="Output 3 5" xfId="329" xr:uid="{00000000-0005-0000-0000-0000A30A0000}"/>
    <cellStyle name="Output 3 5 2" xfId="659" xr:uid="{00000000-0005-0000-0000-0000A40A0000}"/>
    <cellStyle name="Output 3 5 2 2" xfId="1440" xr:uid="{00000000-0005-0000-0000-0000A50A0000}"/>
    <cellStyle name="Output 3 5 2 2 2" xfId="2012" xr:uid="{00000000-0005-0000-0000-0000A60A0000}"/>
    <cellStyle name="Output 3 5 2 2 2 2" xfId="5909" xr:uid="{00000000-0005-0000-0000-0000A70A0000}"/>
    <cellStyle name="Output 3 5 2 2 2 3" xfId="9918" xr:uid="{26D94B18-A15D-4F68-8BC1-ED42F40ADD64}"/>
    <cellStyle name="Output 3 5 2 2 3" xfId="5341" xr:uid="{00000000-0005-0000-0000-0000A80A0000}"/>
    <cellStyle name="Output 3 5 2 2 4" xfId="9350" xr:uid="{1B925B3B-9C9E-4D2F-B1AC-98248A972817}"/>
    <cellStyle name="Output 3 5 2 2 5" xfId="13241" xr:uid="{C6D625D9-5B25-463F-A3FB-85F69BAE72A7}"/>
    <cellStyle name="Output 3 5 2 3" xfId="2011" xr:uid="{00000000-0005-0000-0000-0000A90A0000}"/>
    <cellStyle name="Output 3 5 2 3 2" xfId="5908" xr:uid="{00000000-0005-0000-0000-0000AA0A0000}"/>
    <cellStyle name="Output 3 5 2 3 3" xfId="9917" xr:uid="{7B53B0B0-8354-4A31-BAE9-9CCA37B47DF3}"/>
    <cellStyle name="Output 3 5 2 4" xfId="3385" xr:uid="{00000000-0005-0000-0000-0000AB0A0000}"/>
    <cellStyle name="Output 3 5 2 4 2" xfId="7279" xr:uid="{00000000-0005-0000-0000-0000AC0A0000}"/>
    <cellStyle name="Output 3 5 2 4 3" xfId="11288" xr:uid="{B58C9381-2BF7-403A-B24E-5BD4E648BAE9}"/>
    <cellStyle name="Output 3 5 2 5" xfId="4563" xr:uid="{00000000-0005-0000-0000-0000AD0A0000}"/>
    <cellStyle name="Output 3 5 2 6" xfId="8572" xr:uid="{7A323B96-8391-4736-8C00-EA22B2A9DC9C}"/>
    <cellStyle name="Output 3 5 2 7" xfId="12463" xr:uid="{BC80364C-88D1-43E0-97DA-370DDE259BA9}"/>
    <cellStyle name="Output 3 5 3" xfId="1119" xr:uid="{00000000-0005-0000-0000-0000AE0A0000}"/>
    <cellStyle name="Output 3 5 3 2" xfId="2013" xr:uid="{00000000-0005-0000-0000-0000AF0A0000}"/>
    <cellStyle name="Output 3 5 3 2 2" xfId="5910" xr:uid="{00000000-0005-0000-0000-0000B00A0000}"/>
    <cellStyle name="Output 3 5 3 2 3" xfId="9919" xr:uid="{307F103B-F761-42DF-8C1B-EFF7A819C46C}"/>
    <cellStyle name="Output 3 5 3 3" xfId="5020" xr:uid="{00000000-0005-0000-0000-0000B10A0000}"/>
    <cellStyle name="Output 3 5 3 4" xfId="9029" xr:uid="{CFB2AF98-76F8-44D3-9078-1524AC5B3430}"/>
    <cellStyle name="Output 3 5 3 5" xfId="12920" xr:uid="{CACCE05A-0FFA-4460-AC15-68ECFBB7E515}"/>
    <cellStyle name="Output 3 5 4" xfId="2010" xr:uid="{00000000-0005-0000-0000-0000B20A0000}"/>
    <cellStyle name="Output 3 5 4 2" xfId="5907" xr:uid="{00000000-0005-0000-0000-0000B30A0000}"/>
    <cellStyle name="Output 3 5 4 3" xfId="9916" xr:uid="{C4F6E871-B173-4CBC-B195-E740C1D85FE5}"/>
    <cellStyle name="Output 3 5 5" xfId="3064" xr:uid="{00000000-0005-0000-0000-0000B40A0000}"/>
    <cellStyle name="Output 3 5 5 2" xfId="6958" xr:uid="{00000000-0005-0000-0000-0000B50A0000}"/>
    <cellStyle name="Output 3 5 5 3" xfId="10967" xr:uid="{22845811-A604-4764-B0A7-D380884D2850}"/>
    <cellStyle name="Output 3 5 6" xfId="4242" xr:uid="{00000000-0005-0000-0000-0000B60A0000}"/>
    <cellStyle name="Output 3 5 7" xfId="8251" xr:uid="{F75E1755-D64F-49FB-BC42-CF804821177B}"/>
    <cellStyle name="Output 3 5 8" xfId="12142" xr:uid="{5E8678D8-E97D-4E6D-BF75-7075E1D8A60C}"/>
    <cellStyle name="Output 3 6" xfId="491" xr:uid="{00000000-0005-0000-0000-0000B70A0000}"/>
    <cellStyle name="Output 3 6 2" xfId="1275" xr:uid="{00000000-0005-0000-0000-0000B80A0000}"/>
    <cellStyle name="Output 3 6 2 2" xfId="2015" xr:uid="{00000000-0005-0000-0000-0000B90A0000}"/>
    <cellStyle name="Output 3 6 2 2 2" xfId="5912" xr:uid="{00000000-0005-0000-0000-0000BA0A0000}"/>
    <cellStyle name="Output 3 6 2 2 3" xfId="9921" xr:uid="{2232DF3D-A755-4671-8CA3-A25D4C3C5027}"/>
    <cellStyle name="Output 3 6 2 3" xfId="5176" xr:uid="{00000000-0005-0000-0000-0000BB0A0000}"/>
    <cellStyle name="Output 3 6 2 4" xfId="9185" xr:uid="{9365A04C-AC3E-4235-9EA2-FEDCE85FE0FA}"/>
    <cellStyle name="Output 3 6 2 5" xfId="13076" xr:uid="{212A52CB-EE96-404B-8002-E7F910DBEAA5}"/>
    <cellStyle name="Output 3 6 3" xfId="2014" xr:uid="{00000000-0005-0000-0000-0000BC0A0000}"/>
    <cellStyle name="Output 3 6 3 2" xfId="5911" xr:uid="{00000000-0005-0000-0000-0000BD0A0000}"/>
    <cellStyle name="Output 3 6 3 3" xfId="9920" xr:uid="{985D2435-4C1B-4527-B9DF-E0BDCF406679}"/>
    <cellStyle name="Output 3 6 4" xfId="3220" xr:uid="{00000000-0005-0000-0000-0000BE0A0000}"/>
    <cellStyle name="Output 3 6 4 2" xfId="7114" xr:uid="{00000000-0005-0000-0000-0000BF0A0000}"/>
    <cellStyle name="Output 3 6 4 3" xfId="11123" xr:uid="{954D7807-4996-403A-AA56-C9C553C9FCD2}"/>
    <cellStyle name="Output 3 6 5" xfId="4398" xr:uid="{00000000-0005-0000-0000-0000C00A0000}"/>
    <cellStyle name="Output 3 6 6" xfId="8407" xr:uid="{60AFC694-D2A2-4295-98CF-CDC3354F9074}"/>
    <cellStyle name="Output 3 6 7" xfId="12298" xr:uid="{44F4835F-5384-4F3F-819E-E15BE333C9D0}"/>
    <cellStyle name="Output 3 7" xfId="954" xr:uid="{00000000-0005-0000-0000-0000C10A0000}"/>
    <cellStyle name="Output 3 7 2" xfId="2016" xr:uid="{00000000-0005-0000-0000-0000C20A0000}"/>
    <cellStyle name="Output 3 7 2 2" xfId="5913" xr:uid="{00000000-0005-0000-0000-0000C30A0000}"/>
    <cellStyle name="Output 3 7 2 3" xfId="9922" xr:uid="{3998F64C-18F3-463E-87FD-620489C0A208}"/>
    <cellStyle name="Output 3 7 3" xfId="4855" xr:uid="{00000000-0005-0000-0000-0000C40A0000}"/>
    <cellStyle name="Output 3 7 4" xfId="8864" xr:uid="{C673DF8D-CB9F-4980-A6D3-C4EC1F51965C}"/>
    <cellStyle name="Output 3 7 5" xfId="12755" xr:uid="{508C47CC-FDE6-4843-8C6B-47F1672DDF02}"/>
    <cellStyle name="Output 3 8" xfId="1977" xr:uid="{00000000-0005-0000-0000-0000C50A0000}"/>
    <cellStyle name="Output 3 8 2" xfId="5874" xr:uid="{00000000-0005-0000-0000-0000C60A0000}"/>
    <cellStyle name="Output 3 8 3" xfId="9883" xr:uid="{2BA08B06-3023-44A4-95D7-920A62A27EB8}"/>
    <cellStyle name="Output 3 9" xfId="2899" xr:uid="{00000000-0005-0000-0000-0000C70A0000}"/>
    <cellStyle name="Output 3 9 2" xfId="6793" xr:uid="{00000000-0005-0000-0000-0000C80A0000}"/>
    <cellStyle name="Output 3 9 3" xfId="10802" xr:uid="{13B6447C-3487-48C3-A15E-6484B5CD6F4A}"/>
    <cellStyle name="Output 4" xfId="230" xr:uid="{00000000-0005-0000-0000-0000C90A0000}"/>
    <cellStyle name="Output 4 10" xfId="13479" xr:uid="{FB09BA06-A609-4990-AB6F-4FBB7CAA064F}"/>
    <cellStyle name="Output 4 2" xfId="389" xr:uid="{00000000-0005-0000-0000-0000CA0A0000}"/>
    <cellStyle name="Output 4 2 2" xfId="719" xr:uid="{00000000-0005-0000-0000-0000CB0A0000}"/>
    <cellStyle name="Output 4 2 2 2" xfId="1500" xr:uid="{00000000-0005-0000-0000-0000CC0A0000}"/>
    <cellStyle name="Output 4 2 2 2 2" xfId="2020" xr:uid="{00000000-0005-0000-0000-0000CD0A0000}"/>
    <cellStyle name="Output 4 2 2 2 2 2" xfId="5917" xr:uid="{00000000-0005-0000-0000-0000CE0A0000}"/>
    <cellStyle name="Output 4 2 2 2 2 3" xfId="9926" xr:uid="{C9AE9E10-F33A-4433-A8CD-4B7B26E52FC4}"/>
    <cellStyle name="Output 4 2 2 2 3" xfId="5401" xr:uid="{00000000-0005-0000-0000-0000CF0A0000}"/>
    <cellStyle name="Output 4 2 2 2 4" xfId="9410" xr:uid="{F28FE05B-6183-4DD2-8E4C-3E6C179801FE}"/>
    <cellStyle name="Output 4 2 2 2 5" xfId="13301" xr:uid="{BF76B9C2-7823-4AC8-ACDA-4A36B3D6F72A}"/>
    <cellStyle name="Output 4 2 2 3" xfId="2019" xr:uid="{00000000-0005-0000-0000-0000D00A0000}"/>
    <cellStyle name="Output 4 2 2 3 2" xfId="5916" xr:uid="{00000000-0005-0000-0000-0000D10A0000}"/>
    <cellStyle name="Output 4 2 2 3 3" xfId="9925" xr:uid="{664473AD-2DA6-4B80-B692-831555CC3F3C}"/>
    <cellStyle name="Output 4 2 2 4" xfId="3445" xr:uid="{00000000-0005-0000-0000-0000D20A0000}"/>
    <cellStyle name="Output 4 2 2 4 2" xfId="7339" xr:uid="{00000000-0005-0000-0000-0000D30A0000}"/>
    <cellStyle name="Output 4 2 2 4 3" xfId="11348" xr:uid="{1C2FEC26-707B-4D3D-8BC0-28D00349859D}"/>
    <cellStyle name="Output 4 2 2 5" xfId="4623" xr:uid="{00000000-0005-0000-0000-0000D40A0000}"/>
    <cellStyle name="Output 4 2 2 6" xfId="8632" xr:uid="{861BC6DF-2679-4C5E-8900-EE16D8714FFC}"/>
    <cellStyle name="Output 4 2 2 7" xfId="12523" xr:uid="{CFD5813F-A16E-4037-AAD3-1759F9BB2771}"/>
    <cellStyle name="Output 4 2 3" xfId="1179" xr:uid="{00000000-0005-0000-0000-0000D50A0000}"/>
    <cellStyle name="Output 4 2 3 2" xfId="2021" xr:uid="{00000000-0005-0000-0000-0000D60A0000}"/>
    <cellStyle name="Output 4 2 3 2 2" xfId="5918" xr:uid="{00000000-0005-0000-0000-0000D70A0000}"/>
    <cellStyle name="Output 4 2 3 2 3" xfId="9927" xr:uid="{1F891BA6-8F79-4D56-907A-9124D9B12640}"/>
    <cellStyle name="Output 4 2 3 3" xfId="5080" xr:uid="{00000000-0005-0000-0000-0000D80A0000}"/>
    <cellStyle name="Output 4 2 3 4" xfId="9089" xr:uid="{F6FA05E4-FFC0-496F-95DC-CA2206CA80F2}"/>
    <cellStyle name="Output 4 2 3 5" xfId="12980" xr:uid="{F0176CD0-3AC3-4AE5-9329-64EFA8FA7BAB}"/>
    <cellStyle name="Output 4 2 4" xfId="2018" xr:uid="{00000000-0005-0000-0000-0000D90A0000}"/>
    <cellStyle name="Output 4 2 4 2" xfId="5915" xr:uid="{00000000-0005-0000-0000-0000DA0A0000}"/>
    <cellStyle name="Output 4 2 4 3" xfId="9924" xr:uid="{818F1357-14CF-46ED-83BC-72A0B557213E}"/>
    <cellStyle name="Output 4 2 5" xfId="3124" xr:uid="{00000000-0005-0000-0000-0000DB0A0000}"/>
    <cellStyle name="Output 4 2 5 2" xfId="7018" xr:uid="{00000000-0005-0000-0000-0000DC0A0000}"/>
    <cellStyle name="Output 4 2 5 3" xfId="11027" xr:uid="{E4F513E3-1100-4492-9C85-109B237363C4}"/>
    <cellStyle name="Output 4 2 6" xfId="4302" xr:uid="{00000000-0005-0000-0000-0000DD0A0000}"/>
    <cellStyle name="Output 4 2 7" xfId="8311" xr:uid="{ED5A3E58-B1FB-45D8-B2EF-B7FE0099B7DC}"/>
    <cellStyle name="Output 4 2 8" xfId="12202" xr:uid="{CF4C8BFE-DBA2-45C1-82AF-FC7A2E04D220}"/>
    <cellStyle name="Output 4 3" xfId="560" xr:uid="{00000000-0005-0000-0000-0000DE0A0000}"/>
    <cellStyle name="Output 4 3 2" xfId="1341" xr:uid="{00000000-0005-0000-0000-0000DF0A0000}"/>
    <cellStyle name="Output 4 3 2 2" xfId="2023" xr:uid="{00000000-0005-0000-0000-0000E00A0000}"/>
    <cellStyle name="Output 4 3 2 2 2" xfId="5920" xr:uid="{00000000-0005-0000-0000-0000E10A0000}"/>
    <cellStyle name="Output 4 3 2 2 3" xfId="9929" xr:uid="{DA4C8EBF-2772-4CCC-96E6-94F9D8EC3760}"/>
    <cellStyle name="Output 4 3 2 3" xfId="5242" xr:uid="{00000000-0005-0000-0000-0000E20A0000}"/>
    <cellStyle name="Output 4 3 2 4" xfId="9251" xr:uid="{57B4C9C4-7D08-469B-AE16-4EE857E73733}"/>
    <cellStyle name="Output 4 3 2 5" xfId="13142" xr:uid="{047A2FEC-7CBD-4411-9C24-7E3EBFFDB2B1}"/>
    <cellStyle name="Output 4 3 3" xfId="2022" xr:uid="{00000000-0005-0000-0000-0000E30A0000}"/>
    <cellStyle name="Output 4 3 3 2" xfId="5919" xr:uid="{00000000-0005-0000-0000-0000E40A0000}"/>
    <cellStyle name="Output 4 3 3 3" xfId="9928" xr:uid="{9C8ED04B-2F2F-49B0-A700-E2F69DA616FB}"/>
    <cellStyle name="Output 4 3 4" xfId="3286" xr:uid="{00000000-0005-0000-0000-0000E50A0000}"/>
    <cellStyle name="Output 4 3 4 2" xfId="7180" xr:uid="{00000000-0005-0000-0000-0000E60A0000}"/>
    <cellStyle name="Output 4 3 4 3" xfId="11189" xr:uid="{E305E54D-4321-405F-AFC4-E8C3DF182775}"/>
    <cellStyle name="Output 4 3 5" xfId="4464" xr:uid="{00000000-0005-0000-0000-0000E70A0000}"/>
    <cellStyle name="Output 4 3 6" xfId="8473" xr:uid="{B117029B-669A-446D-A8DA-131262B9C726}"/>
    <cellStyle name="Output 4 3 7" xfId="12364" xr:uid="{EB1623FE-A3AB-433F-ACA6-C1D68C0A81AE}"/>
    <cellStyle name="Output 4 4" xfId="1020" xr:uid="{00000000-0005-0000-0000-0000E80A0000}"/>
    <cellStyle name="Output 4 4 2" xfId="2024" xr:uid="{00000000-0005-0000-0000-0000E90A0000}"/>
    <cellStyle name="Output 4 4 2 2" xfId="5921" xr:uid="{00000000-0005-0000-0000-0000EA0A0000}"/>
    <cellStyle name="Output 4 4 2 3" xfId="9930" xr:uid="{B324E386-4077-4266-8EBE-3AB44DDDE727}"/>
    <cellStyle name="Output 4 4 3" xfId="4921" xr:uid="{00000000-0005-0000-0000-0000EB0A0000}"/>
    <cellStyle name="Output 4 4 4" xfId="8930" xr:uid="{E56AAFD6-B36D-46AA-BC29-98C5FCD3794B}"/>
    <cellStyle name="Output 4 4 5" xfId="12821" xr:uid="{396A0E28-F29F-43E8-81CF-8ACA452EE2EA}"/>
    <cellStyle name="Output 4 5" xfId="2017" xr:uid="{00000000-0005-0000-0000-0000EC0A0000}"/>
    <cellStyle name="Output 4 5 2" xfId="5914" xr:uid="{00000000-0005-0000-0000-0000ED0A0000}"/>
    <cellStyle name="Output 4 5 3" xfId="9923" xr:uid="{4DDC82B2-546D-4D1C-BB9B-231E50B18019}"/>
    <cellStyle name="Output 4 6" xfId="2965" xr:uid="{00000000-0005-0000-0000-0000EE0A0000}"/>
    <cellStyle name="Output 4 6 2" xfId="6859" xr:uid="{00000000-0005-0000-0000-0000EF0A0000}"/>
    <cellStyle name="Output 4 6 3" xfId="10868" xr:uid="{04878C09-F0A0-4605-AAA0-3D1BD20EABA3}"/>
    <cellStyle name="Output 4 7" xfId="4143" xr:uid="{00000000-0005-0000-0000-0000F00A0000}"/>
    <cellStyle name="Output 4 8" xfId="8152" xr:uid="{6C12DC6B-0F97-495A-8646-7B695E899296}"/>
    <cellStyle name="Output 4 9" xfId="12043" xr:uid="{FA334647-1893-4B59-83EF-558FAB27965F}"/>
    <cellStyle name="Output 5" xfId="208" xr:uid="{00000000-0005-0000-0000-0000F10A0000}"/>
    <cellStyle name="Output 5 2" xfId="538" xr:uid="{00000000-0005-0000-0000-0000F20A0000}"/>
    <cellStyle name="Output 5 2 2" xfId="1319" xr:uid="{00000000-0005-0000-0000-0000F30A0000}"/>
    <cellStyle name="Output 5 2 2 2" xfId="2027" xr:uid="{00000000-0005-0000-0000-0000F40A0000}"/>
    <cellStyle name="Output 5 2 2 2 2" xfId="5924" xr:uid="{00000000-0005-0000-0000-0000F50A0000}"/>
    <cellStyle name="Output 5 2 2 2 3" xfId="9933" xr:uid="{C5E57062-4BB1-456D-827A-5AA8D5E5CD6D}"/>
    <cellStyle name="Output 5 2 2 3" xfId="5220" xr:uid="{00000000-0005-0000-0000-0000F60A0000}"/>
    <cellStyle name="Output 5 2 2 4" xfId="9229" xr:uid="{F18B6EE3-D65A-4A11-864D-E84317384D8B}"/>
    <cellStyle name="Output 5 2 2 5" xfId="13120" xr:uid="{26BEE3BF-7924-4FC4-AF0A-6966BBE92304}"/>
    <cellStyle name="Output 5 2 3" xfId="2026" xr:uid="{00000000-0005-0000-0000-0000F70A0000}"/>
    <cellStyle name="Output 5 2 3 2" xfId="5923" xr:uid="{00000000-0005-0000-0000-0000F80A0000}"/>
    <cellStyle name="Output 5 2 3 3" xfId="9932" xr:uid="{2BD2FD2A-5E36-495F-9036-7998F4090BF7}"/>
    <cellStyle name="Output 5 2 4" xfId="3264" xr:uid="{00000000-0005-0000-0000-0000F90A0000}"/>
    <cellStyle name="Output 5 2 4 2" xfId="7158" xr:uid="{00000000-0005-0000-0000-0000FA0A0000}"/>
    <cellStyle name="Output 5 2 4 3" xfId="11167" xr:uid="{A450A41D-025F-40B6-B173-E3069F57CE91}"/>
    <cellStyle name="Output 5 2 5" xfId="4442" xr:uid="{00000000-0005-0000-0000-0000FB0A0000}"/>
    <cellStyle name="Output 5 2 6" xfId="8451" xr:uid="{2BD9BA5B-0789-4D64-9C0B-65ABFC4AE10D}"/>
    <cellStyle name="Output 5 2 7" xfId="12342" xr:uid="{3D786D19-0B5A-4098-A6CA-E689DA17DD9D}"/>
    <cellStyle name="Output 5 3" xfId="998" xr:uid="{00000000-0005-0000-0000-0000FC0A0000}"/>
    <cellStyle name="Output 5 3 2" xfId="2028" xr:uid="{00000000-0005-0000-0000-0000FD0A0000}"/>
    <cellStyle name="Output 5 3 2 2" xfId="5925" xr:uid="{00000000-0005-0000-0000-0000FE0A0000}"/>
    <cellStyle name="Output 5 3 2 3" xfId="9934" xr:uid="{DDF9B47D-5F13-4495-86D1-0DE6FD3683A6}"/>
    <cellStyle name="Output 5 3 3" xfId="4899" xr:uid="{00000000-0005-0000-0000-0000FF0A0000}"/>
    <cellStyle name="Output 5 3 4" xfId="8908" xr:uid="{B75949BC-72B8-4DC3-8645-8A1409D2CC91}"/>
    <cellStyle name="Output 5 3 5" xfId="12799" xr:uid="{B67C17D0-A214-4B80-9787-F2E727970F04}"/>
    <cellStyle name="Output 5 4" xfId="2025" xr:uid="{00000000-0005-0000-0000-0000000B0000}"/>
    <cellStyle name="Output 5 4 2" xfId="5922" xr:uid="{00000000-0005-0000-0000-0000010B0000}"/>
    <cellStyle name="Output 5 4 3" xfId="9931" xr:uid="{737E6A59-203F-4126-B918-82899C6599FD}"/>
    <cellStyle name="Output 5 5" xfId="2943" xr:uid="{00000000-0005-0000-0000-0000020B0000}"/>
    <cellStyle name="Output 5 5 2" xfId="6837" xr:uid="{00000000-0005-0000-0000-0000030B0000}"/>
    <cellStyle name="Output 5 5 3" xfId="10846" xr:uid="{CD7D4FF2-5D1A-488E-BE09-EFB70B797A62}"/>
    <cellStyle name="Output 5 6" xfId="4121" xr:uid="{00000000-0005-0000-0000-0000040B0000}"/>
    <cellStyle name="Output 5 7" xfId="8130" xr:uid="{A41B6CC8-E066-4660-8AC9-68D9889E64B8}"/>
    <cellStyle name="Output 5 8" xfId="12021" xr:uid="{22F38C5C-F356-4150-83DD-5C7FA19A21F1}"/>
    <cellStyle name="Output 5 9" xfId="13457" xr:uid="{95B4071B-A944-4726-88EA-EEFF5DC5D8CA}"/>
    <cellStyle name="Output 6" xfId="311" xr:uid="{00000000-0005-0000-0000-0000050B0000}"/>
    <cellStyle name="Output 6 2" xfId="641" xr:uid="{00000000-0005-0000-0000-0000060B0000}"/>
    <cellStyle name="Output 6 2 2" xfId="1422" xr:uid="{00000000-0005-0000-0000-0000070B0000}"/>
    <cellStyle name="Output 6 2 2 2" xfId="2031" xr:uid="{00000000-0005-0000-0000-0000080B0000}"/>
    <cellStyle name="Output 6 2 2 2 2" xfId="5928" xr:uid="{00000000-0005-0000-0000-0000090B0000}"/>
    <cellStyle name="Output 6 2 2 2 3" xfId="9937" xr:uid="{107F3F05-5B96-4A64-8965-C642AAF98C5F}"/>
    <cellStyle name="Output 6 2 2 3" xfId="5323" xr:uid="{00000000-0005-0000-0000-00000A0B0000}"/>
    <cellStyle name="Output 6 2 2 4" xfId="9332" xr:uid="{84F44306-5B4C-422A-8ACB-49AD63C7D071}"/>
    <cellStyle name="Output 6 2 2 5" xfId="13223" xr:uid="{E94EC8A0-A5C2-4339-AD64-327ADFDAA803}"/>
    <cellStyle name="Output 6 2 3" xfId="2030" xr:uid="{00000000-0005-0000-0000-00000B0B0000}"/>
    <cellStyle name="Output 6 2 3 2" xfId="5927" xr:uid="{00000000-0005-0000-0000-00000C0B0000}"/>
    <cellStyle name="Output 6 2 3 3" xfId="9936" xr:uid="{07BDF30D-3563-46C7-B59E-0AE988F23009}"/>
    <cellStyle name="Output 6 2 4" xfId="3367" xr:uid="{00000000-0005-0000-0000-00000D0B0000}"/>
    <cellStyle name="Output 6 2 4 2" xfId="7261" xr:uid="{00000000-0005-0000-0000-00000E0B0000}"/>
    <cellStyle name="Output 6 2 4 3" xfId="11270" xr:uid="{9428870E-6E7C-4BEF-A428-085619CFADF5}"/>
    <cellStyle name="Output 6 2 5" xfId="4545" xr:uid="{00000000-0005-0000-0000-00000F0B0000}"/>
    <cellStyle name="Output 6 2 6" xfId="8554" xr:uid="{5B4A7A02-6731-4870-9FC7-EA161228CCED}"/>
    <cellStyle name="Output 6 2 7" xfId="12445" xr:uid="{FB73FBF4-0DBE-40F3-AF89-ADA3D5078CB3}"/>
    <cellStyle name="Output 6 3" xfId="1101" xr:uid="{00000000-0005-0000-0000-0000100B0000}"/>
    <cellStyle name="Output 6 3 2" xfId="2032" xr:uid="{00000000-0005-0000-0000-0000110B0000}"/>
    <cellStyle name="Output 6 3 2 2" xfId="5929" xr:uid="{00000000-0005-0000-0000-0000120B0000}"/>
    <cellStyle name="Output 6 3 2 3" xfId="9938" xr:uid="{62079044-FC91-474A-9DED-11708922FEF5}"/>
    <cellStyle name="Output 6 3 3" xfId="5002" xr:uid="{00000000-0005-0000-0000-0000130B0000}"/>
    <cellStyle name="Output 6 3 4" xfId="9011" xr:uid="{4B22AF09-D41F-4856-9987-39E7115782EF}"/>
    <cellStyle name="Output 6 3 5" xfId="12902" xr:uid="{65FD4A77-CE86-4993-80F4-2225668CF12B}"/>
    <cellStyle name="Output 6 4" xfId="2029" xr:uid="{00000000-0005-0000-0000-0000140B0000}"/>
    <cellStyle name="Output 6 4 2" xfId="5926" xr:uid="{00000000-0005-0000-0000-0000150B0000}"/>
    <cellStyle name="Output 6 4 3" xfId="9935" xr:uid="{570285D9-E404-4C14-B137-D4EEDEA31DE7}"/>
    <cellStyle name="Output 6 5" xfId="3046" xr:uid="{00000000-0005-0000-0000-0000160B0000}"/>
    <cellStyle name="Output 6 5 2" xfId="6940" xr:uid="{00000000-0005-0000-0000-0000170B0000}"/>
    <cellStyle name="Output 6 5 3" xfId="10949" xr:uid="{58627E61-A669-4520-9A3B-2CFDAD821F00}"/>
    <cellStyle name="Output 6 6" xfId="4224" xr:uid="{00000000-0005-0000-0000-0000180B0000}"/>
    <cellStyle name="Output 6 7" xfId="8233" xr:uid="{76643653-E247-423E-81BB-C4EBFA31B5A1}"/>
    <cellStyle name="Output 6 8" xfId="12124" xr:uid="{E694EDBA-7AA4-4063-8257-522957CED37A}"/>
    <cellStyle name="Output 7" xfId="473" xr:uid="{00000000-0005-0000-0000-0000190B0000}"/>
    <cellStyle name="Output 7 2" xfId="1257" xr:uid="{00000000-0005-0000-0000-00001A0B0000}"/>
    <cellStyle name="Output 7 2 2" xfId="2034" xr:uid="{00000000-0005-0000-0000-00001B0B0000}"/>
    <cellStyle name="Output 7 2 2 2" xfId="5931" xr:uid="{00000000-0005-0000-0000-00001C0B0000}"/>
    <cellStyle name="Output 7 2 2 3" xfId="9940" xr:uid="{31C2678F-3D1C-4075-8C26-D2C886460BAE}"/>
    <cellStyle name="Output 7 2 3" xfId="5158" xr:uid="{00000000-0005-0000-0000-00001D0B0000}"/>
    <cellStyle name="Output 7 2 4" xfId="9167" xr:uid="{0BB9214C-B6F6-4571-82E3-EAD3AEF2BD0E}"/>
    <cellStyle name="Output 7 2 5" xfId="13058" xr:uid="{7B772500-AF25-4DC2-8093-36454623E626}"/>
    <cellStyle name="Output 7 3" xfId="2033" xr:uid="{00000000-0005-0000-0000-00001E0B0000}"/>
    <cellStyle name="Output 7 3 2" xfId="5930" xr:uid="{00000000-0005-0000-0000-00001F0B0000}"/>
    <cellStyle name="Output 7 3 3" xfId="9939" xr:uid="{365FBE41-5FB8-48DC-94D5-056E9371D04C}"/>
    <cellStyle name="Output 7 4" xfId="3202" xr:uid="{00000000-0005-0000-0000-0000200B0000}"/>
    <cellStyle name="Output 7 4 2" xfId="7096" xr:uid="{00000000-0005-0000-0000-0000210B0000}"/>
    <cellStyle name="Output 7 4 3" xfId="11105" xr:uid="{74A3D5A9-021B-4545-BAE4-A40077CD710E}"/>
    <cellStyle name="Output 7 5" xfId="4380" xr:uid="{00000000-0005-0000-0000-0000220B0000}"/>
    <cellStyle name="Output 7 6" xfId="8389" xr:uid="{9D65A724-9B2C-454C-B4DA-D07661F72FCE}"/>
    <cellStyle name="Output 7 7" xfId="12280" xr:uid="{42EB7EFD-4B60-4B68-BD56-4821DAF6E365}"/>
    <cellStyle name="Output 8" xfId="936" xr:uid="{00000000-0005-0000-0000-0000230B0000}"/>
    <cellStyle name="Output 8 2" xfId="2035" xr:uid="{00000000-0005-0000-0000-0000240B0000}"/>
    <cellStyle name="Output 8 2 2" xfId="5932" xr:uid="{00000000-0005-0000-0000-0000250B0000}"/>
    <cellStyle name="Output 8 2 3" xfId="9941" xr:uid="{3B85D02F-EA81-4287-8441-DE18E95EAC5B}"/>
    <cellStyle name="Output 8 3" xfId="4837" xr:uid="{00000000-0005-0000-0000-0000260B0000}"/>
    <cellStyle name="Output 8 4" xfId="8846" xr:uid="{A4DB2255-5A8B-40A4-9436-4F660A417A7E}"/>
    <cellStyle name="Output 8 5" xfId="12737" xr:uid="{92D15DEC-919A-4B56-930E-F003CD85E1E0}"/>
    <cellStyle name="Output 9" xfId="1936" xr:uid="{00000000-0005-0000-0000-0000270B0000}"/>
    <cellStyle name="Output 9 2" xfId="5833" xr:uid="{00000000-0005-0000-0000-0000280B0000}"/>
    <cellStyle name="Output 9 3" xfId="9842" xr:uid="{7ACECA87-B441-4844-9E65-B23FB4876BE5}"/>
    <cellStyle name="S7" xfId="13579" xr:uid="{54EBA2C7-0C00-4E19-A8D0-72CF4845B704}"/>
    <cellStyle name="Salida" xfId="8004" xr:uid="{EDE47247-A18A-4FC8-9588-94D4BC9986E9}"/>
    <cellStyle name="Salida 2" xfId="8034" xr:uid="{94976FC2-C648-4DAF-AC8F-B938AA68B4DD}"/>
    <cellStyle name="Salida 3" xfId="8049" xr:uid="{3A07D5FE-5519-44DF-AB5F-2D302EC4E161}"/>
    <cellStyle name="SAPBEXfilterDrill" xfId="460" xr:uid="{00000000-0005-0000-0000-0000290B0000}"/>
    <cellStyle name="SAPBEXHLevel3X" xfId="459" xr:uid="{00000000-0005-0000-0000-00002A0B0000}"/>
    <cellStyle name="SAPBEXHLevel3X 2" xfId="788" xr:uid="{00000000-0005-0000-0000-00002B0B0000}"/>
    <cellStyle name="SAPBEXHLevel3X 2 2" xfId="1569" xr:uid="{00000000-0005-0000-0000-00002C0B0000}"/>
    <cellStyle name="SAPBEXHLevel3X 2 2 2" xfId="2038" xr:uid="{00000000-0005-0000-0000-00002D0B0000}"/>
    <cellStyle name="SAPBEXHLevel3X 2 2 2 2" xfId="5935" xr:uid="{00000000-0005-0000-0000-00002E0B0000}"/>
    <cellStyle name="SAPBEXHLevel3X 2 2 2 3" xfId="9944" xr:uid="{2E2272B2-5F70-4728-97B1-E93F022BC41E}"/>
    <cellStyle name="SAPBEXHLevel3X 2 2 3" xfId="5470" xr:uid="{00000000-0005-0000-0000-00002F0B0000}"/>
    <cellStyle name="SAPBEXHLevel3X 2 2 4" xfId="9479" xr:uid="{05505A62-D863-4C71-B74E-A753DDDCF3AF}"/>
    <cellStyle name="SAPBEXHLevel3X 2 2 5" xfId="13370" xr:uid="{88A4B0FA-F070-4B4C-9A23-0D78CE3ABFAD}"/>
    <cellStyle name="SAPBEXHLevel3X 2 3" xfId="2037" xr:uid="{00000000-0005-0000-0000-0000300B0000}"/>
    <cellStyle name="SAPBEXHLevel3X 2 3 2" xfId="5934" xr:uid="{00000000-0005-0000-0000-0000310B0000}"/>
    <cellStyle name="SAPBEXHLevel3X 2 3 3" xfId="9943" xr:uid="{140BA1B2-2603-41BF-BCD4-A654586BACB6}"/>
    <cellStyle name="SAPBEXHLevel3X 2 4" xfId="3514" xr:uid="{00000000-0005-0000-0000-0000320B0000}"/>
    <cellStyle name="SAPBEXHLevel3X 2 4 2" xfId="7408" xr:uid="{00000000-0005-0000-0000-0000330B0000}"/>
    <cellStyle name="SAPBEXHLevel3X 2 4 3" xfId="11417" xr:uid="{82B67319-B39E-4E6B-A58F-83AD3B37B656}"/>
    <cellStyle name="SAPBEXHLevel3X 2 5" xfId="4692" xr:uid="{00000000-0005-0000-0000-0000340B0000}"/>
    <cellStyle name="SAPBEXHLevel3X 2 6" xfId="8701" xr:uid="{CD7AC1BF-3DE6-4BC5-8959-021C769F2239}"/>
    <cellStyle name="SAPBEXHLevel3X 2 7" xfId="12592" xr:uid="{309419E4-745C-4776-B21F-61E8D3F2D4AF}"/>
    <cellStyle name="SAPBEXHLevel3X 3" xfId="1248" xr:uid="{00000000-0005-0000-0000-0000350B0000}"/>
    <cellStyle name="SAPBEXHLevel3X 3 2" xfId="2039" xr:uid="{00000000-0005-0000-0000-0000360B0000}"/>
    <cellStyle name="SAPBEXHLevel3X 3 2 2" xfId="5936" xr:uid="{00000000-0005-0000-0000-0000370B0000}"/>
    <cellStyle name="SAPBEXHLevel3X 3 2 3" xfId="9945" xr:uid="{1E630C1F-D7AA-4537-8444-511F912BBBB5}"/>
    <cellStyle name="SAPBEXHLevel3X 3 3" xfId="5149" xr:uid="{00000000-0005-0000-0000-0000380B0000}"/>
    <cellStyle name="SAPBEXHLevel3X 3 4" xfId="9158" xr:uid="{F56A81AF-8732-4A4E-AB20-A3D2D00A4873}"/>
    <cellStyle name="SAPBEXHLevel3X 3 5" xfId="13049" xr:uid="{3F72678E-3ED3-4585-AC67-915BBEA0D311}"/>
    <cellStyle name="SAPBEXHLevel3X 4" xfId="2036" xr:uid="{00000000-0005-0000-0000-0000390B0000}"/>
    <cellStyle name="SAPBEXHLevel3X 4 2" xfId="5933" xr:uid="{00000000-0005-0000-0000-00003A0B0000}"/>
    <cellStyle name="SAPBEXHLevel3X 4 3" xfId="9942" xr:uid="{13D84417-B1F4-40BB-9298-D05966FD39C9}"/>
    <cellStyle name="SAPBEXHLevel3X 5" xfId="3193" xr:uid="{00000000-0005-0000-0000-00003B0B0000}"/>
    <cellStyle name="SAPBEXHLevel3X 5 2" xfId="7087" xr:uid="{00000000-0005-0000-0000-00003C0B0000}"/>
    <cellStyle name="SAPBEXHLevel3X 5 3" xfId="11096" xr:uid="{9494D861-30A2-4C1F-A79D-DBE0E752FAE0}"/>
    <cellStyle name="SAPBEXHLevel3X 6" xfId="4371" xr:uid="{00000000-0005-0000-0000-00003D0B0000}"/>
    <cellStyle name="SAPBEXHLevel3X 7" xfId="8380" xr:uid="{61744AF1-CD93-4BEB-AE8F-6CE11B61F594}"/>
    <cellStyle name="SAPBEXHLevel3X 8" xfId="12271" xr:uid="{12CB0E52-075A-4ECD-B69B-4ACCF176AB63}"/>
    <cellStyle name="SAPBEXresDataEmph" xfId="458" xr:uid="{00000000-0005-0000-0000-00003E0B0000}"/>
    <cellStyle name="SAPBEXresDataEmph 2" xfId="787" xr:uid="{00000000-0005-0000-0000-00003F0B0000}"/>
    <cellStyle name="SAPBEXresDataEmph 2 2" xfId="1568" xr:uid="{00000000-0005-0000-0000-0000400B0000}"/>
    <cellStyle name="SAPBEXresDataEmph 2 2 2" xfId="2042" xr:uid="{00000000-0005-0000-0000-0000410B0000}"/>
    <cellStyle name="SAPBEXresDataEmph 2 2 2 2" xfId="5939" xr:uid="{00000000-0005-0000-0000-0000420B0000}"/>
    <cellStyle name="SAPBEXresDataEmph 2 2 2 3" xfId="9948" xr:uid="{538C5E1F-B60F-4B74-B7A1-F7785126D39F}"/>
    <cellStyle name="SAPBEXresDataEmph 2 2 3" xfId="5469" xr:uid="{00000000-0005-0000-0000-0000430B0000}"/>
    <cellStyle name="SAPBEXresDataEmph 2 2 4" xfId="9478" xr:uid="{B5065B77-06F4-4B92-8A52-F9D32C69AE03}"/>
    <cellStyle name="SAPBEXresDataEmph 2 2 5" xfId="13369" xr:uid="{260D0934-5B07-49AD-B5D9-C19F40C54AE7}"/>
    <cellStyle name="SAPBEXresDataEmph 2 3" xfId="2041" xr:uid="{00000000-0005-0000-0000-0000440B0000}"/>
    <cellStyle name="SAPBEXresDataEmph 2 3 2" xfId="5938" xr:uid="{00000000-0005-0000-0000-0000450B0000}"/>
    <cellStyle name="SAPBEXresDataEmph 2 3 3" xfId="9947" xr:uid="{43CEBAC9-2A0D-4AC7-B99A-7EFCBF838F9A}"/>
    <cellStyle name="SAPBEXresDataEmph 2 4" xfId="3513" xr:uid="{00000000-0005-0000-0000-0000460B0000}"/>
    <cellStyle name="SAPBEXresDataEmph 2 4 2" xfId="7407" xr:uid="{00000000-0005-0000-0000-0000470B0000}"/>
    <cellStyle name="SAPBEXresDataEmph 2 4 3" xfId="11416" xr:uid="{BD715472-34F5-4DF5-9D07-13F9A73CCDB5}"/>
    <cellStyle name="SAPBEXresDataEmph 2 5" xfId="4691" xr:uid="{00000000-0005-0000-0000-0000480B0000}"/>
    <cellStyle name="SAPBEXresDataEmph 2 6" xfId="8700" xr:uid="{7FFC4D35-3221-4FC6-986E-5FB78811AADD}"/>
    <cellStyle name="SAPBEXresDataEmph 2 7" xfId="12591" xr:uid="{CC9EB1E6-EEEC-46B6-B0EA-1F0CC55B8BAB}"/>
    <cellStyle name="SAPBEXresDataEmph 3" xfId="1247" xr:uid="{00000000-0005-0000-0000-0000490B0000}"/>
    <cellStyle name="SAPBEXresDataEmph 3 2" xfId="2043" xr:uid="{00000000-0005-0000-0000-00004A0B0000}"/>
    <cellStyle name="SAPBEXresDataEmph 3 2 2" xfId="5940" xr:uid="{00000000-0005-0000-0000-00004B0B0000}"/>
    <cellStyle name="SAPBEXresDataEmph 3 2 3" xfId="9949" xr:uid="{ACFDA9CA-E6E3-41E6-A98F-2B3F23E76530}"/>
    <cellStyle name="SAPBEXresDataEmph 3 3" xfId="5148" xr:uid="{00000000-0005-0000-0000-00004C0B0000}"/>
    <cellStyle name="SAPBEXresDataEmph 3 4" xfId="9157" xr:uid="{A5C0248B-C87B-414E-ADEC-5F22B96D5E64}"/>
    <cellStyle name="SAPBEXresDataEmph 3 5" xfId="13048" xr:uid="{DFD3FA0B-30F6-4785-8B38-47A72182A5FD}"/>
    <cellStyle name="SAPBEXresDataEmph 4" xfId="2040" xr:uid="{00000000-0005-0000-0000-00004D0B0000}"/>
    <cellStyle name="SAPBEXresDataEmph 4 2" xfId="5937" xr:uid="{00000000-0005-0000-0000-00004E0B0000}"/>
    <cellStyle name="SAPBEXresDataEmph 4 3" xfId="9946" xr:uid="{7A9DB634-AC64-48CC-9D3A-14565D091F36}"/>
    <cellStyle name="SAPBEXresDataEmph 5" xfId="3192" xr:uid="{00000000-0005-0000-0000-00004F0B0000}"/>
    <cellStyle name="SAPBEXresDataEmph 5 2" xfId="7086" xr:uid="{00000000-0005-0000-0000-0000500B0000}"/>
    <cellStyle name="SAPBEXresDataEmph 5 3" xfId="11095" xr:uid="{1FF9BD97-B089-4BB6-AA7A-E56EFED71809}"/>
    <cellStyle name="SAPBEXresDataEmph 6" xfId="4370" xr:uid="{00000000-0005-0000-0000-0000510B0000}"/>
    <cellStyle name="SAPBEXresDataEmph 7" xfId="8379" xr:uid="{40D482FD-C6C2-40BA-8C48-D3A255582462}"/>
    <cellStyle name="SAPBEXresDataEmph 8" xfId="12270" xr:uid="{E6EAF7DA-8C0A-483B-BFC9-9C1C6859A403}"/>
    <cellStyle name="Texto de advertencia" xfId="8005" xr:uid="{1AA0C199-50C9-4AE4-8A30-B262BDDD969F}"/>
    <cellStyle name="Texto explicativo" xfId="8006" xr:uid="{669F6743-C9CD-4184-ACFE-DE0A3663FB95}"/>
    <cellStyle name="Title" xfId="102" xr:uid="{00000000-0005-0000-0000-0000520B0000}"/>
    <cellStyle name="Título" xfId="8007" xr:uid="{20295C65-1479-4B6C-9174-D35062419A5D}"/>
    <cellStyle name="Título 1" xfId="8008" xr:uid="{2E6CD1D6-44CB-40F1-85F2-72C0531FCABF}"/>
    <cellStyle name="Título 2" xfId="8009" xr:uid="{D13F1F33-3EDE-45CD-B76F-B36588DBAEF1}"/>
    <cellStyle name="Título 3" xfId="8010" xr:uid="{015A7304-30BA-4609-849F-D19FEFE9A20C}"/>
    <cellStyle name="Total" xfId="103" xr:uid="{00000000-0005-0000-0000-0000530B0000}"/>
    <cellStyle name="Total 10" xfId="2882" xr:uid="{00000000-0005-0000-0000-0000540B0000}"/>
    <cellStyle name="Total 10 2" xfId="6776" xr:uid="{00000000-0005-0000-0000-0000550B0000}"/>
    <cellStyle name="Total 10 3" xfId="10785" xr:uid="{0D07F802-C395-4C3C-8B93-E3D81EF07529}"/>
    <cellStyle name="Total 11" xfId="4060" xr:uid="{00000000-0005-0000-0000-0000560B0000}"/>
    <cellStyle name="Total 12" xfId="8011" xr:uid="{588BDD28-09B3-4F48-A0BB-04FA045D3CF2}"/>
    <cellStyle name="Total 13" xfId="8069" xr:uid="{194E21C0-C583-4A25-A34E-3BC4CEA7C78F}"/>
    <cellStyle name="Total 14" xfId="11960" xr:uid="{26B8C277-BB66-4E2A-B1C1-A7A62095791D}"/>
    <cellStyle name="Total 15" xfId="13396" xr:uid="{0DF5E128-D899-4484-AD2D-65C9852BC749}"/>
    <cellStyle name="Total 2" xfId="116" xr:uid="{00000000-0005-0000-0000-0000570B0000}"/>
    <cellStyle name="Total 2 10" xfId="4070" xr:uid="{00000000-0005-0000-0000-0000580B0000}"/>
    <cellStyle name="Total 2 11" xfId="8035" xr:uid="{5DF9C97A-3D1F-484E-8F89-E40B082FBDAC}"/>
    <cellStyle name="Total 2 12" xfId="8079" xr:uid="{F0319D07-EEF4-45E2-9118-7A97E2A4D474}"/>
    <cellStyle name="Total 2 13" xfId="11970" xr:uid="{DA961B58-3FA0-47DA-B5FB-8595C6B44A45}"/>
    <cellStyle name="Total 2 14" xfId="13406" xr:uid="{0522594F-86DA-4BA9-9078-517C1D1DDA3A}"/>
    <cellStyle name="Total 2 2" xfId="178" xr:uid="{00000000-0005-0000-0000-0000590B0000}"/>
    <cellStyle name="Total 2 2 10" xfId="8103" xr:uid="{CCAA82B9-F20E-4866-AD4D-F43CEDE3A31C}"/>
    <cellStyle name="Total 2 2 11" xfId="11994" xr:uid="{50F3BA0B-8CB9-4A2F-B1E9-C92F64956738}"/>
    <cellStyle name="Total 2 2 12" xfId="13430" xr:uid="{2A18B4C0-C2AD-49F9-AF3D-A4D6AE0A3F73}"/>
    <cellStyle name="Total 2 2 2" xfId="279" xr:uid="{00000000-0005-0000-0000-00005A0B0000}"/>
    <cellStyle name="Total 2 2 2 10" xfId="13528" xr:uid="{8167AB1C-78C7-4AC1-B8C9-15CEAE487B5D}"/>
    <cellStyle name="Total 2 2 2 2" xfId="435" xr:uid="{00000000-0005-0000-0000-00005B0B0000}"/>
    <cellStyle name="Total 2 2 2 2 2" xfId="765" xr:uid="{00000000-0005-0000-0000-00005C0B0000}"/>
    <cellStyle name="Total 2 2 2 2 2 2" xfId="1546" xr:uid="{00000000-0005-0000-0000-00005D0B0000}"/>
    <cellStyle name="Total 2 2 2 2 2 2 2" xfId="2050" xr:uid="{00000000-0005-0000-0000-00005E0B0000}"/>
    <cellStyle name="Total 2 2 2 2 2 2 2 2" xfId="5947" xr:uid="{00000000-0005-0000-0000-00005F0B0000}"/>
    <cellStyle name="Total 2 2 2 2 2 2 2 3" xfId="9956" xr:uid="{A05A42A2-D207-4D2D-AEA1-07A8230BA629}"/>
    <cellStyle name="Total 2 2 2 2 2 2 3" xfId="3896" xr:uid="{00000000-0005-0000-0000-0000600B0000}"/>
    <cellStyle name="Total 2 2 2 2 2 2 3 2" xfId="7790" xr:uid="{00000000-0005-0000-0000-0000610B0000}"/>
    <cellStyle name="Total 2 2 2 2 2 2 3 3" xfId="11799" xr:uid="{4C8DE56D-73B4-43FB-9FF1-DF802395BA92}"/>
    <cellStyle name="Total 2 2 2 2 2 2 4" xfId="5447" xr:uid="{00000000-0005-0000-0000-0000620B0000}"/>
    <cellStyle name="Total 2 2 2 2 2 2 5" xfId="9456" xr:uid="{42286277-8038-4FF1-9783-D19C5AB6564A}"/>
    <cellStyle name="Total 2 2 2 2 2 2 6" xfId="13347" xr:uid="{FC8EF2EB-0B7D-40AF-A2BB-88FD3C5B7E7E}"/>
    <cellStyle name="Total 2 2 2 2 2 3" xfId="2049" xr:uid="{00000000-0005-0000-0000-0000630B0000}"/>
    <cellStyle name="Total 2 2 2 2 2 3 2" xfId="5946" xr:uid="{00000000-0005-0000-0000-0000640B0000}"/>
    <cellStyle name="Total 2 2 2 2 2 3 3" xfId="9955" xr:uid="{375EBCF7-62F9-49E9-A3A7-0B19B6061038}"/>
    <cellStyle name="Total 2 2 2 2 2 4" xfId="3491" xr:uid="{00000000-0005-0000-0000-0000650B0000}"/>
    <cellStyle name="Total 2 2 2 2 2 4 2" xfId="7385" xr:uid="{00000000-0005-0000-0000-0000660B0000}"/>
    <cellStyle name="Total 2 2 2 2 2 4 3" xfId="11394" xr:uid="{059A41D4-F89D-4E4B-81E8-2415A9B08035}"/>
    <cellStyle name="Total 2 2 2 2 2 5" xfId="4669" xr:uid="{00000000-0005-0000-0000-0000670B0000}"/>
    <cellStyle name="Total 2 2 2 2 2 6" xfId="8678" xr:uid="{494AEBB9-F18D-47A5-BDDF-8D297A1DF8B1}"/>
    <cellStyle name="Total 2 2 2 2 2 7" xfId="12569" xr:uid="{CE10D53B-9FB9-4858-858F-2634E5B7A9B9}"/>
    <cellStyle name="Total 2 2 2 2 3" xfId="1225" xr:uid="{00000000-0005-0000-0000-0000680B0000}"/>
    <cellStyle name="Total 2 2 2 2 3 2" xfId="2051" xr:uid="{00000000-0005-0000-0000-0000690B0000}"/>
    <cellStyle name="Total 2 2 2 2 3 2 2" xfId="5948" xr:uid="{00000000-0005-0000-0000-00006A0B0000}"/>
    <cellStyle name="Total 2 2 2 2 3 2 3" xfId="9957" xr:uid="{465AECCF-C1A3-4C25-AC6F-0CA8F0D8A829}"/>
    <cellStyle name="Total 2 2 2 2 3 3" xfId="3698" xr:uid="{00000000-0005-0000-0000-00006B0B0000}"/>
    <cellStyle name="Total 2 2 2 2 3 3 2" xfId="7592" xr:uid="{00000000-0005-0000-0000-00006C0B0000}"/>
    <cellStyle name="Total 2 2 2 2 3 3 3" xfId="11601" xr:uid="{B7BDE49C-4917-4E38-9AA6-8AB4B6F73298}"/>
    <cellStyle name="Total 2 2 2 2 3 4" xfId="5126" xr:uid="{00000000-0005-0000-0000-00006D0B0000}"/>
    <cellStyle name="Total 2 2 2 2 3 5" xfId="9135" xr:uid="{99A95067-89FF-4C12-B09C-BE4D10E63087}"/>
    <cellStyle name="Total 2 2 2 2 3 6" xfId="13026" xr:uid="{8BAAB820-33B2-4DA0-BD22-35531DEA0CDE}"/>
    <cellStyle name="Total 2 2 2 2 4" xfId="2048" xr:uid="{00000000-0005-0000-0000-00006E0B0000}"/>
    <cellStyle name="Total 2 2 2 2 4 2" xfId="5945" xr:uid="{00000000-0005-0000-0000-00006F0B0000}"/>
    <cellStyle name="Total 2 2 2 2 4 3" xfId="9954" xr:uid="{19D54527-9FE3-4B05-B6AF-BA1841667057}"/>
    <cellStyle name="Total 2 2 2 2 5" xfId="3170" xr:uid="{00000000-0005-0000-0000-0000700B0000}"/>
    <cellStyle name="Total 2 2 2 2 5 2" xfId="7064" xr:uid="{00000000-0005-0000-0000-0000710B0000}"/>
    <cellStyle name="Total 2 2 2 2 5 3" xfId="11073" xr:uid="{38A351BD-3DFA-48F0-87C5-B6085DD282C3}"/>
    <cellStyle name="Total 2 2 2 2 6" xfId="4348" xr:uid="{00000000-0005-0000-0000-0000720B0000}"/>
    <cellStyle name="Total 2 2 2 2 7" xfId="8357" xr:uid="{6E0F62B7-D3F0-49D0-88BF-76AF0D7ECAE4}"/>
    <cellStyle name="Total 2 2 2 2 8" xfId="12248" xr:uid="{1D397942-FD2E-405E-A6CF-F690B2675F63}"/>
    <cellStyle name="Total 2 2 2 3" xfId="609" xr:uid="{00000000-0005-0000-0000-0000730B0000}"/>
    <cellStyle name="Total 2 2 2 3 2" xfId="1390" xr:uid="{00000000-0005-0000-0000-0000740B0000}"/>
    <cellStyle name="Total 2 2 2 3 2 2" xfId="2053" xr:uid="{00000000-0005-0000-0000-0000750B0000}"/>
    <cellStyle name="Total 2 2 2 3 2 2 2" xfId="5950" xr:uid="{00000000-0005-0000-0000-0000760B0000}"/>
    <cellStyle name="Total 2 2 2 3 2 2 3" xfId="9959" xr:uid="{C50C196B-C403-4183-AC4B-A30E658D6264}"/>
    <cellStyle name="Total 2 2 2 3 2 3" xfId="3797" xr:uid="{00000000-0005-0000-0000-0000770B0000}"/>
    <cellStyle name="Total 2 2 2 3 2 3 2" xfId="7691" xr:uid="{00000000-0005-0000-0000-0000780B0000}"/>
    <cellStyle name="Total 2 2 2 3 2 3 3" xfId="11700" xr:uid="{52E90A08-78FD-4E4D-AF87-BC3F6233A62D}"/>
    <cellStyle name="Total 2 2 2 3 2 4" xfId="5291" xr:uid="{00000000-0005-0000-0000-0000790B0000}"/>
    <cellStyle name="Total 2 2 2 3 2 5" xfId="9300" xr:uid="{B4076D5D-E1F4-4234-83A1-1570BEDA64D4}"/>
    <cellStyle name="Total 2 2 2 3 2 6" xfId="13191" xr:uid="{53E71645-DE78-41A4-901A-3017A6753781}"/>
    <cellStyle name="Total 2 2 2 3 3" xfId="2052" xr:uid="{00000000-0005-0000-0000-00007A0B0000}"/>
    <cellStyle name="Total 2 2 2 3 3 2" xfId="5949" xr:uid="{00000000-0005-0000-0000-00007B0B0000}"/>
    <cellStyle name="Total 2 2 2 3 3 3" xfId="9958" xr:uid="{6740A9FE-90BF-4D07-9111-8BF8A1204B36}"/>
    <cellStyle name="Total 2 2 2 3 4" xfId="3335" xr:uid="{00000000-0005-0000-0000-00007C0B0000}"/>
    <cellStyle name="Total 2 2 2 3 4 2" xfId="7229" xr:uid="{00000000-0005-0000-0000-00007D0B0000}"/>
    <cellStyle name="Total 2 2 2 3 4 3" xfId="11238" xr:uid="{37C2E80D-CB1C-460C-96B5-58F4A0E2C9EE}"/>
    <cellStyle name="Total 2 2 2 3 5" xfId="4513" xr:uid="{00000000-0005-0000-0000-00007E0B0000}"/>
    <cellStyle name="Total 2 2 2 3 6" xfId="8522" xr:uid="{6392DFA1-33E0-40A1-B95D-8242E73151AA}"/>
    <cellStyle name="Total 2 2 2 3 7" xfId="12413" xr:uid="{EFE04BC4-9808-4D47-ADE4-63DC0C2DF89C}"/>
    <cellStyle name="Total 2 2 2 4" xfId="1069" xr:uid="{00000000-0005-0000-0000-00007F0B0000}"/>
    <cellStyle name="Total 2 2 2 4 2" xfId="2054" xr:uid="{00000000-0005-0000-0000-0000800B0000}"/>
    <cellStyle name="Total 2 2 2 4 2 2" xfId="5951" xr:uid="{00000000-0005-0000-0000-0000810B0000}"/>
    <cellStyle name="Total 2 2 2 4 2 3" xfId="9960" xr:uid="{5711513B-48D9-42B6-9D36-A3313E3D0CAB}"/>
    <cellStyle name="Total 2 2 2 4 3" xfId="3599" xr:uid="{00000000-0005-0000-0000-0000820B0000}"/>
    <cellStyle name="Total 2 2 2 4 3 2" xfId="7493" xr:uid="{00000000-0005-0000-0000-0000830B0000}"/>
    <cellStyle name="Total 2 2 2 4 3 3" xfId="11502" xr:uid="{0DE8BC29-5D88-431C-BF49-D5C965416DFD}"/>
    <cellStyle name="Total 2 2 2 4 4" xfId="4970" xr:uid="{00000000-0005-0000-0000-0000840B0000}"/>
    <cellStyle name="Total 2 2 2 4 5" xfId="8979" xr:uid="{2269CF6A-6C07-4BDC-80B6-68831CE30F38}"/>
    <cellStyle name="Total 2 2 2 4 6" xfId="12870" xr:uid="{FA0BBE47-3BB3-4783-B6B5-161DDA582711}"/>
    <cellStyle name="Total 2 2 2 5" xfId="2047" xr:uid="{00000000-0005-0000-0000-0000850B0000}"/>
    <cellStyle name="Total 2 2 2 5 2" xfId="5944" xr:uid="{00000000-0005-0000-0000-0000860B0000}"/>
    <cellStyle name="Total 2 2 2 5 3" xfId="9953" xr:uid="{8D5BF89D-062C-40B3-91A6-800B3071AA8F}"/>
    <cellStyle name="Total 2 2 2 6" xfId="3014" xr:uid="{00000000-0005-0000-0000-0000870B0000}"/>
    <cellStyle name="Total 2 2 2 6 2" xfId="6908" xr:uid="{00000000-0005-0000-0000-0000880B0000}"/>
    <cellStyle name="Total 2 2 2 6 3" xfId="10917" xr:uid="{04A03679-86AD-43A4-8F71-27EB2BC81DA9}"/>
    <cellStyle name="Total 2 2 2 7" xfId="4192" xr:uid="{00000000-0005-0000-0000-0000890B0000}"/>
    <cellStyle name="Total 2 2 2 8" xfId="8201" xr:uid="{F0380D97-38DF-44EB-9B18-BB9A71FA1657}"/>
    <cellStyle name="Total 2 2 2 9" xfId="12092" xr:uid="{8A31DA95-A2AE-409E-A041-A213F3F7ADF1}"/>
    <cellStyle name="Total 2 2 3" xfId="231" xr:uid="{00000000-0005-0000-0000-00008A0B0000}"/>
    <cellStyle name="Total 2 2 3 10" xfId="13480" xr:uid="{5D4FB66A-CBA4-47FD-AC57-498335D11DE5}"/>
    <cellStyle name="Total 2 2 3 2" xfId="390" xr:uid="{00000000-0005-0000-0000-00008B0B0000}"/>
    <cellStyle name="Total 2 2 3 2 2" xfId="720" xr:uid="{00000000-0005-0000-0000-00008C0B0000}"/>
    <cellStyle name="Total 2 2 3 2 2 2" xfId="1501" xr:uid="{00000000-0005-0000-0000-00008D0B0000}"/>
    <cellStyle name="Total 2 2 3 2 2 2 2" xfId="2058" xr:uid="{00000000-0005-0000-0000-00008E0B0000}"/>
    <cellStyle name="Total 2 2 3 2 2 2 2 2" xfId="5955" xr:uid="{00000000-0005-0000-0000-00008F0B0000}"/>
    <cellStyle name="Total 2 2 3 2 2 2 2 3" xfId="9964" xr:uid="{B14E54EC-C953-44D1-8909-425D2212E931}"/>
    <cellStyle name="Total 2 2 3 2 2 2 3" xfId="3868" xr:uid="{00000000-0005-0000-0000-0000900B0000}"/>
    <cellStyle name="Total 2 2 3 2 2 2 3 2" xfId="7762" xr:uid="{00000000-0005-0000-0000-0000910B0000}"/>
    <cellStyle name="Total 2 2 3 2 2 2 3 3" xfId="11771" xr:uid="{0A991747-4C94-433A-8AA2-04D4EEECD5C4}"/>
    <cellStyle name="Total 2 2 3 2 2 2 4" xfId="5402" xr:uid="{00000000-0005-0000-0000-0000920B0000}"/>
    <cellStyle name="Total 2 2 3 2 2 2 5" xfId="9411" xr:uid="{80398789-92CB-4E84-B814-633B6F22967B}"/>
    <cellStyle name="Total 2 2 3 2 2 2 6" xfId="13302" xr:uid="{11756A20-0143-4234-A6C1-36CC379F8CE8}"/>
    <cellStyle name="Total 2 2 3 2 2 3" xfId="2057" xr:uid="{00000000-0005-0000-0000-0000930B0000}"/>
    <cellStyle name="Total 2 2 3 2 2 3 2" xfId="5954" xr:uid="{00000000-0005-0000-0000-0000940B0000}"/>
    <cellStyle name="Total 2 2 3 2 2 3 3" xfId="9963" xr:uid="{9D47A1B2-F6DB-4B87-9868-295ED3A9E19A}"/>
    <cellStyle name="Total 2 2 3 2 2 4" xfId="3446" xr:uid="{00000000-0005-0000-0000-0000950B0000}"/>
    <cellStyle name="Total 2 2 3 2 2 4 2" xfId="7340" xr:uid="{00000000-0005-0000-0000-0000960B0000}"/>
    <cellStyle name="Total 2 2 3 2 2 4 3" xfId="11349" xr:uid="{A1FB7D6C-C522-4D8F-A0E6-C12709647F36}"/>
    <cellStyle name="Total 2 2 3 2 2 5" xfId="4624" xr:uid="{00000000-0005-0000-0000-0000970B0000}"/>
    <cellStyle name="Total 2 2 3 2 2 6" xfId="8633" xr:uid="{91EDF507-8BA3-46F1-BEEC-4C3480E58F09}"/>
    <cellStyle name="Total 2 2 3 2 2 7" xfId="12524" xr:uid="{7D3509AA-E236-475C-A256-E000ACB28093}"/>
    <cellStyle name="Total 2 2 3 2 3" xfId="1180" xr:uid="{00000000-0005-0000-0000-0000980B0000}"/>
    <cellStyle name="Total 2 2 3 2 3 2" xfId="2059" xr:uid="{00000000-0005-0000-0000-0000990B0000}"/>
    <cellStyle name="Total 2 2 3 2 3 2 2" xfId="5956" xr:uid="{00000000-0005-0000-0000-00009A0B0000}"/>
    <cellStyle name="Total 2 2 3 2 3 2 3" xfId="9965" xr:uid="{2DDB89FF-B081-4F2D-94E8-1CB35346052A}"/>
    <cellStyle name="Total 2 2 3 2 3 3" xfId="3670" xr:uid="{00000000-0005-0000-0000-00009B0B0000}"/>
    <cellStyle name="Total 2 2 3 2 3 3 2" xfId="7564" xr:uid="{00000000-0005-0000-0000-00009C0B0000}"/>
    <cellStyle name="Total 2 2 3 2 3 3 3" xfId="11573" xr:uid="{85DA7E17-3FA4-4B1D-A957-AD3C93301D83}"/>
    <cellStyle name="Total 2 2 3 2 3 4" xfId="5081" xr:uid="{00000000-0005-0000-0000-00009D0B0000}"/>
    <cellStyle name="Total 2 2 3 2 3 5" xfId="9090" xr:uid="{A1D66CEF-BB28-4026-AB81-1FEB2DCE7157}"/>
    <cellStyle name="Total 2 2 3 2 3 6" xfId="12981" xr:uid="{C7C6367F-B79E-4D44-B4C0-0B88EF4AB293}"/>
    <cellStyle name="Total 2 2 3 2 4" xfId="2056" xr:uid="{00000000-0005-0000-0000-00009E0B0000}"/>
    <cellStyle name="Total 2 2 3 2 4 2" xfId="5953" xr:uid="{00000000-0005-0000-0000-00009F0B0000}"/>
    <cellStyle name="Total 2 2 3 2 4 3" xfId="9962" xr:uid="{21BC9946-F3FE-4D2D-9964-7EA0C63F94B5}"/>
    <cellStyle name="Total 2 2 3 2 5" xfId="3125" xr:uid="{00000000-0005-0000-0000-0000A00B0000}"/>
    <cellStyle name="Total 2 2 3 2 5 2" xfId="7019" xr:uid="{00000000-0005-0000-0000-0000A10B0000}"/>
    <cellStyle name="Total 2 2 3 2 5 3" xfId="11028" xr:uid="{595115CD-A19F-43E2-B549-20CAA206D295}"/>
    <cellStyle name="Total 2 2 3 2 6" xfId="4303" xr:uid="{00000000-0005-0000-0000-0000A20B0000}"/>
    <cellStyle name="Total 2 2 3 2 7" xfId="8312" xr:uid="{679E4B65-9DBF-4BCC-97F4-79FEEB85A7AD}"/>
    <cellStyle name="Total 2 2 3 2 8" xfId="12203" xr:uid="{732484A5-C169-4664-9748-75C2C04A7D3B}"/>
    <cellStyle name="Total 2 2 3 3" xfId="561" xr:uid="{00000000-0005-0000-0000-0000A30B0000}"/>
    <cellStyle name="Total 2 2 3 3 2" xfId="1342" xr:uid="{00000000-0005-0000-0000-0000A40B0000}"/>
    <cellStyle name="Total 2 2 3 3 2 2" xfId="2061" xr:uid="{00000000-0005-0000-0000-0000A50B0000}"/>
    <cellStyle name="Total 2 2 3 3 2 2 2" xfId="5958" xr:uid="{00000000-0005-0000-0000-0000A60B0000}"/>
    <cellStyle name="Total 2 2 3 3 2 2 3" xfId="9967" xr:uid="{776BECD7-70E9-4D66-97D0-57D1D3F15383}"/>
    <cellStyle name="Total 2 2 3 3 2 3" xfId="3769" xr:uid="{00000000-0005-0000-0000-0000A70B0000}"/>
    <cellStyle name="Total 2 2 3 3 2 3 2" xfId="7663" xr:uid="{00000000-0005-0000-0000-0000A80B0000}"/>
    <cellStyle name="Total 2 2 3 3 2 3 3" xfId="11672" xr:uid="{4677A659-5DB9-4C2F-B5F0-28AB0AC69BC9}"/>
    <cellStyle name="Total 2 2 3 3 2 4" xfId="5243" xr:uid="{00000000-0005-0000-0000-0000A90B0000}"/>
    <cellStyle name="Total 2 2 3 3 2 5" xfId="9252" xr:uid="{D9563625-2250-419C-914C-D1A48B8108EB}"/>
    <cellStyle name="Total 2 2 3 3 2 6" xfId="13143" xr:uid="{BC0D7270-B6EB-4F25-9673-5E00763E36C0}"/>
    <cellStyle name="Total 2 2 3 3 3" xfId="2060" xr:uid="{00000000-0005-0000-0000-0000AA0B0000}"/>
    <cellStyle name="Total 2 2 3 3 3 2" xfId="5957" xr:uid="{00000000-0005-0000-0000-0000AB0B0000}"/>
    <cellStyle name="Total 2 2 3 3 3 3" xfId="9966" xr:uid="{14F94A95-E465-4644-BBEA-87AF3104B653}"/>
    <cellStyle name="Total 2 2 3 3 4" xfId="3287" xr:uid="{00000000-0005-0000-0000-0000AC0B0000}"/>
    <cellStyle name="Total 2 2 3 3 4 2" xfId="7181" xr:uid="{00000000-0005-0000-0000-0000AD0B0000}"/>
    <cellStyle name="Total 2 2 3 3 4 3" xfId="11190" xr:uid="{42DECABD-9DE1-4C95-B722-6F8A44D189B1}"/>
    <cellStyle name="Total 2 2 3 3 5" xfId="4465" xr:uid="{00000000-0005-0000-0000-0000AE0B0000}"/>
    <cellStyle name="Total 2 2 3 3 6" xfId="8474" xr:uid="{7903F64F-D51E-468C-B990-E080CD7EC281}"/>
    <cellStyle name="Total 2 2 3 3 7" xfId="12365" xr:uid="{874B8127-0A51-4C43-AB31-B9DA166E434C}"/>
    <cellStyle name="Total 2 2 3 4" xfId="1021" xr:uid="{00000000-0005-0000-0000-0000AF0B0000}"/>
    <cellStyle name="Total 2 2 3 4 2" xfId="2062" xr:uid="{00000000-0005-0000-0000-0000B00B0000}"/>
    <cellStyle name="Total 2 2 3 4 2 2" xfId="5959" xr:uid="{00000000-0005-0000-0000-0000B10B0000}"/>
    <cellStyle name="Total 2 2 3 4 2 3" xfId="9968" xr:uid="{D6112E6D-A85D-437C-83BF-C8D6F4B7021D}"/>
    <cellStyle name="Total 2 2 3 4 3" xfId="3571" xr:uid="{00000000-0005-0000-0000-0000B20B0000}"/>
    <cellStyle name="Total 2 2 3 4 3 2" xfId="7465" xr:uid="{00000000-0005-0000-0000-0000B30B0000}"/>
    <cellStyle name="Total 2 2 3 4 3 3" xfId="11474" xr:uid="{C918C167-F114-4C10-BE86-EFBBD54071E2}"/>
    <cellStyle name="Total 2 2 3 4 4" xfId="4922" xr:uid="{00000000-0005-0000-0000-0000B40B0000}"/>
    <cellStyle name="Total 2 2 3 4 5" xfId="8931" xr:uid="{EAFAE4E6-4F69-4385-B4D7-B171D86FA1DD}"/>
    <cellStyle name="Total 2 2 3 4 6" xfId="12822" xr:uid="{3D3BC54D-3EF5-414C-8329-8AB0A0AB40A4}"/>
    <cellStyle name="Total 2 2 3 5" xfId="2055" xr:uid="{00000000-0005-0000-0000-0000B50B0000}"/>
    <cellStyle name="Total 2 2 3 5 2" xfId="5952" xr:uid="{00000000-0005-0000-0000-0000B60B0000}"/>
    <cellStyle name="Total 2 2 3 5 3" xfId="9961" xr:uid="{131C38E3-71CA-4103-9DDE-DB09EF2CE558}"/>
    <cellStyle name="Total 2 2 3 6" xfId="2966" xr:uid="{00000000-0005-0000-0000-0000B70B0000}"/>
    <cellStyle name="Total 2 2 3 6 2" xfId="6860" xr:uid="{00000000-0005-0000-0000-0000B80B0000}"/>
    <cellStyle name="Total 2 2 3 6 3" xfId="10869" xr:uid="{8683DF15-2667-468C-9D9F-121A8D91C5DD}"/>
    <cellStyle name="Total 2 2 3 7" xfId="4144" xr:uid="{00000000-0005-0000-0000-0000B90B0000}"/>
    <cellStyle name="Total 2 2 3 8" xfId="8153" xr:uid="{2DC7E4C3-77F1-4A63-B408-D9ABCAA31CAC}"/>
    <cellStyle name="Total 2 2 3 9" xfId="12044" xr:uid="{E3A0D3E6-4597-4FA7-9A8F-3418A3284648}"/>
    <cellStyle name="Total 2 2 4" xfId="346" xr:uid="{00000000-0005-0000-0000-0000BA0B0000}"/>
    <cellStyle name="Total 2 2 4 2" xfId="676" xr:uid="{00000000-0005-0000-0000-0000BB0B0000}"/>
    <cellStyle name="Total 2 2 4 2 2" xfId="1457" xr:uid="{00000000-0005-0000-0000-0000BC0B0000}"/>
    <cellStyle name="Total 2 2 4 2 2 2" xfId="2065" xr:uid="{00000000-0005-0000-0000-0000BD0B0000}"/>
    <cellStyle name="Total 2 2 4 2 2 2 2" xfId="5962" xr:uid="{00000000-0005-0000-0000-0000BE0B0000}"/>
    <cellStyle name="Total 2 2 4 2 2 2 3" xfId="9971" xr:uid="{99815F8D-0B11-4688-A761-F82E68F763BC}"/>
    <cellStyle name="Total 2 2 4 2 2 3" xfId="3837" xr:uid="{00000000-0005-0000-0000-0000BF0B0000}"/>
    <cellStyle name="Total 2 2 4 2 2 3 2" xfId="7731" xr:uid="{00000000-0005-0000-0000-0000C00B0000}"/>
    <cellStyle name="Total 2 2 4 2 2 3 3" xfId="11740" xr:uid="{FB16AD52-51D2-441B-BDC0-5ABADDC7A139}"/>
    <cellStyle name="Total 2 2 4 2 2 4" xfId="5358" xr:uid="{00000000-0005-0000-0000-0000C10B0000}"/>
    <cellStyle name="Total 2 2 4 2 2 5" xfId="9367" xr:uid="{1DD33985-457E-4A0A-9672-6922BEDEC970}"/>
    <cellStyle name="Total 2 2 4 2 2 6" xfId="13258" xr:uid="{0DAFCA2E-3CE7-41AF-B01A-A2C2A8947827}"/>
    <cellStyle name="Total 2 2 4 2 3" xfId="2064" xr:uid="{00000000-0005-0000-0000-0000C20B0000}"/>
    <cellStyle name="Total 2 2 4 2 3 2" xfId="5961" xr:uid="{00000000-0005-0000-0000-0000C30B0000}"/>
    <cellStyle name="Total 2 2 4 2 3 3" xfId="9970" xr:uid="{17869F03-F745-424F-BDB1-70F6A7818D23}"/>
    <cellStyle name="Total 2 2 4 2 4" xfId="3402" xr:uid="{00000000-0005-0000-0000-0000C40B0000}"/>
    <cellStyle name="Total 2 2 4 2 4 2" xfId="7296" xr:uid="{00000000-0005-0000-0000-0000C50B0000}"/>
    <cellStyle name="Total 2 2 4 2 4 3" xfId="11305" xr:uid="{1AB6FC98-1807-4A4E-8D14-B0A8D97A0413}"/>
    <cellStyle name="Total 2 2 4 2 5" xfId="4580" xr:uid="{00000000-0005-0000-0000-0000C60B0000}"/>
    <cellStyle name="Total 2 2 4 2 6" xfId="8589" xr:uid="{28E5B927-0474-4220-AE27-03CD70D03392}"/>
    <cellStyle name="Total 2 2 4 2 7" xfId="12480" xr:uid="{C134F337-23A0-481A-BE75-5BE9CD0B2025}"/>
    <cellStyle name="Total 2 2 4 3" xfId="1136" xr:uid="{00000000-0005-0000-0000-0000C70B0000}"/>
    <cellStyle name="Total 2 2 4 3 2" xfId="2066" xr:uid="{00000000-0005-0000-0000-0000C80B0000}"/>
    <cellStyle name="Total 2 2 4 3 2 2" xfId="5963" xr:uid="{00000000-0005-0000-0000-0000C90B0000}"/>
    <cellStyle name="Total 2 2 4 3 2 3" xfId="9972" xr:uid="{D3F68B19-C41E-4AA1-99B6-02E33CC79CCB}"/>
    <cellStyle name="Total 2 2 4 3 3" xfId="3639" xr:uid="{00000000-0005-0000-0000-0000CA0B0000}"/>
    <cellStyle name="Total 2 2 4 3 3 2" xfId="7533" xr:uid="{00000000-0005-0000-0000-0000CB0B0000}"/>
    <cellStyle name="Total 2 2 4 3 3 3" xfId="11542" xr:uid="{A16663C2-D69B-47A9-9B2F-D1DE46F3CE7F}"/>
    <cellStyle name="Total 2 2 4 3 4" xfId="5037" xr:uid="{00000000-0005-0000-0000-0000CC0B0000}"/>
    <cellStyle name="Total 2 2 4 3 5" xfId="9046" xr:uid="{2E16D9A2-3454-40A1-B358-3BA5E804ABB4}"/>
    <cellStyle name="Total 2 2 4 3 6" xfId="12937" xr:uid="{96B2E775-1F40-408E-955B-DAFB4F02BA81}"/>
    <cellStyle name="Total 2 2 4 4" xfId="2063" xr:uid="{00000000-0005-0000-0000-0000CD0B0000}"/>
    <cellStyle name="Total 2 2 4 4 2" xfId="5960" xr:uid="{00000000-0005-0000-0000-0000CE0B0000}"/>
    <cellStyle name="Total 2 2 4 4 3" xfId="9969" xr:uid="{476A84F0-C759-4546-B002-E67AEF72251C}"/>
    <cellStyle name="Total 2 2 4 5" xfId="3081" xr:uid="{00000000-0005-0000-0000-0000CF0B0000}"/>
    <cellStyle name="Total 2 2 4 5 2" xfId="6975" xr:uid="{00000000-0005-0000-0000-0000D00B0000}"/>
    <cellStyle name="Total 2 2 4 5 3" xfId="10984" xr:uid="{E12B9EE9-38F8-4978-A481-4DA0B521F442}"/>
    <cellStyle name="Total 2 2 4 6" xfId="4259" xr:uid="{00000000-0005-0000-0000-0000D10B0000}"/>
    <cellStyle name="Total 2 2 4 7" xfId="8268" xr:uid="{4F102B91-DAB9-4B7F-8EFE-ED07E1C76986}"/>
    <cellStyle name="Total 2 2 4 8" xfId="12159" xr:uid="{72A1CAEF-0FA6-4CDF-B7A6-FC716A4CDAFE}"/>
    <cellStyle name="Total 2 2 5" xfId="511" xr:uid="{00000000-0005-0000-0000-0000D20B0000}"/>
    <cellStyle name="Total 2 2 5 2" xfId="1292" xr:uid="{00000000-0005-0000-0000-0000D30B0000}"/>
    <cellStyle name="Total 2 2 5 2 2" xfId="2068" xr:uid="{00000000-0005-0000-0000-0000D40B0000}"/>
    <cellStyle name="Total 2 2 5 2 2 2" xfId="5965" xr:uid="{00000000-0005-0000-0000-0000D50B0000}"/>
    <cellStyle name="Total 2 2 5 2 2 3" xfId="9974" xr:uid="{A35CDA40-8E0F-497E-AD9C-78A372BA6119}"/>
    <cellStyle name="Total 2 2 5 2 3" xfId="3738" xr:uid="{00000000-0005-0000-0000-0000D60B0000}"/>
    <cellStyle name="Total 2 2 5 2 3 2" xfId="7632" xr:uid="{00000000-0005-0000-0000-0000D70B0000}"/>
    <cellStyle name="Total 2 2 5 2 3 3" xfId="11641" xr:uid="{8C165849-89B2-4E09-89C0-C27B3015E1E9}"/>
    <cellStyle name="Total 2 2 5 2 4" xfId="5193" xr:uid="{00000000-0005-0000-0000-0000D80B0000}"/>
    <cellStyle name="Total 2 2 5 2 5" xfId="9202" xr:uid="{323219E3-5AD7-4800-922B-5ACC431F0838}"/>
    <cellStyle name="Total 2 2 5 2 6" xfId="13093" xr:uid="{4D6A360F-77EF-4E9E-8C5F-65DFFCED094F}"/>
    <cellStyle name="Total 2 2 5 3" xfId="2067" xr:uid="{00000000-0005-0000-0000-0000D90B0000}"/>
    <cellStyle name="Total 2 2 5 3 2" xfId="5964" xr:uid="{00000000-0005-0000-0000-0000DA0B0000}"/>
    <cellStyle name="Total 2 2 5 3 3" xfId="9973" xr:uid="{8A6B02DB-406F-495C-AE2D-D2D2D4D91C2F}"/>
    <cellStyle name="Total 2 2 5 4" xfId="3237" xr:uid="{00000000-0005-0000-0000-0000DB0B0000}"/>
    <cellStyle name="Total 2 2 5 4 2" xfId="7131" xr:uid="{00000000-0005-0000-0000-0000DC0B0000}"/>
    <cellStyle name="Total 2 2 5 4 3" xfId="11140" xr:uid="{EA9A989F-8428-4274-98ED-4F1EBF3B99AE}"/>
    <cellStyle name="Total 2 2 5 5" xfId="4415" xr:uid="{00000000-0005-0000-0000-0000DD0B0000}"/>
    <cellStyle name="Total 2 2 5 6" xfId="8424" xr:uid="{3F4BC60F-98C6-43B1-AED4-548C04B575B7}"/>
    <cellStyle name="Total 2 2 5 7" xfId="12315" xr:uid="{B9E7A826-20D9-47BE-B02E-944C0FCDF003}"/>
    <cellStyle name="Total 2 2 6" xfId="971" xr:uid="{00000000-0005-0000-0000-0000DE0B0000}"/>
    <cellStyle name="Total 2 2 6 2" xfId="2069" xr:uid="{00000000-0005-0000-0000-0000DF0B0000}"/>
    <cellStyle name="Total 2 2 6 2 2" xfId="5966" xr:uid="{00000000-0005-0000-0000-0000E00B0000}"/>
    <cellStyle name="Total 2 2 6 2 3" xfId="9975" xr:uid="{39B62E5E-7892-4556-8CD2-B3CB4D616CB2}"/>
    <cellStyle name="Total 2 2 6 3" xfId="3540" xr:uid="{00000000-0005-0000-0000-0000E10B0000}"/>
    <cellStyle name="Total 2 2 6 3 2" xfId="7434" xr:uid="{00000000-0005-0000-0000-0000E20B0000}"/>
    <cellStyle name="Total 2 2 6 3 3" xfId="11443" xr:uid="{0B282224-2408-41FE-B80B-B0B00B1405C3}"/>
    <cellStyle name="Total 2 2 6 4" xfId="4872" xr:uid="{00000000-0005-0000-0000-0000E30B0000}"/>
    <cellStyle name="Total 2 2 6 5" xfId="8881" xr:uid="{A3EACEC2-9A27-4AD6-BC0E-BB2DD3A1C106}"/>
    <cellStyle name="Total 2 2 6 6" xfId="12772" xr:uid="{3AF86005-D320-4DD6-9B79-201F07BA01A4}"/>
    <cellStyle name="Total 2 2 7" xfId="2046" xr:uid="{00000000-0005-0000-0000-0000E40B0000}"/>
    <cellStyle name="Total 2 2 7 2" xfId="5943" xr:uid="{00000000-0005-0000-0000-0000E50B0000}"/>
    <cellStyle name="Total 2 2 7 3" xfId="9952" xr:uid="{2AC7D872-DD43-435D-AABE-E6E790E13986}"/>
    <cellStyle name="Total 2 2 8" xfId="2916" xr:uid="{00000000-0005-0000-0000-0000E60B0000}"/>
    <cellStyle name="Total 2 2 8 2" xfId="6810" xr:uid="{00000000-0005-0000-0000-0000E70B0000}"/>
    <cellStyle name="Total 2 2 8 3" xfId="10819" xr:uid="{F590FB7E-AF73-4783-BECC-8376942ED682}"/>
    <cellStyle name="Total 2 2 9" xfId="4094" xr:uid="{00000000-0005-0000-0000-0000E80B0000}"/>
    <cellStyle name="Total 2 3" xfId="242" xr:uid="{00000000-0005-0000-0000-0000E90B0000}"/>
    <cellStyle name="Total 2 3 10" xfId="13491" xr:uid="{48F05617-0711-4B67-B3F8-607799E510F0}"/>
    <cellStyle name="Total 2 3 2" xfId="401" xr:uid="{00000000-0005-0000-0000-0000EA0B0000}"/>
    <cellStyle name="Total 2 3 2 2" xfId="731" xr:uid="{00000000-0005-0000-0000-0000EB0B0000}"/>
    <cellStyle name="Total 2 3 2 2 2" xfId="1512" xr:uid="{00000000-0005-0000-0000-0000EC0B0000}"/>
    <cellStyle name="Total 2 3 2 2 2 2" xfId="2073" xr:uid="{00000000-0005-0000-0000-0000ED0B0000}"/>
    <cellStyle name="Total 2 3 2 2 2 2 2" xfId="5970" xr:uid="{00000000-0005-0000-0000-0000EE0B0000}"/>
    <cellStyle name="Total 2 3 2 2 2 2 3" xfId="9979" xr:uid="{B16BFB1A-76CD-41B6-ADED-C43F9BAAC888}"/>
    <cellStyle name="Total 2 3 2 2 2 3" xfId="3875" xr:uid="{00000000-0005-0000-0000-0000EF0B0000}"/>
    <cellStyle name="Total 2 3 2 2 2 3 2" xfId="7769" xr:uid="{00000000-0005-0000-0000-0000F00B0000}"/>
    <cellStyle name="Total 2 3 2 2 2 3 3" xfId="11778" xr:uid="{3727FE7D-B7DD-4138-B83F-84032A6B179A}"/>
    <cellStyle name="Total 2 3 2 2 2 4" xfId="5413" xr:uid="{00000000-0005-0000-0000-0000F10B0000}"/>
    <cellStyle name="Total 2 3 2 2 2 5" xfId="9422" xr:uid="{BF69E60B-17E3-490E-A78C-14E09410E702}"/>
    <cellStyle name="Total 2 3 2 2 2 6" xfId="13313" xr:uid="{565649CC-90E0-425D-9663-483B5580A0A3}"/>
    <cellStyle name="Total 2 3 2 2 3" xfId="2072" xr:uid="{00000000-0005-0000-0000-0000F20B0000}"/>
    <cellStyle name="Total 2 3 2 2 3 2" xfId="5969" xr:uid="{00000000-0005-0000-0000-0000F30B0000}"/>
    <cellStyle name="Total 2 3 2 2 3 3" xfId="9978" xr:uid="{9ABBE1E6-4A50-4F4C-8D94-E9CBC0DFCF95}"/>
    <cellStyle name="Total 2 3 2 2 4" xfId="3457" xr:uid="{00000000-0005-0000-0000-0000F40B0000}"/>
    <cellStyle name="Total 2 3 2 2 4 2" xfId="7351" xr:uid="{00000000-0005-0000-0000-0000F50B0000}"/>
    <cellStyle name="Total 2 3 2 2 4 3" xfId="11360" xr:uid="{6FC87A4C-2F2A-44CD-8C40-EBB65357901F}"/>
    <cellStyle name="Total 2 3 2 2 5" xfId="4635" xr:uid="{00000000-0005-0000-0000-0000F60B0000}"/>
    <cellStyle name="Total 2 3 2 2 6" xfId="8644" xr:uid="{D077D8E6-BF19-4000-B1A2-6DDDFEED34AD}"/>
    <cellStyle name="Total 2 3 2 2 7" xfId="12535" xr:uid="{F763BECE-C011-4A84-9FA6-DE5143D5B653}"/>
    <cellStyle name="Total 2 3 2 3" xfId="1191" xr:uid="{00000000-0005-0000-0000-0000F70B0000}"/>
    <cellStyle name="Total 2 3 2 3 2" xfId="2074" xr:uid="{00000000-0005-0000-0000-0000F80B0000}"/>
    <cellStyle name="Total 2 3 2 3 2 2" xfId="5971" xr:uid="{00000000-0005-0000-0000-0000F90B0000}"/>
    <cellStyle name="Total 2 3 2 3 2 3" xfId="9980" xr:uid="{4C4DD160-2D22-440A-AD80-6E9D2C20F7B8}"/>
    <cellStyle name="Total 2 3 2 3 3" xfId="3677" xr:uid="{00000000-0005-0000-0000-0000FA0B0000}"/>
    <cellStyle name="Total 2 3 2 3 3 2" xfId="7571" xr:uid="{00000000-0005-0000-0000-0000FB0B0000}"/>
    <cellStyle name="Total 2 3 2 3 3 3" xfId="11580" xr:uid="{A94B36D4-097D-427F-BC6D-2E41DDB701ED}"/>
    <cellStyle name="Total 2 3 2 3 4" xfId="5092" xr:uid="{00000000-0005-0000-0000-0000FC0B0000}"/>
    <cellStyle name="Total 2 3 2 3 5" xfId="9101" xr:uid="{BA33530A-5DD0-40F7-856C-828AE2BD402C}"/>
    <cellStyle name="Total 2 3 2 3 6" xfId="12992" xr:uid="{FBCC7697-3323-4DC8-8E9D-85596EA3B441}"/>
    <cellStyle name="Total 2 3 2 4" xfId="2071" xr:uid="{00000000-0005-0000-0000-0000FD0B0000}"/>
    <cellStyle name="Total 2 3 2 4 2" xfId="5968" xr:uid="{00000000-0005-0000-0000-0000FE0B0000}"/>
    <cellStyle name="Total 2 3 2 4 3" xfId="9977" xr:uid="{03032063-66EA-479F-849C-C1DD53545034}"/>
    <cellStyle name="Total 2 3 2 5" xfId="3136" xr:uid="{00000000-0005-0000-0000-0000FF0B0000}"/>
    <cellStyle name="Total 2 3 2 5 2" xfId="7030" xr:uid="{00000000-0005-0000-0000-0000000C0000}"/>
    <cellStyle name="Total 2 3 2 5 3" xfId="11039" xr:uid="{2FDE7576-1250-4B16-B7D9-235CB103F02D}"/>
    <cellStyle name="Total 2 3 2 6" xfId="4314" xr:uid="{00000000-0005-0000-0000-0000010C0000}"/>
    <cellStyle name="Total 2 3 2 7" xfId="8323" xr:uid="{4350FF55-9F4B-49C4-8982-21453BEAD496}"/>
    <cellStyle name="Total 2 3 2 8" xfId="12214" xr:uid="{2DE98F6B-036B-40AC-B27B-7782C9550814}"/>
    <cellStyle name="Total 2 3 3" xfId="572" xr:uid="{00000000-0005-0000-0000-0000020C0000}"/>
    <cellStyle name="Total 2 3 3 2" xfId="1353" xr:uid="{00000000-0005-0000-0000-0000030C0000}"/>
    <cellStyle name="Total 2 3 3 2 2" xfId="2076" xr:uid="{00000000-0005-0000-0000-0000040C0000}"/>
    <cellStyle name="Total 2 3 3 2 2 2" xfId="5973" xr:uid="{00000000-0005-0000-0000-0000050C0000}"/>
    <cellStyle name="Total 2 3 3 2 2 3" xfId="9982" xr:uid="{6E122F8C-3A9C-4C8C-A514-6A6CE8E2E2CF}"/>
    <cellStyle name="Total 2 3 3 2 3" xfId="3776" xr:uid="{00000000-0005-0000-0000-0000060C0000}"/>
    <cellStyle name="Total 2 3 3 2 3 2" xfId="7670" xr:uid="{00000000-0005-0000-0000-0000070C0000}"/>
    <cellStyle name="Total 2 3 3 2 3 3" xfId="11679" xr:uid="{A38DB68E-5AC2-4018-995C-98BBC8E48DC1}"/>
    <cellStyle name="Total 2 3 3 2 4" xfId="5254" xr:uid="{00000000-0005-0000-0000-0000080C0000}"/>
    <cellStyle name="Total 2 3 3 2 5" xfId="9263" xr:uid="{DC64AB37-99AC-403E-B628-90B454C27B13}"/>
    <cellStyle name="Total 2 3 3 2 6" xfId="13154" xr:uid="{5B2FA89E-00B5-43FA-97CB-5B8B19D58B5F}"/>
    <cellStyle name="Total 2 3 3 3" xfId="2075" xr:uid="{00000000-0005-0000-0000-0000090C0000}"/>
    <cellStyle name="Total 2 3 3 3 2" xfId="5972" xr:uid="{00000000-0005-0000-0000-00000A0C0000}"/>
    <cellStyle name="Total 2 3 3 3 3" xfId="9981" xr:uid="{A0349A9E-903D-4534-9316-CA1CE8F3E7E5}"/>
    <cellStyle name="Total 2 3 3 4" xfId="3298" xr:uid="{00000000-0005-0000-0000-00000B0C0000}"/>
    <cellStyle name="Total 2 3 3 4 2" xfId="7192" xr:uid="{00000000-0005-0000-0000-00000C0C0000}"/>
    <cellStyle name="Total 2 3 3 4 3" xfId="11201" xr:uid="{EA0C837E-C8BB-4264-B585-64B1B5F363BA}"/>
    <cellStyle name="Total 2 3 3 5" xfId="4476" xr:uid="{00000000-0005-0000-0000-00000D0C0000}"/>
    <cellStyle name="Total 2 3 3 6" xfId="8485" xr:uid="{83D60C0E-882B-4F0D-88C7-FF84A37FC8B4}"/>
    <cellStyle name="Total 2 3 3 7" xfId="12376" xr:uid="{53B61285-CE82-4979-B9A5-271837B92DCD}"/>
    <cellStyle name="Total 2 3 4" xfId="1032" xr:uid="{00000000-0005-0000-0000-00000E0C0000}"/>
    <cellStyle name="Total 2 3 4 2" xfId="2077" xr:uid="{00000000-0005-0000-0000-00000F0C0000}"/>
    <cellStyle name="Total 2 3 4 2 2" xfId="5974" xr:uid="{00000000-0005-0000-0000-0000100C0000}"/>
    <cellStyle name="Total 2 3 4 2 3" xfId="9983" xr:uid="{116F6620-C055-4F57-B83D-29793B2985B4}"/>
    <cellStyle name="Total 2 3 4 3" xfId="3578" xr:uid="{00000000-0005-0000-0000-0000110C0000}"/>
    <cellStyle name="Total 2 3 4 3 2" xfId="7472" xr:uid="{00000000-0005-0000-0000-0000120C0000}"/>
    <cellStyle name="Total 2 3 4 3 3" xfId="11481" xr:uid="{640AD69A-EAEF-4F4D-9D70-A9CB0EDF02AD}"/>
    <cellStyle name="Total 2 3 4 4" xfId="4933" xr:uid="{00000000-0005-0000-0000-0000130C0000}"/>
    <cellStyle name="Total 2 3 4 5" xfId="8942" xr:uid="{28C5EF65-4714-4D0A-9506-B560246FFB92}"/>
    <cellStyle name="Total 2 3 4 6" xfId="12833" xr:uid="{8FC07A06-65B9-45C2-BE18-1825A870A0A4}"/>
    <cellStyle name="Total 2 3 5" xfId="2070" xr:uid="{00000000-0005-0000-0000-0000140C0000}"/>
    <cellStyle name="Total 2 3 5 2" xfId="5967" xr:uid="{00000000-0005-0000-0000-0000150C0000}"/>
    <cellStyle name="Total 2 3 5 3" xfId="9976" xr:uid="{0B7E1E9F-37EA-4C54-8ECD-CB8414B123FC}"/>
    <cellStyle name="Total 2 3 6" xfId="2977" xr:uid="{00000000-0005-0000-0000-0000160C0000}"/>
    <cellStyle name="Total 2 3 6 2" xfId="6871" xr:uid="{00000000-0005-0000-0000-0000170C0000}"/>
    <cellStyle name="Total 2 3 6 3" xfId="10880" xr:uid="{618E2653-9A8C-4038-9B75-6BE9E6D5CCED}"/>
    <cellStyle name="Total 2 3 7" xfId="4155" xr:uid="{00000000-0005-0000-0000-0000180C0000}"/>
    <cellStyle name="Total 2 3 8" xfId="8164" xr:uid="{49F4D498-819B-470D-8C1D-14586FB6B265}"/>
    <cellStyle name="Total 2 3 9" xfId="12055" xr:uid="{BFAAC793-B827-44EA-B3E3-CE7C9095434A}"/>
    <cellStyle name="Total 2 4" xfId="196" xr:uid="{00000000-0005-0000-0000-0000190C0000}"/>
    <cellStyle name="Total 2 4 10" xfId="13445" xr:uid="{A31AA765-407B-47AD-ABB7-6F1B162F78E8}"/>
    <cellStyle name="Total 2 4 2" xfId="360" xr:uid="{00000000-0005-0000-0000-00001A0C0000}"/>
    <cellStyle name="Total 2 4 2 2" xfId="690" xr:uid="{00000000-0005-0000-0000-00001B0C0000}"/>
    <cellStyle name="Total 2 4 2 2 2" xfId="1471" xr:uid="{00000000-0005-0000-0000-00001C0C0000}"/>
    <cellStyle name="Total 2 4 2 2 2 2" xfId="2081" xr:uid="{00000000-0005-0000-0000-00001D0C0000}"/>
    <cellStyle name="Total 2 4 2 2 2 2 2" xfId="5978" xr:uid="{00000000-0005-0000-0000-00001E0C0000}"/>
    <cellStyle name="Total 2 4 2 2 2 2 3" xfId="9987" xr:uid="{121710FC-E7DA-4E34-B2F7-DC65976E4CDD}"/>
    <cellStyle name="Total 2 4 2 2 2 3" xfId="3847" xr:uid="{00000000-0005-0000-0000-00001F0C0000}"/>
    <cellStyle name="Total 2 4 2 2 2 3 2" xfId="7741" xr:uid="{00000000-0005-0000-0000-0000200C0000}"/>
    <cellStyle name="Total 2 4 2 2 2 3 3" xfId="11750" xr:uid="{4118AD29-289F-47BF-B33D-64AD460A4967}"/>
    <cellStyle name="Total 2 4 2 2 2 4" xfId="5372" xr:uid="{00000000-0005-0000-0000-0000210C0000}"/>
    <cellStyle name="Total 2 4 2 2 2 5" xfId="9381" xr:uid="{987864F2-EAFA-42B5-B670-C22766B619AC}"/>
    <cellStyle name="Total 2 4 2 2 2 6" xfId="13272" xr:uid="{2E8E0071-E8C4-493B-9126-3BC11A6631F2}"/>
    <cellStyle name="Total 2 4 2 2 3" xfId="2080" xr:uid="{00000000-0005-0000-0000-0000220C0000}"/>
    <cellStyle name="Total 2 4 2 2 3 2" xfId="5977" xr:uid="{00000000-0005-0000-0000-0000230C0000}"/>
    <cellStyle name="Total 2 4 2 2 3 3" xfId="9986" xr:uid="{539B3A48-CA33-4B08-8CFF-A1E86A1F8296}"/>
    <cellStyle name="Total 2 4 2 2 4" xfId="3416" xr:uid="{00000000-0005-0000-0000-0000240C0000}"/>
    <cellStyle name="Total 2 4 2 2 4 2" xfId="7310" xr:uid="{00000000-0005-0000-0000-0000250C0000}"/>
    <cellStyle name="Total 2 4 2 2 4 3" xfId="11319" xr:uid="{4C4579AB-4CE0-48A2-B7A5-2C4AAF52BD46}"/>
    <cellStyle name="Total 2 4 2 2 5" xfId="4594" xr:uid="{00000000-0005-0000-0000-0000260C0000}"/>
    <cellStyle name="Total 2 4 2 2 6" xfId="8603" xr:uid="{9D3C43E6-7D27-443A-89ED-732C5014B0D7}"/>
    <cellStyle name="Total 2 4 2 2 7" xfId="12494" xr:uid="{83B1D5C7-E4F4-4AC4-83CC-C4247CD76F4E}"/>
    <cellStyle name="Total 2 4 2 3" xfId="1150" xr:uid="{00000000-0005-0000-0000-0000270C0000}"/>
    <cellStyle name="Total 2 4 2 3 2" xfId="2082" xr:uid="{00000000-0005-0000-0000-0000280C0000}"/>
    <cellStyle name="Total 2 4 2 3 2 2" xfId="5979" xr:uid="{00000000-0005-0000-0000-0000290C0000}"/>
    <cellStyle name="Total 2 4 2 3 2 3" xfId="9988" xr:uid="{D01FB527-778A-41A1-9F7C-FBD5E46284C9}"/>
    <cellStyle name="Total 2 4 2 3 3" xfId="3649" xr:uid="{00000000-0005-0000-0000-00002A0C0000}"/>
    <cellStyle name="Total 2 4 2 3 3 2" xfId="7543" xr:uid="{00000000-0005-0000-0000-00002B0C0000}"/>
    <cellStyle name="Total 2 4 2 3 3 3" xfId="11552" xr:uid="{485EFAE3-D00E-450A-BF7D-2A7A41A8A175}"/>
    <cellStyle name="Total 2 4 2 3 4" xfId="5051" xr:uid="{00000000-0005-0000-0000-00002C0C0000}"/>
    <cellStyle name="Total 2 4 2 3 5" xfId="9060" xr:uid="{B098B612-81C1-4D57-9F92-D32475AC1543}"/>
    <cellStyle name="Total 2 4 2 3 6" xfId="12951" xr:uid="{EDC6F0B4-0DA4-4A82-9BC2-FCB0F00502F4}"/>
    <cellStyle name="Total 2 4 2 4" xfId="2079" xr:uid="{00000000-0005-0000-0000-00002D0C0000}"/>
    <cellStyle name="Total 2 4 2 4 2" xfId="5976" xr:uid="{00000000-0005-0000-0000-00002E0C0000}"/>
    <cellStyle name="Total 2 4 2 4 3" xfId="9985" xr:uid="{1572094F-2A1A-48E0-B800-EF2038C18D00}"/>
    <cellStyle name="Total 2 4 2 5" xfId="3095" xr:uid="{00000000-0005-0000-0000-00002F0C0000}"/>
    <cellStyle name="Total 2 4 2 5 2" xfId="6989" xr:uid="{00000000-0005-0000-0000-0000300C0000}"/>
    <cellStyle name="Total 2 4 2 5 3" xfId="10998" xr:uid="{71464A87-0EEC-43D1-8E9D-96BD710FFA60}"/>
    <cellStyle name="Total 2 4 2 6" xfId="4273" xr:uid="{00000000-0005-0000-0000-0000310C0000}"/>
    <cellStyle name="Total 2 4 2 7" xfId="8282" xr:uid="{E0AEB8A5-1D27-4ADF-9CEF-D7A8D54702C8}"/>
    <cellStyle name="Total 2 4 2 8" xfId="12173" xr:uid="{437EF6FA-CB46-4D4A-B9E8-92186489A355}"/>
    <cellStyle name="Total 2 4 3" xfId="526" xr:uid="{00000000-0005-0000-0000-0000320C0000}"/>
    <cellStyle name="Total 2 4 3 2" xfId="1307" xr:uid="{00000000-0005-0000-0000-0000330C0000}"/>
    <cellStyle name="Total 2 4 3 2 2" xfId="2084" xr:uid="{00000000-0005-0000-0000-0000340C0000}"/>
    <cellStyle name="Total 2 4 3 2 2 2" xfId="5981" xr:uid="{00000000-0005-0000-0000-0000350C0000}"/>
    <cellStyle name="Total 2 4 3 2 2 3" xfId="9990" xr:uid="{B7EDE8A3-16E4-4124-812A-BCBBA9E77EF3}"/>
    <cellStyle name="Total 2 4 3 2 3" xfId="3748" xr:uid="{00000000-0005-0000-0000-0000360C0000}"/>
    <cellStyle name="Total 2 4 3 2 3 2" xfId="7642" xr:uid="{00000000-0005-0000-0000-0000370C0000}"/>
    <cellStyle name="Total 2 4 3 2 3 3" xfId="11651" xr:uid="{C5A65439-184B-4560-8DCC-0F6A3C0C8277}"/>
    <cellStyle name="Total 2 4 3 2 4" xfId="5208" xr:uid="{00000000-0005-0000-0000-0000380C0000}"/>
    <cellStyle name="Total 2 4 3 2 5" xfId="9217" xr:uid="{47D092E4-EC49-4028-ABF6-B6D3AB1C85AD}"/>
    <cellStyle name="Total 2 4 3 2 6" xfId="13108" xr:uid="{38540386-4F8D-421E-B7C3-AC2BAF755842}"/>
    <cellStyle name="Total 2 4 3 3" xfId="2083" xr:uid="{00000000-0005-0000-0000-0000390C0000}"/>
    <cellStyle name="Total 2 4 3 3 2" xfId="5980" xr:uid="{00000000-0005-0000-0000-00003A0C0000}"/>
    <cellStyle name="Total 2 4 3 3 3" xfId="9989" xr:uid="{C7988CA6-D13F-4868-AD83-9ECFE58AB1B1}"/>
    <cellStyle name="Total 2 4 3 4" xfId="3252" xr:uid="{00000000-0005-0000-0000-00003B0C0000}"/>
    <cellStyle name="Total 2 4 3 4 2" xfId="7146" xr:uid="{00000000-0005-0000-0000-00003C0C0000}"/>
    <cellStyle name="Total 2 4 3 4 3" xfId="11155" xr:uid="{189BB7F2-1CB5-452B-B83A-C4C5E1EE0BBE}"/>
    <cellStyle name="Total 2 4 3 5" xfId="4430" xr:uid="{00000000-0005-0000-0000-00003D0C0000}"/>
    <cellStyle name="Total 2 4 3 6" xfId="8439" xr:uid="{CB6CFB19-F443-433A-9385-A16EA18D85F7}"/>
    <cellStyle name="Total 2 4 3 7" xfId="12330" xr:uid="{81F31C3E-C9FD-4EEE-B4AA-2259B88E36AB}"/>
    <cellStyle name="Total 2 4 4" xfId="986" xr:uid="{00000000-0005-0000-0000-00003E0C0000}"/>
    <cellStyle name="Total 2 4 4 2" xfId="2085" xr:uid="{00000000-0005-0000-0000-00003F0C0000}"/>
    <cellStyle name="Total 2 4 4 2 2" xfId="5982" xr:uid="{00000000-0005-0000-0000-0000400C0000}"/>
    <cellStyle name="Total 2 4 4 2 3" xfId="9991" xr:uid="{B5753463-098F-4554-BDA3-9ED7753226AF}"/>
    <cellStyle name="Total 2 4 4 3" xfId="3550" xr:uid="{00000000-0005-0000-0000-0000410C0000}"/>
    <cellStyle name="Total 2 4 4 3 2" xfId="7444" xr:uid="{00000000-0005-0000-0000-0000420C0000}"/>
    <cellStyle name="Total 2 4 4 3 3" xfId="11453" xr:uid="{F0314CE0-E80F-4244-958C-96DD03BDC003}"/>
    <cellStyle name="Total 2 4 4 4" xfId="4887" xr:uid="{00000000-0005-0000-0000-0000430C0000}"/>
    <cellStyle name="Total 2 4 4 5" xfId="8896" xr:uid="{EABA5ACA-9CC2-4D0E-9C88-B0A39ED3325A}"/>
    <cellStyle name="Total 2 4 4 6" xfId="12787" xr:uid="{B90F5616-E684-4CAF-A5AD-D4D7134F5151}"/>
    <cellStyle name="Total 2 4 5" xfId="2078" xr:uid="{00000000-0005-0000-0000-0000440C0000}"/>
    <cellStyle name="Total 2 4 5 2" xfId="5975" xr:uid="{00000000-0005-0000-0000-0000450C0000}"/>
    <cellStyle name="Total 2 4 5 3" xfId="9984" xr:uid="{FDD2157D-F133-48A9-8DE1-AABB832E274E}"/>
    <cellStyle name="Total 2 4 6" xfId="2931" xr:uid="{00000000-0005-0000-0000-0000460C0000}"/>
    <cellStyle name="Total 2 4 6 2" xfId="6825" xr:uid="{00000000-0005-0000-0000-0000470C0000}"/>
    <cellStyle name="Total 2 4 6 3" xfId="10834" xr:uid="{EC776F4E-6D8B-4DE8-8AC2-55FAA9D907E1}"/>
    <cellStyle name="Total 2 4 7" xfId="4109" xr:uid="{00000000-0005-0000-0000-0000480C0000}"/>
    <cellStyle name="Total 2 4 8" xfId="8118" xr:uid="{671A4BD2-2E38-457C-8F67-BA9B480423E4}"/>
    <cellStyle name="Total 2 4 9" xfId="12009" xr:uid="{ED97D159-2F44-4A0B-B5F8-D1915F0E1952}"/>
    <cellStyle name="Total 2 5" xfId="322" xr:uid="{00000000-0005-0000-0000-0000490C0000}"/>
    <cellStyle name="Total 2 5 2" xfId="652" xr:uid="{00000000-0005-0000-0000-00004A0C0000}"/>
    <cellStyle name="Total 2 5 2 2" xfId="1433" xr:uid="{00000000-0005-0000-0000-00004B0C0000}"/>
    <cellStyle name="Total 2 5 2 2 2" xfId="2088" xr:uid="{00000000-0005-0000-0000-00004C0C0000}"/>
    <cellStyle name="Total 2 5 2 2 2 2" xfId="5985" xr:uid="{00000000-0005-0000-0000-00004D0C0000}"/>
    <cellStyle name="Total 2 5 2 2 2 3" xfId="9994" xr:uid="{36A88E3C-9AA4-46C6-9F87-0D5F176AB84A}"/>
    <cellStyle name="Total 2 5 2 2 3" xfId="3823" xr:uid="{00000000-0005-0000-0000-00004E0C0000}"/>
    <cellStyle name="Total 2 5 2 2 3 2" xfId="7717" xr:uid="{00000000-0005-0000-0000-00004F0C0000}"/>
    <cellStyle name="Total 2 5 2 2 3 3" xfId="11726" xr:uid="{5043FD68-FC95-41A5-8B0A-D01720823D9C}"/>
    <cellStyle name="Total 2 5 2 2 4" xfId="5334" xr:uid="{00000000-0005-0000-0000-0000500C0000}"/>
    <cellStyle name="Total 2 5 2 2 5" xfId="9343" xr:uid="{92CBDA1C-74E1-45A1-BC2F-208DED9DCEF9}"/>
    <cellStyle name="Total 2 5 2 2 6" xfId="13234" xr:uid="{5B9C15D8-C85A-42F4-B068-B455D4EE1219}"/>
    <cellStyle name="Total 2 5 2 3" xfId="2087" xr:uid="{00000000-0005-0000-0000-0000510C0000}"/>
    <cellStyle name="Total 2 5 2 3 2" xfId="5984" xr:uid="{00000000-0005-0000-0000-0000520C0000}"/>
    <cellStyle name="Total 2 5 2 3 3" xfId="9993" xr:uid="{0BD1D5AA-FFD3-4BD8-A10D-18691774E64C}"/>
    <cellStyle name="Total 2 5 2 4" xfId="3378" xr:uid="{00000000-0005-0000-0000-0000530C0000}"/>
    <cellStyle name="Total 2 5 2 4 2" xfId="7272" xr:uid="{00000000-0005-0000-0000-0000540C0000}"/>
    <cellStyle name="Total 2 5 2 4 3" xfId="11281" xr:uid="{4F7FFD3B-A112-401C-9EED-DB680102D35D}"/>
    <cellStyle name="Total 2 5 2 5" xfId="4556" xr:uid="{00000000-0005-0000-0000-0000550C0000}"/>
    <cellStyle name="Total 2 5 2 6" xfId="8565" xr:uid="{F7395D6C-17F5-4F12-A420-F2782F532A77}"/>
    <cellStyle name="Total 2 5 2 7" xfId="12456" xr:uid="{900C14C9-B99E-413E-B684-96454CB65180}"/>
    <cellStyle name="Total 2 5 3" xfId="1112" xr:uid="{00000000-0005-0000-0000-0000560C0000}"/>
    <cellStyle name="Total 2 5 3 2" xfId="2089" xr:uid="{00000000-0005-0000-0000-0000570C0000}"/>
    <cellStyle name="Total 2 5 3 2 2" xfId="5986" xr:uid="{00000000-0005-0000-0000-0000580C0000}"/>
    <cellStyle name="Total 2 5 3 2 3" xfId="9995" xr:uid="{775F2971-ECCA-48D0-BCC1-27453ECCDC72}"/>
    <cellStyle name="Total 2 5 3 3" xfId="3625" xr:uid="{00000000-0005-0000-0000-0000590C0000}"/>
    <cellStyle name="Total 2 5 3 3 2" xfId="7519" xr:uid="{00000000-0005-0000-0000-00005A0C0000}"/>
    <cellStyle name="Total 2 5 3 3 3" xfId="11528" xr:uid="{9B5AE642-288A-4661-81AD-61EE9BD03029}"/>
    <cellStyle name="Total 2 5 3 4" xfId="5013" xr:uid="{00000000-0005-0000-0000-00005B0C0000}"/>
    <cellStyle name="Total 2 5 3 5" xfId="9022" xr:uid="{B80E1437-EB61-4E07-AB56-2FA8596A2210}"/>
    <cellStyle name="Total 2 5 3 6" xfId="12913" xr:uid="{C58C29ED-0683-4AF0-866F-5D33D96FE30B}"/>
    <cellStyle name="Total 2 5 4" xfId="2086" xr:uid="{00000000-0005-0000-0000-00005C0C0000}"/>
    <cellStyle name="Total 2 5 4 2" xfId="5983" xr:uid="{00000000-0005-0000-0000-00005D0C0000}"/>
    <cellStyle name="Total 2 5 4 3" xfId="9992" xr:uid="{047FF048-96EC-4179-B7A9-7CE91F9CDCE1}"/>
    <cellStyle name="Total 2 5 5" xfId="3057" xr:uid="{00000000-0005-0000-0000-00005E0C0000}"/>
    <cellStyle name="Total 2 5 5 2" xfId="6951" xr:uid="{00000000-0005-0000-0000-00005F0C0000}"/>
    <cellStyle name="Total 2 5 5 3" xfId="10960" xr:uid="{918B137D-107F-4335-BFE3-D97B155383F2}"/>
    <cellStyle name="Total 2 5 6" xfId="4235" xr:uid="{00000000-0005-0000-0000-0000600C0000}"/>
    <cellStyle name="Total 2 5 7" xfId="8244" xr:uid="{0D6BA3BF-4B0B-4520-8420-5C533539A524}"/>
    <cellStyle name="Total 2 5 8" xfId="12135" xr:uid="{E35ABF3D-AF47-40D7-ADF6-D64BE718C77D}"/>
    <cellStyle name="Total 2 6" xfId="484" xr:uid="{00000000-0005-0000-0000-0000610C0000}"/>
    <cellStyle name="Total 2 6 2" xfId="1268" xr:uid="{00000000-0005-0000-0000-0000620C0000}"/>
    <cellStyle name="Total 2 6 2 2" xfId="2091" xr:uid="{00000000-0005-0000-0000-0000630C0000}"/>
    <cellStyle name="Total 2 6 2 2 2" xfId="5988" xr:uid="{00000000-0005-0000-0000-0000640C0000}"/>
    <cellStyle name="Total 2 6 2 2 3" xfId="9997" xr:uid="{7C548CA9-47C7-4FB6-8FCA-B5FC4E106937}"/>
    <cellStyle name="Total 2 6 2 3" xfId="3724" xr:uid="{00000000-0005-0000-0000-0000650C0000}"/>
    <cellStyle name="Total 2 6 2 3 2" xfId="7618" xr:uid="{00000000-0005-0000-0000-0000660C0000}"/>
    <cellStyle name="Total 2 6 2 3 3" xfId="11627" xr:uid="{C610BBBE-4C9C-4616-89A8-CDE718C156EA}"/>
    <cellStyle name="Total 2 6 2 4" xfId="5169" xr:uid="{00000000-0005-0000-0000-0000670C0000}"/>
    <cellStyle name="Total 2 6 2 5" xfId="9178" xr:uid="{1796A5F1-1B30-4DF5-8A23-3C17F12BB526}"/>
    <cellStyle name="Total 2 6 2 6" xfId="13069" xr:uid="{0D3122D8-33DC-4D8F-9DBB-5A02914A40FE}"/>
    <cellStyle name="Total 2 6 3" xfId="2090" xr:uid="{00000000-0005-0000-0000-0000680C0000}"/>
    <cellStyle name="Total 2 6 3 2" xfId="5987" xr:uid="{00000000-0005-0000-0000-0000690C0000}"/>
    <cellStyle name="Total 2 6 3 3" xfId="9996" xr:uid="{0D8F7C1E-CB71-4E9B-AE78-0719EF66A311}"/>
    <cellStyle name="Total 2 6 4" xfId="3213" xr:uid="{00000000-0005-0000-0000-00006A0C0000}"/>
    <cellStyle name="Total 2 6 4 2" xfId="7107" xr:uid="{00000000-0005-0000-0000-00006B0C0000}"/>
    <cellStyle name="Total 2 6 4 3" xfId="11116" xr:uid="{D7B7D80F-BD61-44B6-85D5-D4D921AF3F90}"/>
    <cellStyle name="Total 2 6 5" xfId="4391" xr:uid="{00000000-0005-0000-0000-00006C0C0000}"/>
    <cellStyle name="Total 2 6 6" xfId="8400" xr:uid="{0C06BF1D-D26B-49C3-ACEB-6A2BB9B6FEE1}"/>
    <cellStyle name="Total 2 6 7" xfId="12291" xr:uid="{223A64DD-4DD3-4769-BC11-1B9B0414CC76}"/>
    <cellStyle name="Total 2 7" xfId="947" xr:uid="{00000000-0005-0000-0000-00006D0C0000}"/>
    <cellStyle name="Total 2 7 2" xfId="2092" xr:uid="{00000000-0005-0000-0000-00006E0C0000}"/>
    <cellStyle name="Total 2 7 2 2" xfId="5989" xr:uid="{00000000-0005-0000-0000-00006F0C0000}"/>
    <cellStyle name="Total 2 7 2 3" xfId="9998" xr:uid="{342C4ACA-962E-47F8-91A7-7F7365DC922D}"/>
    <cellStyle name="Total 2 7 3" xfId="3526" xr:uid="{00000000-0005-0000-0000-0000700C0000}"/>
    <cellStyle name="Total 2 7 3 2" xfId="7420" xr:uid="{00000000-0005-0000-0000-0000710C0000}"/>
    <cellStyle name="Total 2 7 3 3" xfId="11429" xr:uid="{230BE988-CCAA-4857-AF35-13578962E008}"/>
    <cellStyle name="Total 2 7 4" xfId="4848" xr:uid="{00000000-0005-0000-0000-0000720C0000}"/>
    <cellStyle name="Total 2 7 5" xfId="8857" xr:uid="{1D1865CB-4B73-4633-8962-6BD6D946BCDF}"/>
    <cellStyle name="Total 2 7 6" xfId="12748" xr:uid="{8B22721F-21CA-4AB9-9E55-86A5CCF65B44}"/>
    <cellStyle name="Total 2 8" xfId="2045" xr:uid="{00000000-0005-0000-0000-0000730C0000}"/>
    <cellStyle name="Total 2 8 2" xfId="5942" xr:uid="{00000000-0005-0000-0000-0000740C0000}"/>
    <cellStyle name="Total 2 8 3" xfId="9951" xr:uid="{961B3C75-ABC7-4F31-A064-C020BB80156A}"/>
    <cellStyle name="Total 2 9" xfId="2892" xr:uid="{00000000-0005-0000-0000-0000750C0000}"/>
    <cellStyle name="Total 2 9 2" xfId="6786" xr:uid="{00000000-0005-0000-0000-0000760C0000}"/>
    <cellStyle name="Total 2 9 3" xfId="10795" xr:uid="{F466B072-740E-40DD-A31F-9763450A923A}"/>
    <cellStyle name="Total 3" xfId="140" xr:uid="{00000000-0005-0000-0000-0000770C0000}"/>
    <cellStyle name="Total 3 10" xfId="4078" xr:uid="{00000000-0005-0000-0000-0000780C0000}"/>
    <cellStyle name="Total 3 11" xfId="8050" xr:uid="{ACFA0A78-6DFD-454A-B9FC-5DB7F714A9A7}"/>
    <cellStyle name="Total 3 12" xfId="8087" xr:uid="{774C5A09-8D29-460C-9993-BCE45915FA29}"/>
    <cellStyle name="Total 3 13" xfId="11978" xr:uid="{DA3ACFB1-4037-4E95-86BA-5C629DD92651}"/>
    <cellStyle name="Total 3 14" xfId="13414" xr:uid="{091282DD-EECC-4D86-8EEF-8A9C07854CB7}"/>
    <cellStyle name="Total 3 2" xfId="179" xr:uid="{00000000-0005-0000-0000-0000790C0000}"/>
    <cellStyle name="Total 3 2 10" xfId="8104" xr:uid="{9F0A9F05-8920-44E9-B984-B0600824A418}"/>
    <cellStyle name="Total 3 2 11" xfId="11995" xr:uid="{7B08AB33-594C-46C4-B4B0-55423FD93D5E}"/>
    <cellStyle name="Total 3 2 12" xfId="13431" xr:uid="{A428877A-86F7-47A4-AAF3-243CE32E756A}"/>
    <cellStyle name="Total 3 2 2" xfId="280" xr:uid="{00000000-0005-0000-0000-00007A0C0000}"/>
    <cellStyle name="Total 3 2 2 10" xfId="13529" xr:uid="{6BE9DC6A-5356-4849-8AC4-5853789959C7}"/>
    <cellStyle name="Total 3 2 2 2" xfId="436" xr:uid="{00000000-0005-0000-0000-00007B0C0000}"/>
    <cellStyle name="Total 3 2 2 2 2" xfId="766" xr:uid="{00000000-0005-0000-0000-00007C0C0000}"/>
    <cellStyle name="Total 3 2 2 2 2 2" xfId="1547" xr:uid="{00000000-0005-0000-0000-00007D0C0000}"/>
    <cellStyle name="Total 3 2 2 2 2 2 2" xfId="2098" xr:uid="{00000000-0005-0000-0000-00007E0C0000}"/>
    <cellStyle name="Total 3 2 2 2 2 2 2 2" xfId="5995" xr:uid="{00000000-0005-0000-0000-00007F0C0000}"/>
    <cellStyle name="Total 3 2 2 2 2 2 2 3" xfId="10004" xr:uid="{29084DE5-5F97-46F5-BB16-81BF47CEE6F5}"/>
    <cellStyle name="Total 3 2 2 2 2 2 3" xfId="3897" xr:uid="{00000000-0005-0000-0000-0000800C0000}"/>
    <cellStyle name="Total 3 2 2 2 2 2 3 2" xfId="7791" xr:uid="{00000000-0005-0000-0000-0000810C0000}"/>
    <cellStyle name="Total 3 2 2 2 2 2 3 3" xfId="11800" xr:uid="{CD0F0767-A003-438F-A4B6-079E975DB201}"/>
    <cellStyle name="Total 3 2 2 2 2 2 4" xfId="5448" xr:uid="{00000000-0005-0000-0000-0000820C0000}"/>
    <cellStyle name="Total 3 2 2 2 2 2 5" xfId="9457" xr:uid="{EF35D68C-F3ED-450C-B963-2EFC7EF136A9}"/>
    <cellStyle name="Total 3 2 2 2 2 2 6" xfId="13348" xr:uid="{6FDAF866-F097-48B0-8FC3-A98BBABEAB4B}"/>
    <cellStyle name="Total 3 2 2 2 2 3" xfId="2097" xr:uid="{00000000-0005-0000-0000-0000830C0000}"/>
    <cellStyle name="Total 3 2 2 2 2 3 2" xfId="5994" xr:uid="{00000000-0005-0000-0000-0000840C0000}"/>
    <cellStyle name="Total 3 2 2 2 2 3 3" xfId="10003" xr:uid="{A2969287-1500-41CA-AFAF-5616736705F1}"/>
    <cellStyle name="Total 3 2 2 2 2 4" xfId="3492" xr:uid="{00000000-0005-0000-0000-0000850C0000}"/>
    <cellStyle name="Total 3 2 2 2 2 4 2" xfId="7386" xr:uid="{00000000-0005-0000-0000-0000860C0000}"/>
    <cellStyle name="Total 3 2 2 2 2 4 3" xfId="11395" xr:uid="{153C8BDB-0E0E-493A-990C-A7DEC076A5DF}"/>
    <cellStyle name="Total 3 2 2 2 2 5" xfId="4670" xr:uid="{00000000-0005-0000-0000-0000870C0000}"/>
    <cellStyle name="Total 3 2 2 2 2 6" xfId="8679" xr:uid="{27FC46D9-93EC-438C-9864-0828E444EC7A}"/>
    <cellStyle name="Total 3 2 2 2 2 7" xfId="12570" xr:uid="{BCC5685F-118F-4368-8D91-8250EB994300}"/>
    <cellStyle name="Total 3 2 2 2 3" xfId="1226" xr:uid="{00000000-0005-0000-0000-0000880C0000}"/>
    <cellStyle name="Total 3 2 2 2 3 2" xfId="2099" xr:uid="{00000000-0005-0000-0000-0000890C0000}"/>
    <cellStyle name="Total 3 2 2 2 3 2 2" xfId="5996" xr:uid="{00000000-0005-0000-0000-00008A0C0000}"/>
    <cellStyle name="Total 3 2 2 2 3 2 3" xfId="10005" xr:uid="{4464B1CA-3A3F-42C0-AAA2-23283983E48B}"/>
    <cellStyle name="Total 3 2 2 2 3 3" xfId="3699" xr:uid="{00000000-0005-0000-0000-00008B0C0000}"/>
    <cellStyle name="Total 3 2 2 2 3 3 2" xfId="7593" xr:uid="{00000000-0005-0000-0000-00008C0C0000}"/>
    <cellStyle name="Total 3 2 2 2 3 3 3" xfId="11602" xr:uid="{6726CED1-63BA-4E4E-B4FF-AEBECC100E01}"/>
    <cellStyle name="Total 3 2 2 2 3 4" xfId="5127" xr:uid="{00000000-0005-0000-0000-00008D0C0000}"/>
    <cellStyle name="Total 3 2 2 2 3 5" xfId="9136" xr:uid="{799EE693-007D-474B-A1BC-31C2193F2DA0}"/>
    <cellStyle name="Total 3 2 2 2 3 6" xfId="13027" xr:uid="{377FAA76-7F4A-4E29-BDF0-10423F46E52C}"/>
    <cellStyle name="Total 3 2 2 2 4" xfId="2096" xr:uid="{00000000-0005-0000-0000-00008E0C0000}"/>
    <cellStyle name="Total 3 2 2 2 4 2" xfId="5993" xr:uid="{00000000-0005-0000-0000-00008F0C0000}"/>
    <cellStyle name="Total 3 2 2 2 4 3" xfId="10002" xr:uid="{BBAF5BB0-8E7A-4A07-A47F-83391693E3B3}"/>
    <cellStyle name="Total 3 2 2 2 5" xfId="3171" xr:uid="{00000000-0005-0000-0000-0000900C0000}"/>
    <cellStyle name="Total 3 2 2 2 5 2" xfId="7065" xr:uid="{00000000-0005-0000-0000-0000910C0000}"/>
    <cellStyle name="Total 3 2 2 2 5 3" xfId="11074" xr:uid="{ECE242E3-DF7D-4C2E-B53B-E727F1C7EBFA}"/>
    <cellStyle name="Total 3 2 2 2 6" xfId="4349" xr:uid="{00000000-0005-0000-0000-0000920C0000}"/>
    <cellStyle name="Total 3 2 2 2 7" xfId="8358" xr:uid="{9574CAE1-64E1-43B9-AA52-61A5267573B4}"/>
    <cellStyle name="Total 3 2 2 2 8" xfId="12249" xr:uid="{5EAA07AB-4C70-446E-8E0D-5C86BF70B980}"/>
    <cellStyle name="Total 3 2 2 3" xfId="610" xr:uid="{00000000-0005-0000-0000-0000930C0000}"/>
    <cellStyle name="Total 3 2 2 3 2" xfId="1391" xr:uid="{00000000-0005-0000-0000-0000940C0000}"/>
    <cellStyle name="Total 3 2 2 3 2 2" xfId="2101" xr:uid="{00000000-0005-0000-0000-0000950C0000}"/>
    <cellStyle name="Total 3 2 2 3 2 2 2" xfId="5998" xr:uid="{00000000-0005-0000-0000-0000960C0000}"/>
    <cellStyle name="Total 3 2 2 3 2 2 3" xfId="10007" xr:uid="{2DD9BA84-F6CE-4369-8333-B25DE69D023A}"/>
    <cellStyle name="Total 3 2 2 3 2 3" xfId="3798" xr:uid="{00000000-0005-0000-0000-0000970C0000}"/>
    <cellStyle name="Total 3 2 2 3 2 3 2" xfId="7692" xr:uid="{00000000-0005-0000-0000-0000980C0000}"/>
    <cellStyle name="Total 3 2 2 3 2 3 3" xfId="11701" xr:uid="{E9641B2B-27F8-46D4-84B3-170AACA3315B}"/>
    <cellStyle name="Total 3 2 2 3 2 4" xfId="5292" xr:uid="{00000000-0005-0000-0000-0000990C0000}"/>
    <cellStyle name="Total 3 2 2 3 2 5" xfId="9301" xr:uid="{604D3950-FF3B-49A1-AEAA-67055B7FC7C1}"/>
    <cellStyle name="Total 3 2 2 3 2 6" xfId="13192" xr:uid="{B536183B-EA95-4439-9C74-061BBDF7BDB5}"/>
    <cellStyle name="Total 3 2 2 3 3" xfId="2100" xr:uid="{00000000-0005-0000-0000-00009A0C0000}"/>
    <cellStyle name="Total 3 2 2 3 3 2" xfId="5997" xr:uid="{00000000-0005-0000-0000-00009B0C0000}"/>
    <cellStyle name="Total 3 2 2 3 3 3" xfId="10006" xr:uid="{6EC08420-5755-4035-A7F5-3E0A5AB4180D}"/>
    <cellStyle name="Total 3 2 2 3 4" xfId="3336" xr:uid="{00000000-0005-0000-0000-00009C0C0000}"/>
    <cellStyle name="Total 3 2 2 3 4 2" xfId="7230" xr:uid="{00000000-0005-0000-0000-00009D0C0000}"/>
    <cellStyle name="Total 3 2 2 3 4 3" xfId="11239" xr:uid="{641A3432-3B7F-409B-ADB6-FB48AE88788E}"/>
    <cellStyle name="Total 3 2 2 3 5" xfId="4514" xr:uid="{00000000-0005-0000-0000-00009E0C0000}"/>
    <cellStyle name="Total 3 2 2 3 6" xfId="8523" xr:uid="{8233A9B6-16CE-4CD0-BF8B-FD50C5004CE9}"/>
    <cellStyle name="Total 3 2 2 3 7" xfId="12414" xr:uid="{342A34EC-C841-4A74-B277-03C7E92EC176}"/>
    <cellStyle name="Total 3 2 2 4" xfId="1070" xr:uid="{00000000-0005-0000-0000-00009F0C0000}"/>
    <cellStyle name="Total 3 2 2 4 2" xfId="2102" xr:uid="{00000000-0005-0000-0000-0000A00C0000}"/>
    <cellStyle name="Total 3 2 2 4 2 2" xfId="5999" xr:uid="{00000000-0005-0000-0000-0000A10C0000}"/>
    <cellStyle name="Total 3 2 2 4 2 3" xfId="10008" xr:uid="{696C8491-13F1-4EB9-B623-0A7950EF7D57}"/>
    <cellStyle name="Total 3 2 2 4 3" xfId="3600" xr:uid="{00000000-0005-0000-0000-0000A20C0000}"/>
    <cellStyle name="Total 3 2 2 4 3 2" xfId="7494" xr:uid="{00000000-0005-0000-0000-0000A30C0000}"/>
    <cellStyle name="Total 3 2 2 4 3 3" xfId="11503" xr:uid="{F6FFB848-29F7-4CAA-97F0-D4C697D363DE}"/>
    <cellStyle name="Total 3 2 2 4 4" xfId="4971" xr:uid="{00000000-0005-0000-0000-0000A40C0000}"/>
    <cellStyle name="Total 3 2 2 4 5" xfId="8980" xr:uid="{34B5B3ED-5CF0-461D-9381-06F3AE5B0303}"/>
    <cellStyle name="Total 3 2 2 4 6" xfId="12871" xr:uid="{10DFB1A2-1CA6-49AB-B1E1-4ED5FE7967EE}"/>
    <cellStyle name="Total 3 2 2 5" xfId="2095" xr:uid="{00000000-0005-0000-0000-0000A50C0000}"/>
    <cellStyle name="Total 3 2 2 5 2" xfId="5992" xr:uid="{00000000-0005-0000-0000-0000A60C0000}"/>
    <cellStyle name="Total 3 2 2 5 3" xfId="10001" xr:uid="{658CCB18-1B0E-4DF1-9769-8ADBE8EBD662}"/>
    <cellStyle name="Total 3 2 2 6" xfId="3015" xr:uid="{00000000-0005-0000-0000-0000A70C0000}"/>
    <cellStyle name="Total 3 2 2 6 2" xfId="6909" xr:uid="{00000000-0005-0000-0000-0000A80C0000}"/>
    <cellStyle name="Total 3 2 2 6 3" xfId="10918" xr:uid="{616EF08F-C095-471A-BCA4-250C8E51A24A}"/>
    <cellStyle name="Total 3 2 2 7" xfId="4193" xr:uid="{00000000-0005-0000-0000-0000A90C0000}"/>
    <cellStyle name="Total 3 2 2 8" xfId="8202" xr:uid="{EA9B63D4-9D12-4DA3-9966-627CDA1F8E38}"/>
    <cellStyle name="Total 3 2 2 9" xfId="12093" xr:uid="{BDDEEB40-4543-4C92-9238-4F0FAD975FB8}"/>
    <cellStyle name="Total 3 2 3" xfId="213" xr:uid="{00000000-0005-0000-0000-0000AA0C0000}"/>
    <cellStyle name="Total 3 2 3 10" xfId="13462" xr:uid="{59FC9A0E-718D-4300-BC0D-239C28362CDE}"/>
    <cellStyle name="Total 3 2 3 2" xfId="376" xr:uid="{00000000-0005-0000-0000-0000AB0C0000}"/>
    <cellStyle name="Total 3 2 3 2 2" xfId="706" xr:uid="{00000000-0005-0000-0000-0000AC0C0000}"/>
    <cellStyle name="Total 3 2 3 2 2 2" xfId="1487" xr:uid="{00000000-0005-0000-0000-0000AD0C0000}"/>
    <cellStyle name="Total 3 2 3 2 2 2 2" xfId="2106" xr:uid="{00000000-0005-0000-0000-0000AE0C0000}"/>
    <cellStyle name="Total 3 2 3 2 2 2 2 2" xfId="6003" xr:uid="{00000000-0005-0000-0000-0000AF0C0000}"/>
    <cellStyle name="Total 3 2 3 2 2 2 2 3" xfId="10012" xr:uid="{2AD97AA5-9C12-490F-9BDB-FDF1A3D9B63E}"/>
    <cellStyle name="Total 3 2 3 2 2 2 3" xfId="3859" xr:uid="{00000000-0005-0000-0000-0000B00C0000}"/>
    <cellStyle name="Total 3 2 3 2 2 2 3 2" xfId="7753" xr:uid="{00000000-0005-0000-0000-0000B10C0000}"/>
    <cellStyle name="Total 3 2 3 2 2 2 3 3" xfId="11762" xr:uid="{9DD926B0-7604-4E87-9FBA-E6B79A33734A}"/>
    <cellStyle name="Total 3 2 3 2 2 2 4" xfId="5388" xr:uid="{00000000-0005-0000-0000-0000B20C0000}"/>
    <cellStyle name="Total 3 2 3 2 2 2 5" xfId="9397" xr:uid="{DF3B8A97-F16F-476F-9B65-4DC1B64CFE3D}"/>
    <cellStyle name="Total 3 2 3 2 2 2 6" xfId="13288" xr:uid="{73D19BDE-1EF7-45EA-87FF-4726E3D6C68F}"/>
    <cellStyle name="Total 3 2 3 2 2 3" xfId="2105" xr:uid="{00000000-0005-0000-0000-0000B30C0000}"/>
    <cellStyle name="Total 3 2 3 2 2 3 2" xfId="6002" xr:uid="{00000000-0005-0000-0000-0000B40C0000}"/>
    <cellStyle name="Total 3 2 3 2 2 3 3" xfId="10011" xr:uid="{A1E952B4-01B2-410E-A3D0-2CF319561894}"/>
    <cellStyle name="Total 3 2 3 2 2 4" xfId="3432" xr:uid="{00000000-0005-0000-0000-0000B50C0000}"/>
    <cellStyle name="Total 3 2 3 2 2 4 2" xfId="7326" xr:uid="{00000000-0005-0000-0000-0000B60C0000}"/>
    <cellStyle name="Total 3 2 3 2 2 4 3" xfId="11335" xr:uid="{6ED310E1-E090-4B82-91E0-89B2817D4D04}"/>
    <cellStyle name="Total 3 2 3 2 2 5" xfId="4610" xr:uid="{00000000-0005-0000-0000-0000B70C0000}"/>
    <cellStyle name="Total 3 2 3 2 2 6" xfId="8619" xr:uid="{F1C19514-FACF-412E-A175-430080DDFD82}"/>
    <cellStyle name="Total 3 2 3 2 2 7" xfId="12510" xr:uid="{439F9A10-39F6-40EE-B200-07EE799D05F7}"/>
    <cellStyle name="Total 3 2 3 2 3" xfId="1166" xr:uid="{00000000-0005-0000-0000-0000B80C0000}"/>
    <cellStyle name="Total 3 2 3 2 3 2" xfId="2107" xr:uid="{00000000-0005-0000-0000-0000B90C0000}"/>
    <cellStyle name="Total 3 2 3 2 3 2 2" xfId="6004" xr:uid="{00000000-0005-0000-0000-0000BA0C0000}"/>
    <cellStyle name="Total 3 2 3 2 3 2 3" xfId="10013" xr:uid="{EA87852F-D689-484A-857E-C14AF534BD06}"/>
    <cellStyle name="Total 3 2 3 2 3 3" xfId="3661" xr:uid="{00000000-0005-0000-0000-0000BB0C0000}"/>
    <cellStyle name="Total 3 2 3 2 3 3 2" xfId="7555" xr:uid="{00000000-0005-0000-0000-0000BC0C0000}"/>
    <cellStyle name="Total 3 2 3 2 3 3 3" xfId="11564" xr:uid="{4548FF91-CF18-4C84-B9C2-3EDFE71C4538}"/>
    <cellStyle name="Total 3 2 3 2 3 4" xfId="5067" xr:uid="{00000000-0005-0000-0000-0000BD0C0000}"/>
    <cellStyle name="Total 3 2 3 2 3 5" xfId="9076" xr:uid="{62E389DA-D907-4C93-A505-061F8AC83E09}"/>
    <cellStyle name="Total 3 2 3 2 3 6" xfId="12967" xr:uid="{BAF46042-9830-4BB3-9639-F62BAF88B3B5}"/>
    <cellStyle name="Total 3 2 3 2 4" xfId="2104" xr:uid="{00000000-0005-0000-0000-0000BE0C0000}"/>
    <cellStyle name="Total 3 2 3 2 4 2" xfId="6001" xr:uid="{00000000-0005-0000-0000-0000BF0C0000}"/>
    <cellStyle name="Total 3 2 3 2 4 3" xfId="10010" xr:uid="{336D1E3D-A81C-4CBD-8D10-D05B278F75EE}"/>
    <cellStyle name="Total 3 2 3 2 5" xfId="3111" xr:uid="{00000000-0005-0000-0000-0000C00C0000}"/>
    <cellStyle name="Total 3 2 3 2 5 2" xfId="7005" xr:uid="{00000000-0005-0000-0000-0000C10C0000}"/>
    <cellStyle name="Total 3 2 3 2 5 3" xfId="11014" xr:uid="{8A29AE47-CBAC-4FDA-B083-430D3FB7720A}"/>
    <cellStyle name="Total 3 2 3 2 6" xfId="4289" xr:uid="{00000000-0005-0000-0000-0000C20C0000}"/>
    <cellStyle name="Total 3 2 3 2 7" xfId="8298" xr:uid="{6A68B7E3-7896-4E3F-AD30-8576C0A8D257}"/>
    <cellStyle name="Total 3 2 3 2 8" xfId="12189" xr:uid="{4F6AF931-3783-48E6-AA4C-181BAE499004}"/>
    <cellStyle name="Total 3 2 3 3" xfId="543" xr:uid="{00000000-0005-0000-0000-0000C30C0000}"/>
    <cellStyle name="Total 3 2 3 3 2" xfId="1324" xr:uid="{00000000-0005-0000-0000-0000C40C0000}"/>
    <cellStyle name="Total 3 2 3 3 2 2" xfId="2109" xr:uid="{00000000-0005-0000-0000-0000C50C0000}"/>
    <cellStyle name="Total 3 2 3 3 2 2 2" xfId="6006" xr:uid="{00000000-0005-0000-0000-0000C60C0000}"/>
    <cellStyle name="Total 3 2 3 3 2 2 3" xfId="10015" xr:uid="{2125DA7A-05DC-492A-B21C-FC9D8E386D80}"/>
    <cellStyle name="Total 3 2 3 3 2 3" xfId="3760" xr:uid="{00000000-0005-0000-0000-0000C70C0000}"/>
    <cellStyle name="Total 3 2 3 3 2 3 2" xfId="7654" xr:uid="{00000000-0005-0000-0000-0000C80C0000}"/>
    <cellStyle name="Total 3 2 3 3 2 3 3" xfId="11663" xr:uid="{BCD639DD-303B-4896-A97E-2797325744C5}"/>
    <cellStyle name="Total 3 2 3 3 2 4" xfId="5225" xr:uid="{00000000-0005-0000-0000-0000C90C0000}"/>
    <cellStyle name="Total 3 2 3 3 2 5" xfId="9234" xr:uid="{89386CAF-F857-4406-BE67-C4B48E6BF15D}"/>
    <cellStyle name="Total 3 2 3 3 2 6" xfId="13125" xr:uid="{E165C128-51A9-414E-B9BB-3239B25FCDA4}"/>
    <cellStyle name="Total 3 2 3 3 3" xfId="2108" xr:uid="{00000000-0005-0000-0000-0000CA0C0000}"/>
    <cellStyle name="Total 3 2 3 3 3 2" xfId="6005" xr:uid="{00000000-0005-0000-0000-0000CB0C0000}"/>
    <cellStyle name="Total 3 2 3 3 3 3" xfId="10014" xr:uid="{49BAA3F4-8BB1-411A-BDCC-DCE41079DEE8}"/>
    <cellStyle name="Total 3 2 3 3 4" xfId="3269" xr:uid="{00000000-0005-0000-0000-0000CC0C0000}"/>
    <cellStyle name="Total 3 2 3 3 4 2" xfId="7163" xr:uid="{00000000-0005-0000-0000-0000CD0C0000}"/>
    <cellStyle name="Total 3 2 3 3 4 3" xfId="11172" xr:uid="{7897CA2B-E23E-4830-8903-DD0FA27222B8}"/>
    <cellStyle name="Total 3 2 3 3 5" xfId="4447" xr:uid="{00000000-0005-0000-0000-0000CE0C0000}"/>
    <cellStyle name="Total 3 2 3 3 6" xfId="8456" xr:uid="{0F9FD557-289E-42CF-83F9-CB53B2B6B65D}"/>
    <cellStyle name="Total 3 2 3 3 7" xfId="12347" xr:uid="{37975277-F89C-420F-AE3D-7A16F44B2BE9}"/>
    <cellStyle name="Total 3 2 3 4" xfId="1003" xr:uid="{00000000-0005-0000-0000-0000CF0C0000}"/>
    <cellStyle name="Total 3 2 3 4 2" xfId="2110" xr:uid="{00000000-0005-0000-0000-0000D00C0000}"/>
    <cellStyle name="Total 3 2 3 4 2 2" xfId="6007" xr:uid="{00000000-0005-0000-0000-0000D10C0000}"/>
    <cellStyle name="Total 3 2 3 4 2 3" xfId="10016" xr:uid="{3340DA5A-FC06-45A5-8EE6-B1448FB07A5E}"/>
    <cellStyle name="Total 3 2 3 4 3" xfId="3562" xr:uid="{00000000-0005-0000-0000-0000D20C0000}"/>
    <cellStyle name="Total 3 2 3 4 3 2" xfId="7456" xr:uid="{00000000-0005-0000-0000-0000D30C0000}"/>
    <cellStyle name="Total 3 2 3 4 3 3" xfId="11465" xr:uid="{5E7D28B4-0351-4BBB-BDE6-67E52787A186}"/>
    <cellStyle name="Total 3 2 3 4 4" xfId="4904" xr:uid="{00000000-0005-0000-0000-0000D40C0000}"/>
    <cellStyle name="Total 3 2 3 4 5" xfId="8913" xr:uid="{23BFB35E-9DDE-444C-9888-C6836DCF5F19}"/>
    <cellStyle name="Total 3 2 3 4 6" xfId="12804" xr:uid="{BA790FB6-C246-43E6-82C9-990CBAFCBD64}"/>
    <cellStyle name="Total 3 2 3 5" xfId="2103" xr:uid="{00000000-0005-0000-0000-0000D50C0000}"/>
    <cellStyle name="Total 3 2 3 5 2" xfId="6000" xr:uid="{00000000-0005-0000-0000-0000D60C0000}"/>
    <cellStyle name="Total 3 2 3 5 3" xfId="10009" xr:uid="{D2F7F96F-C8B4-4F2D-82DC-826590233DD9}"/>
    <cellStyle name="Total 3 2 3 6" xfId="2948" xr:uid="{00000000-0005-0000-0000-0000D70C0000}"/>
    <cellStyle name="Total 3 2 3 6 2" xfId="6842" xr:uid="{00000000-0005-0000-0000-0000D80C0000}"/>
    <cellStyle name="Total 3 2 3 6 3" xfId="10851" xr:uid="{4F830A6F-6E5E-4E76-903C-838B7265C9FE}"/>
    <cellStyle name="Total 3 2 3 7" xfId="4126" xr:uid="{00000000-0005-0000-0000-0000D90C0000}"/>
    <cellStyle name="Total 3 2 3 8" xfId="8135" xr:uid="{C87CC09E-E788-4ED6-B04A-E3CC9AEDDBCF}"/>
    <cellStyle name="Total 3 2 3 9" xfId="12026" xr:uid="{082F2914-B0E3-40F3-B4B3-C7DA37645581}"/>
    <cellStyle name="Total 3 2 4" xfId="347" xr:uid="{00000000-0005-0000-0000-0000DA0C0000}"/>
    <cellStyle name="Total 3 2 4 2" xfId="677" xr:uid="{00000000-0005-0000-0000-0000DB0C0000}"/>
    <cellStyle name="Total 3 2 4 2 2" xfId="1458" xr:uid="{00000000-0005-0000-0000-0000DC0C0000}"/>
    <cellStyle name="Total 3 2 4 2 2 2" xfId="2113" xr:uid="{00000000-0005-0000-0000-0000DD0C0000}"/>
    <cellStyle name="Total 3 2 4 2 2 2 2" xfId="6010" xr:uid="{00000000-0005-0000-0000-0000DE0C0000}"/>
    <cellStyle name="Total 3 2 4 2 2 2 3" xfId="10019" xr:uid="{EF885AC6-4E7D-44D3-B0DF-494D250813BF}"/>
    <cellStyle name="Total 3 2 4 2 2 3" xfId="3838" xr:uid="{00000000-0005-0000-0000-0000DF0C0000}"/>
    <cellStyle name="Total 3 2 4 2 2 3 2" xfId="7732" xr:uid="{00000000-0005-0000-0000-0000E00C0000}"/>
    <cellStyle name="Total 3 2 4 2 2 3 3" xfId="11741" xr:uid="{38EE5D59-09DF-4092-83CA-8EAFCAF0B401}"/>
    <cellStyle name="Total 3 2 4 2 2 4" xfId="5359" xr:uid="{00000000-0005-0000-0000-0000E10C0000}"/>
    <cellStyle name="Total 3 2 4 2 2 5" xfId="9368" xr:uid="{B60E620A-4D90-48B6-A61A-4363CD284FF5}"/>
    <cellStyle name="Total 3 2 4 2 2 6" xfId="13259" xr:uid="{13B52A27-4F5B-455E-9B23-C330EDDD8121}"/>
    <cellStyle name="Total 3 2 4 2 3" xfId="2112" xr:uid="{00000000-0005-0000-0000-0000E20C0000}"/>
    <cellStyle name="Total 3 2 4 2 3 2" xfId="6009" xr:uid="{00000000-0005-0000-0000-0000E30C0000}"/>
    <cellStyle name="Total 3 2 4 2 3 3" xfId="10018" xr:uid="{61FAA967-FDAD-4A19-8A61-ABA33CF36DC3}"/>
    <cellStyle name="Total 3 2 4 2 4" xfId="3403" xr:uid="{00000000-0005-0000-0000-0000E40C0000}"/>
    <cellStyle name="Total 3 2 4 2 4 2" xfId="7297" xr:uid="{00000000-0005-0000-0000-0000E50C0000}"/>
    <cellStyle name="Total 3 2 4 2 4 3" xfId="11306" xr:uid="{E0E1C020-72E5-4020-8EE8-9867A5CE5C5D}"/>
    <cellStyle name="Total 3 2 4 2 5" xfId="4581" xr:uid="{00000000-0005-0000-0000-0000E60C0000}"/>
    <cellStyle name="Total 3 2 4 2 6" xfId="8590" xr:uid="{2A67E783-2D8B-4524-81B5-7D5A06E2AA16}"/>
    <cellStyle name="Total 3 2 4 2 7" xfId="12481" xr:uid="{710E03EF-A00C-456E-9FFB-5BCD7E6C7F69}"/>
    <cellStyle name="Total 3 2 4 3" xfId="1137" xr:uid="{00000000-0005-0000-0000-0000E70C0000}"/>
    <cellStyle name="Total 3 2 4 3 2" xfId="2114" xr:uid="{00000000-0005-0000-0000-0000E80C0000}"/>
    <cellStyle name="Total 3 2 4 3 2 2" xfId="6011" xr:uid="{00000000-0005-0000-0000-0000E90C0000}"/>
    <cellStyle name="Total 3 2 4 3 2 3" xfId="10020" xr:uid="{40C4D573-C531-4C75-8614-13597E36F7CB}"/>
    <cellStyle name="Total 3 2 4 3 3" xfId="3640" xr:uid="{00000000-0005-0000-0000-0000EA0C0000}"/>
    <cellStyle name="Total 3 2 4 3 3 2" xfId="7534" xr:uid="{00000000-0005-0000-0000-0000EB0C0000}"/>
    <cellStyle name="Total 3 2 4 3 3 3" xfId="11543" xr:uid="{FB0D691C-7D81-460D-B557-31DC598EAA4A}"/>
    <cellStyle name="Total 3 2 4 3 4" xfId="5038" xr:uid="{00000000-0005-0000-0000-0000EC0C0000}"/>
    <cellStyle name="Total 3 2 4 3 5" xfId="9047" xr:uid="{5FC824B5-5752-4764-A1A6-2FD28724D64F}"/>
    <cellStyle name="Total 3 2 4 3 6" xfId="12938" xr:uid="{1D063A6F-469A-4510-8A75-E85502ED99D1}"/>
    <cellStyle name="Total 3 2 4 4" xfId="2111" xr:uid="{00000000-0005-0000-0000-0000ED0C0000}"/>
    <cellStyle name="Total 3 2 4 4 2" xfId="6008" xr:uid="{00000000-0005-0000-0000-0000EE0C0000}"/>
    <cellStyle name="Total 3 2 4 4 3" xfId="10017" xr:uid="{10257F57-23D4-4A29-BBFC-3632D3586685}"/>
    <cellStyle name="Total 3 2 4 5" xfId="3082" xr:uid="{00000000-0005-0000-0000-0000EF0C0000}"/>
    <cellStyle name="Total 3 2 4 5 2" xfId="6976" xr:uid="{00000000-0005-0000-0000-0000F00C0000}"/>
    <cellStyle name="Total 3 2 4 5 3" xfId="10985" xr:uid="{069FD29B-457B-4E54-8BC6-0EA93F25BFFC}"/>
    <cellStyle name="Total 3 2 4 6" xfId="4260" xr:uid="{00000000-0005-0000-0000-0000F10C0000}"/>
    <cellStyle name="Total 3 2 4 7" xfId="8269" xr:uid="{EEC73170-0A09-4FC1-B97C-3C3DBF4FAFE1}"/>
    <cellStyle name="Total 3 2 4 8" xfId="12160" xr:uid="{49F2FEF1-CA2C-476A-852D-4422FA398287}"/>
    <cellStyle name="Total 3 2 5" xfId="512" xr:uid="{00000000-0005-0000-0000-0000F20C0000}"/>
    <cellStyle name="Total 3 2 5 2" xfId="1293" xr:uid="{00000000-0005-0000-0000-0000F30C0000}"/>
    <cellStyle name="Total 3 2 5 2 2" xfId="2116" xr:uid="{00000000-0005-0000-0000-0000F40C0000}"/>
    <cellStyle name="Total 3 2 5 2 2 2" xfId="6013" xr:uid="{00000000-0005-0000-0000-0000F50C0000}"/>
    <cellStyle name="Total 3 2 5 2 2 3" xfId="10022" xr:uid="{1329AD73-D445-4036-8962-22E94DA28C9A}"/>
    <cellStyle name="Total 3 2 5 2 3" xfId="3739" xr:uid="{00000000-0005-0000-0000-0000F60C0000}"/>
    <cellStyle name="Total 3 2 5 2 3 2" xfId="7633" xr:uid="{00000000-0005-0000-0000-0000F70C0000}"/>
    <cellStyle name="Total 3 2 5 2 3 3" xfId="11642" xr:uid="{D3868417-C4DA-4D7F-B200-A5A5F1DA481F}"/>
    <cellStyle name="Total 3 2 5 2 4" xfId="5194" xr:uid="{00000000-0005-0000-0000-0000F80C0000}"/>
    <cellStyle name="Total 3 2 5 2 5" xfId="9203" xr:uid="{CEEF3621-2AE4-4FE2-BA7F-C42ED67DE8B1}"/>
    <cellStyle name="Total 3 2 5 2 6" xfId="13094" xr:uid="{8F0E19A3-A4F5-4CE7-AFC4-926EF785BC40}"/>
    <cellStyle name="Total 3 2 5 3" xfId="2115" xr:uid="{00000000-0005-0000-0000-0000F90C0000}"/>
    <cellStyle name="Total 3 2 5 3 2" xfId="6012" xr:uid="{00000000-0005-0000-0000-0000FA0C0000}"/>
    <cellStyle name="Total 3 2 5 3 3" xfId="10021" xr:uid="{BB74467A-7054-467B-8F87-397FA52FAA1A}"/>
    <cellStyle name="Total 3 2 5 4" xfId="3238" xr:uid="{00000000-0005-0000-0000-0000FB0C0000}"/>
    <cellStyle name="Total 3 2 5 4 2" xfId="7132" xr:uid="{00000000-0005-0000-0000-0000FC0C0000}"/>
    <cellStyle name="Total 3 2 5 4 3" xfId="11141" xr:uid="{C099259A-FF77-4B8F-9729-DA92BFFE723C}"/>
    <cellStyle name="Total 3 2 5 5" xfId="4416" xr:uid="{00000000-0005-0000-0000-0000FD0C0000}"/>
    <cellStyle name="Total 3 2 5 6" xfId="8425" xr:uid="{4EDB48C1-10CE-440C-9D1F-AD3EF41E12FE}"/>
    <cellStyle name="Total 3 2 5 7" xfId="12316" xr:uid="{854C570E-E973-476F-98D0-18AEAE9D0F43}"/>
    <cellStyle name="Total 3 2 6" xfId="972" xr:uid="{00000000-0005-0000-0000-0000FE0C0000}"/>
    <cellStyle name="Total 3 2 6 2" xfId="2117" xr:uid="{00000000-0005-0000-0000-0000FF0C0000}"/>
    <cellStyle name="Total 3 2 6 2 2" xfId="6014" xr:uid="{00000000-0005-0000-0000-0000000D0000}"/>
    <cellStyle name="Total 3 2 6 2 3" xfId="10023" xr:uid="{70A37406-BB31-49D4-8FA9-D5729B4748E9}"/>
    <cellStyle name="Total 3 2 6 3" xfId="3541" xr:uid="{00000000-0005-0000-0000-0000010D0000}"/>
    <cellStyle name="Total 3 2 6 3 2" xfId="7435" xr:uid="{00000000-0005-0000-0000-0000020D0000}"/>
    <cellStyle name="Total 3 2 6 3 3" xfId="11444" xr:uid="{B929D215-D468-457A-B639-F3135DC8999D}"/>
    <cellStyle name="Total 3 2 6 4" xfId="4873" xr:uid="{00000000-0005-0000-0000-0000030D0000}"/>
    <cellStyle name="Total 3 2 6 5" xfId="8882" xr:uid="{FDE5C222-0619-4132-9BE9-E12C5CBBDABD}"/>
    <cellStyle name="Total 3 2 6 6" xfId="12773" xr:uid="{56E4290F-A097-494F-B844-C376134FDCF2}"/>
    <cellStyle name="Total 3 2 7" xfId="2094" xr:uid="{00000000-0005-0000-0000-0000040D0000}"/>
    <cellStyle name="Total 3 2 7 2" xfId="5991" xr:uid="{00000000-0005-0000-0000-0000050D0000}"/>
    <cellStyle name="Total 3 2 7 3" xfId="10000" xr:uid="{B7760F60-8498-47E3-B72A-26D7E414AAC3}"/>
    <cellStyle name="Total 3 2 8" xfId="2917" xr:uid="{00000000-0005-0000-0000-0000060D0000}"/>
    <cellStyle name="Total 3 2 8 2" xfId="6811" xr:uid="{00000000-0005-0000-0000-0000070D0000}"/>
    <cellStyle name="Total 3 2 8 3" xfId="10820" xr:uid="{721BDEE1-7D1D-4C3B-832D-1C998978767F}"/>
    <cellStyle name="Total 3 2 9" xfId="4095" xr:uid="{00000000-0005-0000-0000-0000080D0000}"/>
    <cellStyle name="Total 3 3" xfId="256" xr:uid="{00000000-0005-0000-0000-0000090D0000}"/>
    <cellStyle name="Total 3 3 10" xfId="13505" xr:uid="{3D2B77C6-CDA1-4F21-81B6-EF477D6533E3}"/>
    <cellStyle name="Total 3 3 2" xfId="413" xr:uid="{00000000-0005-0000-0000-00000A0D0000}"/>
    <cellStyle name="Total 3 3 2 2" xfId="743" xr:uid="{00000000-0005-0000-0000-00000B0D0000}"/>
    <cellStyle name="Total 3 3 2 2 2" xfId="1524" xr:uid="{00000000-0005-0000-0000-00000C0D0000}"/>
    <cellStyle name="Total 3 3 2 2 2 2" xfId="2121" xr:uid="{00000000-0005-0000-0000-00000D0D0000}"/>
    <cellStyle name="Total 3 3 2 2 2 2 2" xfId="6018" xr:uid="{00000000-0005-0000-0000-00000E0D0000}"/>
    <cellStyle name="Total 3 3 2 2 2 2 3" xfId="10027" xr:uid="{9DDC4969-48AC-4B7A-82DF-C387986FB396}"/>
    <cellStyle name="Total 3 3 2 2 2 3" xfId="3881" xr:uid="{00000000-0005-0000-0000-00000F0D0000}"/>
    <cellStyle name="Total 3 3 2 2 2 3 2" xfId="7775" xr:uid="{00000000-0005-0000-0000-0000100D0000}"/>
    <cellStyle name="Total 3 3 2 2 2 3 3" xfId="11784" xr:uid="{10CC50FA-6016-4204-A145-D3B6EBA0238E}"/>
    <cellStyle name="Total 3 3 2 2 2 4" xfId="5425" xr:uid="{00000000-0005-0000-0000-0000110D0000}"/>
    <cellStyle name="Total 3 3 2 2 2 5" xfId="9434" xr:uid="{A4863412-F2DE-410F-BBC0-BF52B32343EC}"/>
    <cellStyle name="Total 3 3 2 2 2 6" xfId="13325" xr:uid="{1CC66F24-609E-4CD5-B280-C81A710E7666}"/>
    <cellStyle name="Total 3 3 2 2 3" xfId="2120" xr:uid="{00000000-0005-0000-0000-0000120D0000}"/>
    <cellStyle name="Total 3 3 2 2 3 2" xfId="6017" xr:uid="{00000000-0005-0000-0000-0000130D0000}"/>
    <cellStyle name="Total 3 3 2 2 3 3" xfId="10026" xr:uid="{7B598099-46A4-46E6-9A31-A126D64B2A07}"/>
    <cellStyle name="Total 3 3 2 2 4" xfId="3469" xr:uid="{00000000-0005-0000-0000-0000140D0000}"/>
    <cellStyle name="Total 3 3 2 2 4 2" xfId="7363" xr:uid="{00000000-0005-0000-0000-0000150D0000}"/>
    <cellStyle name="Total 3 3 2 2 4 3" xfId="11372" xr:uid="{AC4729A5-8517-4D44-88F2-B62B48A7E472}"/>
    <cellStyle name="Total 3 3 2 2 5" xfId="4647" xr:uid="{00000000-0005-0000-0000-0000160D0000}"/>
    <cellStyle name="Total 3 3 2 2 6" xfId="8656" xr:uid="{96B2F2AA-E26A-4962-BBEC-B1400BC7FA80}"/>
    <cellStyle name="Total 3 3 2 2 7" xfId="12547" xr:uid="{7826F4E7-7B7C-4771-BEFD-5AAA88FB8B90}"/>
    <cellStyle name="Total 3 3 2 3" xfId="1203" xr:uid="{00000000-0005-0000-0000-0000170D0000}"/>
    <cellStyle name="Total 3 3 2 3 2" xfId="2122" xr:uid="{00000000-0005-0000-0000-0000180D0000}"/>
    <cellStyle name="Total 3 3 2 3 2 2" xfId="6019" xr:uid="{00000000-0005-0000-0000-0000190D0000}"/>
    <cellStyle name="Total 3 3 2 3 2 3" xfId="10028" xr:uid="{81897E29-C182-4575-A36D-65B3CD72B206}"/>
    <cellStyle name="Total 3 3 2 3 3" xfId="3683" xr:uid="{00000000-0005-0000-0000-00001A0D0000}"/>
    <cellStyle name="Total 3 3 2 3 3 2" xfId="7577" xr:uid="{00000000-0005-0000-0000-00001B0D0000}"/>
    <cellStyle name="Total 3 3 2 3 3 3" xfId="11586" xr:uid="{D65808A6-4AA2-4C7C-85FE-EFB7D678DDF9}"/>
    <cellStyle name="Total 3 3 2 3 4" xfId="5104" xr:uid="{00000000-0005-0000-0000-00001C0D0000}"/>
    <cellStyle name="Total 3 3 2 3 5" xfId="9113" xr:uid="{78B5FD4B-14FC-4E7B-AE11-8207EA424E48}"/>
    <cellStyle name="Total 3 3 2 3 6" xfId="13004" xr:uid="{284C38C1-4F2F-4327-BC4F-E63C50AC9D0B}"/>
    <cellStyle name="Total 3 3 2 4" xfId="2119" xr:uid="{00000000-0005-0000-0000-00001D0D0000}"/>
    <cellStyle name="Total 3 3 2 4 2" xfId="6016" xr:uid="{00000000-0005-0000-0000-00001E0D0000}"/>
    <cellStyle name="Total 3 3 2 4 3" xfId="10025" xr:uid="{74F5649B-FE11-40B4-A29C-63E914C0FBA5}"/>
    <cellStyle name="Total 3 3 2 5" xfId="3148" xr:uid="{00000000-0005-0000-0000-00001F0D0000}"/>
    <cellStyle name="Total 3 3 2 5 2" xfId="7042" xr:uid="{00000000-0005-0000-0000-0000200D0000}"/>
    <cellStyle name="Total 3 3 2 5 3" xfId="11051" xr:uid="{AD7CC38C-20A5-4CFC-B47B-A4071AA4B22B}"/>
    <cellStyle name="Total 3 3 2 6" xfId="4326" xr:uid="{00000000-0005-0000-0000-0000210D0000}"/>
    <cellStyle name="Total 3 3 2 7" xfId="8335" xr:uid="{74EDFC09-E59F-430C-9047-422C287F74CB}"/>
    <cellStyle name="Total 3 3 2 8" xfId="12226" xr:uid="{DE27630F-285C-4180-84D7-4615B2C25D37}"/>
    <cellStyle name="Total 3 3 3" xfId="586" xr:uid="{00000000-0005-0000-0000-0000220D0000}"/>
    <cellStyle name="Total 3 3 3 2" xfId="1367" xr:uid="{00000000-0005-0000-0000-0000230D0000}"/>
    <cellStyle name="Total 3 3 3 2 2" xfId="2124" xr:uid="{00000000-0005-0000-0000-0000240D0000}"/>
    <cellStyle name="Total 3 3 3 2 2 2" xfId="6021" xr:uid="{00000000-0005-0000-0000-0000250D0000}"/>
    <cellStyle name="Total 3 3 3 2 2 3" xfId="10030" xr:uid="{1B91ECD6-DFC3-485C-9BF2-D607D75B8998}"/>
    <cellStyle name="Total 3 3 3 2 3" xfId="3782" xr:uid="{00000000-0005-0000-0000-0000260D0000}"/>
    <cellStyle name="Total 3 3 3 2 3 2" xfId="7676" xr:uid="{00000000-0005-0000-0000-0000270D0000}"/>
    <cellStyle name="Total 3 3 3 2 3 3" xfId="11685" xr:uid="{22D485C8-8945-4ECD-BD03-59853979F955}"/>
    <cellStyle name="Total 3 3 3 2 4" xfId="5268" xr:uid="{00000000-0005-0000-0000-0000280D0000}"/>
    <cellStyle name="Total 3 3 3 2 5" xfId="9277" xr:uid="{7D821A47-1735-4221-AB3C-1B419E3A41AE}"/>
    <cellStyle name="Total 3 3 3 2 6" xfId="13168" xr:uid="{1063BC1A-1190-4574-B016-4ED69C5B0481}"/>
    <cellStyle name="Total 3 3 3 3" xfId="2123" xr:uid="{00000000-0005-0000-0000-0000290D0000}"/>
    <cellStyle name="Total 3 3 3 3 2" xfId="6020" xr:uid="{00000000-0005-0000-0000-00002A0D0000}"/>
    <cellStyle name="Total 3 3 3 3 3" xfId="10029" xr:uid="{20EF61C9-10F2-4EAC-A68E-5F3013F2CE1C}"/>
    <cellStyle name="Total 3 3 3 4" xfId="3312" xr:uid="{00000000-0005-0000-0000-00002B0D0000}"/>
    <cellStyle name="Total 3 3 3 4 2" xfId="7206" xr:uid="{00000000-0005-0000-0000-00002C0D0000}"/>
    <cellStyle name="Total 3 3 3 4 3" xfId="11215" xr:uid="{EE66A03D-975C-4431-9383-764BE3580297}"/>
    <cellStyle name="Total 3 3 3 5" xfId="4490" xr:uid="{00000000-0005-0000-0000-00002D0D0000}"/>
    <cellStyle name="Total 3 3 3 6" xfId="8499" xr:uid="{D9038109-F786-4DE7-B7D5-C42B0F09A1ED}"/>
    <cellStyle name="Total 3 3 3 7" xfId="12390" xr:uid="{F2A5908E-28F6-4F79-A996-ED883CF84C9D}"/>
    <cellStyle name="Total 3 3 4" xfId="1046" xr:uid="{00000000-0005-0000-0000-00002E0D0000}"/>
    <cellStyle name="Total 3 3 4 2" xfId="2125" xr:uid="{00000000-0005-0000-0000-00002F0D0000}"/>
    <cellStyle name="Total 3 3 4 2 2" xfId="6022" xr:uid="{00000000-0005-0000-0000-0000300D0000}"/>
    <cellStyle name="Total 3 3 4 2 3" xfId="10031" xr:uid="{5D5A621B-2491-44C6-B979-AEBABE155CF7}"/>
    <cellStyle name="Total 3 3 4 3" xfId="3584" xr:uid="{00000000-0005-0000-0000-0000310D0000}"/>
    <cellStyle name="Total 3 3 4 3 2" xfId="7478" xr:uid="{00000000-0005-0000-0000-0000320D0000}"/>
    <cellStyle name="Total 3 3 4 3 3" xfId="11487" xr:uid="{2F1A9F98-C107-4B57-9129-07407F378A1B}"/>
    <cellStyle name="Total 3 3 4 4" xfId="4947" xr:uid="{00000000-0005-0000-0000-0000330D0000}"/>
    <cellStyle name="Total 3 3 4 5" xfId="8956" xr:uid="{F30EB927-AC59-475C-ACDF-FC95A5D8730C}"/>
    <cellStyle name="Total 3 3 4 6" xfId="12847" xr:uid="{F41D4B1E-6987-4BC1-A4E0-04E6542F06F6}"/>
    <cellStyle name="Total 3 3 5" xfId="2118" xr:uid="{00000000-0005-0000-0000-0000340D0000}"/>
    <cellStyle name="Total 3 3 5 2" xfId="6015" xr:uid="{00000000-0005-0000-0000-0000350D0000}"/>
    <cellStyle name="Total 3 3 5 3" xfId="10024" xr:uid="{7DD0E8BF-A21C-48A9-9ADF-9EEDFC6CF4EF}"/>
    <cellStyle name="Total 3 3 6" xfId="2991" xr:uid="{00000000-0005-0000-0000-0000360D0000}"/>
    <cellStyle name="Total 3 3 6 2" xfId="6885" xr:uid="{00000000-0005-0000-0000-0000370D0000}"/>
    <cellStyle name="Total 3 3 6 3" xfId="10894" xr:uid="{3E60CEE6-98C9-4F1F-A086-A2C3C5051064}"/>
    <cellStyle name="Total 3 3 7" xfId="4169" xr:uid="{00000000-0005-0000-0000-0000380D0000}"/>
    <cellStyle name="Total 3 3 8" xfId="8178" xr:uid="{E359B0A4-A919-4F8B-BC4D-169BE584217A}"/>
    <cellStyle name="Total 3 3 9" xfId="12069" xr:uid="{4F27286D-861E-4BFA-8C9C-3BA594E47B1F}"/>
    <cellStyle name="Total 3 4" xfId="221" xr:uid="{00000000-0005-0000-0000-0000390D0000}"/>
    <cellStyle name="Total 3 4 10" xfId="13470" xr:uid="{AB721F0B-D85E-474D-AB51-E0874E7737C2}"/>
    <cellStyle name="Total 3 4 2" xfId="382" xr:uid="{00000000-0005-0000-0000-00003A0D0000}"/>
    <cellStyle name="Total 3 4 2 2" xfId="712" xr:uid="{00000000-0005-0000-0000-00003B0D0000}"/>
    <cellStyle name="Total 3 4 2 2 2" xfId="1493" xr:uid="{00000000-0005-0000-0000-00003C0D0000}"/>
    <cellStyle name="Total 3 4 2 2 2 2" xfId="2129" xr:uid="{00000000-0005-0000-0000-00003D0D0000}"/>
    <cellStyle name="Total 3 4 2 2 2 2 2" xfId="6026" xr:uid="{00000000-0005-0000-0000-00003E0D0000}"/>
    <cellStyle name="Total 3 4 2 2 2 2 3" xfId="10035" xr:uid="{EA8E9767-4F74-4803-B6C3-94AB425EC1EE}"/>
    <cellStyle name="Total 3 4 2 2 2 3" xfId="3864" xr:uid="{00000000-0005-0000-0000-00003F0D0000}"/>
    <cellStyle name="Total 3 4 2 2 2 3 2" xfId="7758" xr:uid="{00000000-0005-0000-0000-0000400D0000}"/>
    <cellStyle name="Total 3 4 2 2 2 3 3" xfId="11767" xr:uid="{EF0C24D6-2850-4CD9-8F00-8131F1430E27}"/>
    <cellStyle name="Total 3 4 2 2 2 4" xfId="5394" xr:uid="{00000000-0005-0000-0000-0000410D0000}"/>
    <cellStyle name="Total 3 4 2 2 2 5" xfId="9403" xr:uid="{EEB51CE1-B977-4B81-9CF3-518D7C7F01C3}"/>
    <cellStyle name="Total 3 4 2 2 2 6" xfId="13294" xr:uid="{6844BC4C-7A56-443A-9C0B-9FD2DB2FA7F4}"/>
    <cellStyle name="Total 3 4 2 2 3" xfId="2128" xr:uid="{00000000-0005-0000-0000-0000420D0000}"/>
    <cellStyle name="Total 3 4 2 2 3 2" xfId="6025" xr:uid="{00000000-0005-0000-0000-0000430D0000}"/>
    <cellStyle name="Total 3 4 2 2 3 3" xfId="10034" xr:uid="{ECFADC4F-4504-4A25-81FE-EA9FFFFC4641}"/>
    <cellStyle name="Total 3 4 2 2 4" xfId="3438" xr:uid="{00000000-0005-0000-0000-0000440D0000}"/>
    <cellStyle name="Total 3 4 2 2 4 2" xfId="7332" xr:uid="{00000000-0005-0000-0000-0000450D0000}"/>
    <cellStyle name="Total 3 4 2 2 4 3" xfId="11341" xr:uid="{6AF80143-4B30-4E4C-A853-1C1210D66879}"/>
    <cellStyle name="Total 3 4 2 2 5" xfId="4616" xr:uid="{00000000-0005-0000-0000-0000460D0000}"/>
    <cellStyle name="Total 3 4 2 2 6" xfId="8625" xr:uid="{969A1660-22B5-4F47-8406-D7A0CA61585C}"/>
    <cellStyle name="Total 3 4 2 2 7" xfId="12516" xr:uid="{2BD3563E-3DAE-4E26-8BD1-8DF5F07BA282}"/>
    <cellStyle name="Total 3 4 2 3" xfId="1172" xr:uid="{00000000-0005-0000-0000-0000470D0000}"/>
    <cellStyle name="Total 3 4 2 3 2" xfId="2130" xr:uid="{00000000-0005-0000-0000-0000480D0000}"/>
    <cellStyle name="Total 3 4 2 3 2 2" xfId="6027" xr:uid="{00000000-0005-0000-0000-0000490D0000}"/>
    <cellStyle name="Total 3 4 2 3 2 3" xfId="10036" xr:uid="{42016BEB-AF45-4380-A511-712450B380EC}"/>
    <cellStyle name="Total 3 4 2 3 3" xfId="3666" xr:uid="{00000000-0005-0000-0000-00004A0D0000}"/>
    <cellStyle name="Total 3 4 2 3 3 2" xfId="7560" xr:uid="{00000000-0005-0000-0000-00004B0D0000}"/>
    <cellStyle name="Total 3 4 2 3 3 3" xfId="11569" xr:uid="{202F1BE0-8CC0-427D-AB6F-3262C1DCEE67}"/>
    <cellStyle name="Total 3 4 2 3 4" xfId="5073" xr:uid="{00000000-0005-0000-0000-00004C0D0000}"/>
    <cellStyle name="Total 3 4 2 3 5" xfId="9082" xr:uid="{0C0F642B-862C-46A8-A67D-ECEFF1F9A578}"/>
    <cellStyle name="Total 3 4 2 3 6" xfId="12973" xr:uid="{86321F49-AACA-4445-9144-0BF818185678}"/>
    <cellStyle name="Total 3 4 2 4" xfId="2127" xr:uid="{00000000-0005-0000-0000-00004D0D0000}"/>
    <cellStyle name="Total 3 4 2 4 2" xfId="6024" xr:uid="{00000000-0005-0000-0000-00004E0D0000}"/>
    <cellStyle name="Total 3 4 2 4 3" xfId="10033" xr:uid="{973BB202-3F88-4D2A-B676-76AF8FFCB9B7}"/>
    <cellStyle name="Total 3 4 2 5" xfId="3117" xr:uid="{00000000-0005-0000-0000-00004F0D0000}"/>
    <cellStyle name="Total 3 4 2 5 2" xfId="7011" xr:uid="{00000000-0005-0000-0000-0000500D0000}"/>
    <cellStyle name="Total 3 4 2 5 3" xfId="11020" xr:uid="{D59934FF-E09B-401B-A3F2-76FBB3D158C2}"/>
    <cellStyle name="Total 3 4 2 6" xfId="4295" xr:uid="{00000000-0005-0000-0000-0000510D0000}"/>
    <cellStyle name="Total 3 4 2 7" xfId="8304" xr:uid="{8D5FEFAD-B2AD-4B8B-B3B4-A14076F7F8AB}"/>
    <cellStyle name="Total 3 4 2 8" xfId="12195" xr:uid="{6BE269E1-8BBB-4BA0-B8AD-10C38E1EB3E7}"/>
    <cellStyle name="Total 3 4 3" xfId="551" xr:uid="{00000000-0005-0000-0000-0000520D0000}"/>
    <cellStyle name="Total 3 4 3 2" xfId="1332" xr:uid="{00000000-0005-0000-0000-0000530D0000}"/>
    <cellStyle name="Total 3 4 3 2 2" xfId="2132" xr:uid="{00000000-0005-0000-0000-0000540D0000}"/>
    <cellStyle name="Total 3 4 3 2 2 2" xfId="6029" xr:uid="{00000000-0005-0000-0000-0000550D0000}"/>
    <cellStyle name="Total 3 4 3 2 2 3" xfId="10038" xr:uid="{2368809D-B9D2-46B0-BD57-54182F82449C}"/>
    <cellStyle name="Total 3 4 3 2 3" xfId="3765" xr:uid="{00000000-0005-0000-0000-0000560D0000}"/>
    <cellStyle name="Total 3 4 3 2 3 2" xfId="7659" xr:uid="{00000000-0005-0000-0000-0000570D0000}"/>
    <cellStyle name="Total 3 4 3 2 3 3" xfId="11668" xr:uid="{59F6B1D8-15B2-4777-A923-5EA77DE48F1F}"/>
    <cellStyle name="Total 3 4 3 2 4" xfId="5233" xr:uid="{00000000-0005-0000-0000-0000580D0000}"/>
    <cellStyle name="Total 3 4 3 2 5" xfId="9242" xr:uid="{97EBC667-45C7-4A79-BBF0-5007C0BC81BE}"/>
    <cellStyle name="Total 3 4 3 2 6" xfId="13133" xr:uid="{C0EA263D-8C63-4716-BF2E-6522DB38878A}"/>
    <cellStyle name="Total 3 4 3 3" xfId="2131" xr:uid="{00000000-0005-0000-0000-0000590D0000}"/>
    <cellStyle name="Total 3 4 3 3 2" xfId="6028" xr:uid="{00000000-0005-0000-0000-00005A0D0000}"/>
    <cellStyle name="Total 3 4 3 3 3" xfId="10037" xr:uid="{8639B387-FFB4-4264-8469-2B2B308405D4}"/>
    <cellStyle name="Total 3 4 3 4" xfId="3277" xr:uid="{00000000-0005-0000-0000-00005B0D0000}"/>
    <cellStyle name="Total 3 4 3 4 2" xfId="7171" xr:uid="{00000000-0005-0000-0000-00005C0D0000}"/>
    <cellStyle name="Total 3 4 3 4 3" xfId="11180" xr:uid="{BCFB5D39-6F99-4B47-A132-BA67AC3CFF11}"/>
    <cellStyle name="Total 3 4 3 5" xfId="4455" xr:uid="{00000000-0005-0000-0000-00005D0D0000}"/>
    <cellStyle name="Total 3 4 3 6" xfId="8464" xr:uid="{64F25474-D4B5-4D5F-9656-C73AA4222F4B}"/>
    <cellStyle name="Total 3 4 3 7" xfId="12355" xr:uid="{09DBC8CE-C67E-401C-A6E3-CE3EB88D051F}"/>
    <cellStyle name="Total 3 4 4" xfId="1011" xr:uid="{00000000-0005-0000-0000-00005E0D0000}"/>
    <cellStyle name="Total 3 4 4 2" xfId="2133" xr:uid="{00000000-0005-0000-0000-00005F0D0000}"/>
    <cellStyle name="Total 3 4 4 2 2" xfId="6030" xr:uid="{00000000-0005-0000-0000-0000600D0000}"/>
    <cellStyle name="Total 3 4 4 2 3" xfId="10039" xr:uid="{4A2B0286-59E8-4357-BB19-8C5577E170E8}"/>
    <cellStyle name="Total 3 4 4 3" xfId="3567" xr:uid="{00000000-0005-0000-0000-0000610D0000}"/>
    <cellStyle name="Total 3 4 4 3 2" xfId="7461" xr:uid="{00000000-0005-0000-0000-0000620D0000}"/>
    <cellStyle name="Total 3 4 4 3 3" xfId="11470" xr:uid="{49946AD0-56C7-44D8-8388-4EF53BF0FCAC}"/>
    <cellStyle name="Total 3 4 4 4" xfId="4912" xr:uid="{00000000-0005-0000-0000-0000630D0000}"/>
    <cellStyle name="Total 3 4 4 5" xfId="8921" xr:uid="{4B3A306B-F0B4-47EC-AD3E-FF3982B452C7}"/>
    <cellStyle name="Total 3 4 4 6" xfId="12812" xr:uid="{4E8A0E01-E965-4424-B4C1-9009CDB92E70}"/>
    <cellStyle name="Total 3 4 5" xfId="2126" xr:uid="{00000000-0005-0000-0000-0000640D0000}"/>
    <cellStyle name="Total 3 4 5 2" xfId="6023" xr:uid="{00000000-0005-0000-0000-0000650D0000}"/>
    <cellStyle name="Total 3 4 5 3" xfId="10032" xr:uid="{34D72101-75D8-4679-98BD-04005993CC00}"/>
    <cellStyle name="Total 3 4 6" xfId="2956" xr:uid="{00000000-0005-0000-0000-0000660D0000}"/>
    <cellStyle name="Total 3 4 6 2" xfId="6850" xr:uid="{00000000-0005-0000-0000-0000670D0000}"/>
    <cellStyle name="Total 3 4 6 3" xfId="10859" xr:uid="{31D3BC2D-53D7-4D9E-9A9E-01267C022C70}"/>
    <cellStyle name="Total 3 4 7" xfId="4134" xr:uid="{00000000-0005-0000-0000-0000680D0000}"/>
    <cellStyle name="Total 3 4 8" xfId="8143" xr:uid="{793CD8A2-7F09-4388-AD8C-1A18A7A09DC2}"/>
    <cellStyle name="Total 3 4 9" xfId="12034" xr:uid="{9B53C669-1385-45BA-8CB5-674E3D4ED7AF}"/>
    <cellStyle name="Total 3 5" xfId="330" xr:uid="{00000000-0005-0000-0000-0000690D0000}"/>
    <cellStyle name="Total 3 5 2" xfId="660" xr:uid="{00000000-0005-0000-0000-00006A0D0000}"/>
    <cellStyle name="Total 3 5 2 2" xfId="1441" xr:uid="{00000000-0005-0000-0000-00006B0D0000}"/>
    <cellStyle name="Total 3 5 2 2 2" xfId="2136" xr:uid="{00000000-0005-0000-0000-00006C0D0000}"/>
    <cellStyle name="Total 3 5 2 2 2 2" xfId="6033" xr:uid="{00000000-0005-0000-0000-00006D0D0000}"/>
    <cellStyle name="Total 3 5 2 2 2 3" xfId="10042" xr:uid="{FC1AD30C-BFD6-4687-AA83-42C43EE75D45}"/>
    <cellStyle name="Total 3 5 2 2 3" xfId="3827" xr:uid="{00000000-0005-0000-0000-00006E0D0000}"/>
    <cellStyle name="Total 3 5 2 2 3 2" xfId="7721" xr:uid="{00000000-0005-0000-0000-00006F0D0000}"/>
    <cellStyle name="Total 3 5 2 2 3 3" xfId="11730" xr:uid="{0AF415C3-7C31-435F-B231-A25A81316A2D}"/>
    <cellStyle name="Total 3 5 2 2 4" xfId="5342" xr:uid="{00000000-0005-0000-0000-0000700D0000}"/>
    <cellStyle name="Total 3 5 2 2 5" xfId="9351" xr:uid="{648C9AE0-7914-4425-B634-670974DFA9D9}"/>
    <cellStyle name="Total 3 5 2 2 6" xfId="13242" xr:uid="{98D5E036-8BB6-469E-82AC-D357BD121664}"/>
    <cellStyle name="Total 3 5 2 3" xfId="2135" xr:uid="{00000000-0005-0000-0000-0000710D0000}"/>
    <cellStyle name="Total 3 5 2 3 2" xfId="6032" xr:uid="{00000000-0005-0000-0000-0000720D0000}"/>
    <cellStyle name="Total 3 5 2 3 3" xfId="10041" xr:uid="{2D24F65E-5625-4CD3-AC58-56DE1876CF5E}"/>
    <cellStyle name="Total 3 5 2 4" xfId="3386" xr:uid="{00000000-0005-0000-0000-0000730D0000}"/>
    <cellStyle name="Total 3 5 2 4 2" xfId="7280" xr:uid="{00000000-0005-0000-0000-0000740D0000}"/>
    <cellStyle name="Total 3 5 2 4 3" xfId="11289" xr:uid="{BB193841-F30D-4EFC-8945-34CF8EC1A5EA}"/>
    <cellStyle name="Total 3 5 2 5" xfId="4564" xr:uid="{00000000-0005-0000-0000-0000750D0000}"/>
    <cellStyle name="Total 3 5 2 6" xfId="8573" xr:uid="{2C78B7FC-A425-4698-A173-DEDA140C58D8}"/>
    <cellStyle name="Total 3 5 2 7" xfId="12464" xr:uid="{CA429EF3-2A40-4819-85B9-A2ADE12CAF5D}"/>
    <cellStyle name="Total 3 5 3" xfId="1120" xr:uid="{00000000-0005-0000-0000-0000760D0000}"/>
    <cellStyle name="Total 3 5 3 2" xfId="2137" xr:uid="{00000000-0005-0000-0000-0000770D0000}"/>
    <cellStyle name="Total 3 5 3 2 2" xfId="6034" xr:uid="{00000000-0005-0000-0000-0000780D0000}"/>
    <cellStyle name="Total 3 5 3 2 3" xfId="10043" xr:uid="{092E3EBB-CCBC-48D1-B1EE-3E48C365DD2F}"/>
    <cellStyle name="Total 3 5 3 3" xfId="3629" xr:uid="{00000000-0005-0000-0000-0000790D0000}"/>
    <cellStyle name="Total 3 5 3 3 2" xfId="7523" xr:uid="{00000000-0005-0000-0000-00007A0D0000}"/>
    <cellStyle name="Total 3 5 3 3 3" xfId="11532" xr:uid="{5D26BE4B-F01F-4EB9-ADE8-034AE06A5617}"/>
    <cellStyle name="Total 3 5 3 4" xfId="5021" xr:uid="{00000000-0005-0000-0000-00007B0D0000}"/>
    <cellStyle name="Total 3 5 3 5" xfId="9030" xr:uid="{9290B366-E6E5-4EE2-86D0-A4210A1F45BB}"/>
    <cellStyle name="Total 3 5 3 6" xfId="12921" xr:uid="{F015AB1A-935B-4630-AD09-CF8DE3F21582}"/>
    <cellStyle name="Total 3 5 4" xfId="2134" xr:uid="{00000000-0005-0000-0000-00007C0D0000}"/>
    <cellStyle name="Total 3 5 4 2" xfId="6031" xr:uid="{00000000-0005-0000-0000-00007D0D0000}"/>
    <cellStyle name="Total 3 5 4 3" xfId="10040" xr:uid="{0F197831-BCFE-4F32-A44B-7077B9D1AB45}"/>
    <cellStyle name="Total 3 5 5" xfId="3065" xr:uid="{00000000-0005-0000-0000-00007E0D0000}"/>
    <cellStyle name="Total 3 5 5 2" xfId="6959" xr:uid="{00000000-0005-0000-0000-00007F0D0000}"/>
    <cellStyle name="Total 3 5 5 3" xfId="10968" xr:uid="{B8657006-5EB9-405B-B418-051636610D59}"/>
    <cellStyle name="Total 3 5 6" xfId="4243" xr:uid="{00000000-0005-0000-0000-0000800D0000}"/>
    <cellStyle name="Total 3 5 7" xfId="8252" xr:uid="{7D3C3633-F4F6-45A4-8707-E3BCD0EFAEC6}"/>
    <cellStyle name="Total 3 5 8" xfId="12143" xr:uid="{15E90734-BF61-4CFC-B732-636777531588}"/>
    <cellStyle name="Total 3 6" xfId="492" xr:uid="{00000000-0005-0000-0000-0000810D0000}"/>
    <cellStyle name="Total 3 6 2" xfId="1276" xr:uid="{00000000-0005-0000-0000-0000820D0000}"/>
    <cellStyle name="Total 3 6 2 2" xfId="2139" xr:uid="{00000000-0005-0000-0000-0000830D0000}"/>
    <cellStyle name="Total 3 6 2 2 2" xfId="6036" xr:uid="{00000000-0005-0000-0000-0000840D0000}"/>
    <cellStyle name="Total 3 6 2 2 3" xfId="10045" xr:uid="{33CD7863-6C95-4AF3-9EDF-28277A8465EF}"/>
    <cellStyle name="Total 3 6 2 3" xfId="3728" xr:uid="{00000000-0005-0000-0000-0000850D0000}"/>
    <cellStyle name="Total 3 6 2 3 2" xfId="7622" xr:uid="{00000000-0005-0000-0000-0000860D0000}"/>
    <cellStyle name="Total 3 6 2 3 3" xfId="11631" xr:uid="{155E0A57-BCA2-4EA4-A71A-1672A1A7678E}"/>
    <cellStyle name="Total 3 6 2 4" xfId="5177" xr:uid="{00000000-0005-0000-0000-0000870D0000}"/>
    <cellStyle name="Total 3 6 2 5" xfId="9186" xr:uid="{EA31C15D-6640-4D7A-B620-6A5182B997D0}"/>
    <cellStyle name="Total 3 6 2 6" xfId="13077" xr:uid="{1E1B12BC-DB3B-4512-913E-CE788F21A62D}"/>
    <cellStyle name="Total 3 6 3" xfId="2138" xr:uid="{00000000-0005-0000-0000-0000880D0000}"/>
    <cellStyle name="Total 3 6 3 2" xfId="6035" xr:uid="{00000000-0005-0000-0000-0000890D0000}"/>
    <cellStyle name="Total 3 6 3 3" xfId="10044" xr:uid="{49A61566-0FA3-4EC5-B649-E0E4B8F9AF8C}"/>
    <cellStyle name="Total 3 6 4" xfId="3221" xr:uid="{00000000-0005-0000-0000-00008A0D0000}"/>
    <cellStyle name="Total 3 6 4 2" xfId="7115" xr:uid="{00000000-0005-0000-0000-00008B0D0000}"/>
    <cellStyle name="Total 3 6 4 3" xfId="11124" xr:uid="{34895A2C-06CD-4B1D-8980-191C065B8D23}"/>
    <cellStyle name="Total 3 6 5" xfId="4399" xr:uid="{00000000-0005-0000-0000-00008C0D0000}"/>
    <cellStyle name="Total 3 6 6" xfId="8408" xr:uid="{5F73C674-26BD-44F7-9BB5-CD35B6DD5047}"/>
    <cellStyle name="Total 3 6 7" xfId="12299" xr:uid="{9EE5214B-A4C7-4899-A935-A3666C50B1A4}"/>
    <cellStyle name="Total 3 7" xfId="955" xr:uid="{00000000-0005-0000-0000-00008D0D0000}"/>
    <cellStyle name="Total 3 7 2" xfId="2140" xr:uid="{00000000-0005-0000-0000-00008E0D0000}"/>
    <cellStyle name="Total 3 7 2 2" xfId="6037" xr:uid="{00000000-0005-0000-0000-00008F0D0000}"/>
    <cellStyle name="Total 3 7 2 3" xfId="10046" xr:uid="{381DFF10-C925-432F-AD53-5F095FCF8991}"/>
    <cellStyle name="Total 3 7 3" xfId="3530" xr:uid="{00000000-0005-0000-0000-0000900D0000}"/>
    <cellStyle name="Total 3 7 3 2" xfId="7424" xr:uid="{00000000-0005-0000-0000-0000910D0000}"/>
    <cellStyle name="Total 3 7 3 3" xfId="11433" xr:uid="{E3EE687D-E76C-415F-8937-6FB6B1EFE8CC}"/>
    <cellStyle name="Total 3 7 4" xfId="4856" xr:uid="{00000000-0005-0000-0000-0000920D0000}"/>
    <cellStyle name="Total 3 7 5" xfId="8865" xr:uid="{9CE7AD3E-C59C-46A4-B7A6-A378AA0921A0}"/>
    <cellStyle name="Total 3 7 6" xfId="12756" xr:uid="{7812A5B3-C552-4D16-92A6-909D3D6B4704}"/>
    <cellStyle name="Total 3 8" xfId="2093" xr:uid="{00000000-0005-0000-0000-0000930D0000}"/>
    <cellStyle name="Total 3 8 2" xfId="5990" xr:uid="{00000000-0005-0000-0000-0000940D0000}"/>
    <cellStyle name="Total 3 8 3" xfId="9999" xr:uid="{D8A1397F-2ECE-42A8-9064-57FC5BE47413}"/>
    <cellStyle name="Total 3 9" xfId="2900" xr:uid="{00000000-0005-0000-0000-0000950D0000}"/>
    <cellStyle name="Total 3 9 2" xfId="6794" xr:uid="{00000000-0005-0000-0000-0000960D0000}"/>
    <cellStyle name="Total 3 9 3" xfId="10803" xr:uid="{52B5B93C-D089-482D-87F6-A381997C5B7D}"/>
    <cellStyle name="Total 4" xfId="232" xr:uid="{00000000-0005-0000-0000-0000970D0000}"/>
    <cellStyle name="Total 4 10" xfId="13481" xr:uid="{F6867F23-3104-4865-8135-C4138B2B8F52}"/>
    <cellStyle name="Total 4 2" xfId="391" xr:uid="{00000000-0005-0000-0000-0000980D0000}"/>
    <cellStyle name="Total 4 2 2" xfId="721" xr:uid="{00000000-0005-0000-0000-0000990D0000}"/>
    <cellStyle name="Total 4 2 2 2" xfId="1502" xr:uid="{00000000-0005-0000-0000-00009A0D0000}"/>
    <cellStyle name="Total 4 2 2 2 2" xfId="2144" xr:uid="{00000000-0005-0000-0000-00009B0D0000}"/>
    <cellStyle name="Total 4 2 2 2 2 2" xfId="6041" xr:uid="{00000000-0005-0000-0000-00009C0D0000}"/>
    <cellStyle name="Total 4 2 2 2 2 3" xfId="10050" xr:uid="{1CAB54BB-9EE5-449F-862D-80178EC44D91}"/>
    <cellStyle name="Total 4 2 2 2 3" xfId="3869" xr:uid="{00000000-0005-0000-0000-00009D0D0000}"/>
    <cellStyle name="Total 4 2 2 2 3 2" xfId="7763" xr:uid="{00000000-0005-0000-0000-00009E0D0000}"/>
    <cellStyle name="Total 4 2 2 2 3 3" xfId="11772" xr:uid="{A464DF7C-736A-4DB3-855D-6E3BD7C5E919}"/>
    <cellStyle name="Total 4 2 2 2 4" xfId="5403" xr:uid="{00000000-0005-0000-0000-00009F0D0000}"/>
    <cellStyle name="Total 4 2 2 2 5" xfId="9412" xr:uid="{1A2D6C5A-975A-43ED-A413-B67199074D14}"/>
    <cellStyle name="Total 4 2 2 2 6" xfId="13303" xr:uid="{98F2AD22-88E5-4C46-99DC-A72A221C09C0}"/>
    <cellStyle name="Total 4 2 2 3" xfId="2143" xr:uid="{00000000-0005-0000-0000-0000A00D0000}"/>
    <cellStyle name="Total 4 2 2 3 2" xfId="6040" xr:uid="{00000000-0005-0000-0000-0000A10D0000}"/>
    <cellStyle name="Total 4 2 2 3 3" xfId="10049" xr:uid="{6FEE883C-E23C-4DCB-82F5-922225A89C6A}"/>
    <cellStyle name="Total 4 2 2 4" xfId="3447" xr:uid="{00000000-0005-0000-0000-0000A20D0000}"/>
    <cellStyle name="Total 4 2 2 4 2" xfId="7341" xr:uid="{00000000-0005-0000-0000-0000A30D0000}"/>
    <cellStyle name="Total 4 2 2 4 3" xfId="11350" xr:uid="{70808DA7-8FA5-457F-BA6C-D3265D2C2D08}"/>
    <cellStyle name="Total 4 2 2 5" xfId="4625" xr:uid="{00000000-0005-0000-0000-0000A40D0000}"/>
    <cellStyle name="Total 4 2 2 6" xfId="8634" xr:uid="{B088704A-3B6E-42B4-AF8F-875E6E3E55BD}"/>
    <cellStyle name="Total 4 2 2 7" xfId="12525" xr:uid="{14212D3D-A596-401C-859A-5D6E6AFFC56E}"/>
    <cellStyle name="Total 4 2 3" xfId="1181" xr:uid="{00000000-0005-0000-0000-0000A50D0000}"/>
    <cellStyle name="Total 4 2 3 2" xfId="2145" xr:uid="{00000000-0005-0000-0000-0000A60D0000}"/>
    <cellStyle name="Total 4 2 3 2 2" xfId="6042" xr:uid="{00000000-0005-0000-0000-0000A70D0000}"/>
    <cellStyle name="Total 4 2 3 2 3" xfId="10051" xr:uid="{2718D341-C983-445C-9810-DE063F00B2C2}"/>
    <cellStyle name="Total 4 2 3 3" xfId="3671" xr:uid="{00000000-0005-0000-0000-0000A80D0000}"/>
    <cellStyle name="Total 4 2 3 3 2" xfId="7565" xr:uid="{00000000-0005-0000-0000-0000A90D0000}"/>
    <cellStyle name="Total 4 2 3 3 3" xfId="11574" xr:uid="{24B0A843-0059-49B1-8CD5-E90D12D920C6}"/>
    <cellStyle name="Total 4 2 3 4" xfId="5082" xr:uid="{00000000-0005-0000-0000-0000AA0D0000}"/>
    <cellStyle name="Total 4 2 3 5" xfId="9091" xr:uid="{E3EA0BE2-1C85-411F-A4A7-22B2A80D2E5B}"/>
    <cellStyle name="Total 4 2 3 6" xfId="12982" xr:uid="{1565959D-8708-4C32-AC35-F125BEE02DF4}"/>
    <cellStyle name="Total 4 2 4" xfId="2142" xr:uid="{00000000-0005-0000-0000-0000AB0D0000}"/>
    <cellStyle name="Total 4 2 4 2" xfId="6039" xr:uid="{00000000-0005-0000-0000-0000AC0D0000}"/>
    <cellStyle name="Total 4 2 4 3" xfId="10048" xr:uid="{56B899AA-B059-4248-9C26-42A134413BCB}"/>
    <cellStyle name="Total 4 2 5" xfId="3126" xr:uid="{00000000-0005-0000-0000-0000AD0D0000}"/>
    <cellStyle name="Total 4 2 5 2" xfId="7020" xr:uid="{00000000-0005-0000-0000-0000AE0D0000}"/>
    <cellStyle name="Total 4 2 5 3" xfId="11029" xr:uid="{1D1C2D2F-C662-41A3-86A4-62D2EDD1FEA0}"/>
    <cellStyle name="Total 4 2 6" xfId="4304" xr:uid="{00000000-0005-0000-0000-0000AF0D0000}"/>
    <cellStyle name="Total 4 2 7" xfId="8313" xr:uid="{5A3217B3-34FB-4227-AF5B-A80325A934CC}"/>
    <cellStyle name="Total 4 2 8" xfId="12204" xr:uid="{7D740EAF-722E-4756-A520-E249004CFB68}"/>
    <cellStyle name="Total 4 3" xfId="562" xr:uid="{00000000-0005-0000-0000-0000B00D0000}"/>
    <cellStyle name="Total 4 3 2" xfId="1343" xr:uid="{00000000-0005-0000-0000-0000B10D0000}"/>
    <cellStyle name="Total 4 3 2 2" xfId="2147" xr:uid="{00000000-0005-0000-0000-0000B20D0000}"/>
    <cellStyle name="Total 4 3 2 2 2" xfId="6044" xr:uid="{00000000-0005-0000-0000-0000B30D0000}"/>
    <cellStyle name="Total 4 3 2 2 3" xfId="10053" xr:uid="{E7E2D747-5278-4660-A659-87869BC7AC29}"/>
    <cellStyle name="Total 4 3 2 3" xfId="3770" xr:uid="{00000000-0005-0000-0000-0000B40D0000}"/>
    <cellStyle name="Total 4 3 2 3 2" xfId="7664" xr:uid="{00000000-0005-0000-0000-0000B50D0000}"/>
    <cellStyle name="Total 4 3 2 3 3" xfId="11673" xr:uid="{93617205-2770-40F3-9060-EAE3241D6237}"/>
    <cellStyle name="Total 4 3 2 4" xfId="5244" xr:uid="{00000000-0005-0000-0000-0000B60D0000}"/>
    <cellStyle name="Total 4 3 2 5" xfId="9253" xr:uid="{36815656-4AD8-4921-907E-96A7F57A1CC1}"/>
    <cellStyle name="Total 4 3 2 6" xfId="13144" xr:uid="{F078B7B9-79DC-4225-BDDF-8E134D6D64A8}"/>
    <cellStyle name="Total 4 3 3" xfId="2146" xr:uid="{00000000-0005-0000-0000-0000B70D0000}"/>
    <cellStyle name="Total 4 3 3 2" xfId="6043" xr:uid="{00000000-0005-0000-0000-0000B80D0000}"/>
    <cellStyle name="Total 4 3 3 3" xfId="10052" xr:uid="{1EBFF6B5-3C3A-4B42-B94B-5539D2A7CDB2}"/>
    <cellStyle name="Total 4 3 4" xfId="3288" xr:uid="{00000000-0005-0000-0000-0000B90D0000}"/>
    <cellStyle name="Total 4 3 4 2" xfId="7182" xr:uid="{00000000-0005-0000-0000-0000BA0D0000}"/>
    <cellStyle name="Total 4 3 4 3" xfId="11191" xr:uid="{52873F06-FF18-403D-B924-43F22FF5A8B7}"/>
    <cellStyle name="Total 4 3 5" xfId="4466" xr:uid="{00000000-0005-0000-0000-0000BB0D0000}"/>
    <cellStyle name="Total 4 3 6" xfId="8475" xr:uid="{3DFD9C8A-F832-464D-B5AA-8D5BDF4CA365}"/>
    <cellStyle name="Total 4 3 7" xfId="12366" xr:uid="{A61A6A69-163C-456F-AFB0-DAE39E048491}"/>
    <cellStyle name="Total 4 4" xfId="1022" xr:uid="{00000000-0005-0000-0000-0000BC0D0000}"/>
    <cellStyle name="Total 4 4 2" xfId="2148" xr:uid="{00000000-0005-0000-0000-0000BD0D0000}"/>
    <cellStyle name="Total 4 4 2 2" xfId="6045" xr:uid="{00000000-0005-0000-0000-0000BE0D0000}"/>
    <cellStyle name="Total 4 4 2 3" xfId="10054" xr:uid="{073735B4-D7D0-48FA-9870-A629F08B7777}"/>
    <cellStyle name="Total 4 4 3" xfId="3572" xr:uid="{00000000-0005-0000-0000-0000BF0D0000}"/>
    <cellStyle name="Total 4 4 3 2" xfId="7466" xr:uid="{00000000-0005-0000-0000-0000C00D0000}"/>
    <cellStyle name="Total 4 4 3 3" xfId="11475" xr:uid="{CC963935-DEDC-4166-BA09-A21061C669FE}"/>
    <cellStyle name="Total 4 4 4" xfId="4923" xr:uid="{00000000-0005-0000-0000-0000C10D0000}"/>
    <cellStyle name="Total 4 4 5" xfId="8932" xr:uid="{9A56DE4C-37ED-4125-8747-F83C7174E29D}"/>
    <cellStyle name="Total 4 4 6" xfId="12823" xr:uid="{7CA3F314-7A76-4225-BED6-DEDA0799BB7E}"/>
    <cellStyle name="Total 4 5" xfId="2141" xr:uid="{00000000-0005-0000-0000-0000C20D0000}"/>
    <cellStyle name="Total 4 5 2" xfId="6038" xr:uid="{00000000-0005-0000-0000-0000C30D0000}"/>
    <cellStyle name="Total 4 5 3" xfId="10047" xr:uid="{1F0E503F-52FE-4A78-93ED-C43EB6E74832}"/>
    <cellStyle name="Total 4 6" xfId="2967" xr:uid="{00000000-0005-0000-0000-0000C40D0000}"/>
    <cellStyle name="Total 4 6 2" xfId="6861" xr:uid="{00000000-0005-0000-0000-0000C50D0000}"/>
    <cellStyle name="Total 4 6 3" xfId="10870" xr:uid="{21CD859B-5160-4A96-8E5D-9210965B9D7C}"/>
    <cellStyle name="Total 4 7" xfId="4145" xr:uid="{00000000-0005-0000-0000-0000C60D0000}"/>
    <cellStyle name="Total 4 8" xfId="8154" xr:uid="{AC82F534-1548-4881-AB98-7F93C8E2FC49}"/>
    <cellStyle name="Total 4 9" xfId="12045" xr:uid="{30417847-43E6-4B1A-B1F7-B9D908A5714A}"/>
    <cellStyle name="Total 5" xfId="244" xr:uid="{00000000-0005-0000-0000-0000C70D0000}"/>
    <cellStyle name="Total 5 10" xfId="13493" xr:uid="{5A234BA3-DCDC-4C62-A1BE-AAD0444B81D0}"/>
    <cellStyle name="Total 5 2" xfId="403" xr:uid="{00000000-0005-0000-0000-0000C80D0000}"/>
    <cellStyle name="Total 5 2 2" xfId="733" xr:uid="{00000000-0005-0000-0000-0000C90D0000}"/>
    <cellStyle name="Total 5 2 2 2" xfId="1514" xr:uid="{00000000-0005-0000-0000-0000CA0D0000}"/>
    <cellStyle name="Total 5 2 2 2 2" xfId="2152" xr:uid="{00000000-0005-0000-0000-0000CB0D0000}"/>
    <cellStyle name="Total 5 2 2 2 2 2" xfId="6049" xr:uid="{00000000-0005-0000-0000-0000CC0D0000}"/>
    <cellStyle name="Total 5 2 2 2 2 3" xfId="10058" xr:uid="{C5EE65CA-7E6E-4B0C-9E8A-7F93B5B28C93}"/>
    <cellStyle name="Total 5 2 2 2 3" xfId="3876" xr:uid="{00000000-0005-0000-0000-0000CD0D0000}"/>
    <cellStyle name="Total 5 2 2 2 3 2" xfId="7770" xr:uid="{00000000-0005-0000-0000-0000CE0D0000}"/>
    <cellStyle name="Total 5 2 2 2 3 3" xfId="11779" xr:uid="{6AA2D87A-C8B3-45AB-8866-F458A649579B}"/>
    <cellStyle name="Total 5 2 2 2 4" xfId="5415" xr:uid="{00000000-0005-0000-0000-0000CF0D0000}"/>
    <cellStyle name="Total 5 2 2 2 5" xfId="9424" xr:uid="{CD977A31-A63E-4A1A-A5B3-B49478E5F6E3}"/>
    <cellStyle name="Total 5 2 2 2 6" xfId="13315" xr:uid="{E5B55E05-A333-4E62-83E3-EF8065BC4358}"/>
    <cellStyle name="Total 5 2 2 3" xfId="2151" xr:uid="{00000000-0005-0000-0000-0000D00D0000}"/>
    <cellStyle name="Total 5 2 2 3 2" xfId="6048" xr:uid="{00000000-0005-0000-0000-0000D10D0000}"/>
    <cellStyle name="Total 5 2 2 3 3" xfId="10057" xr:uid="{F43D76B1-EF3A-403E-83EC-5B78CBF7B839}"/>
    <cellStyle name="Total 5 2 2 4" xfId="3459" xr:uid="{00000000-0005-0000-0000-0000D20D0000}"/>
    <cellStyle name="Total 5 2 2 4 2" xfId="7353" xr:uid="{00000000-0005-0000-0000-0000D30D0000}"/>
    <cellStyle name="Total 5 2 2 4 3" xfId="11362" xr:uid="{088F06D9-95DE-4E9F-BD35-567152A4349F}"/>
    <cellStyle name="Total 5 2 2 5" xfId="4637" xr:uid="{00000000-0005-0000-0000-0000D40D0000}"/>
    <cellStyle name="Total 5 2 2 6" xfId="8646" xr:uid="{04590127-529C-402F-AD50-A64AFA641576}"/>
    <cellStyle name="Total 5 2 2 7" xfId="12537" xr:uid="{DA1B3A92-721E-44D8-B531-E8DBA73073C9}"/>
    <cellStyle name="Total 5 2 3" xfId="1193" xr:uid="{00000000-0005-0000-0000-0000D50D0000}"/>
    <cellStyle name="Total 5 2 3 2" xfId="2153" xr:uid="{00000000-0005-0000-0000-0000D60D0000}"/>
    <cellStyle name="Total 5 2 3 2 2" xfId="6050" xr:uid="{00000000-0005-0000-0000-0000D70D0000}"/>
    <cellStyle name="Total 5 2 3 2 3" xfId="10059" xr:uid="{A5B00D85-802B-4F01-AF79-64D4C74F7703}"/>
    <cellStyle name="Total 5 2 3 3" xfId="3678" xr:uid="{00000000-0005-0000-0000-0000D80D0000}"/>
    <cellStyle name="Total 5 2 3 3 2" xfId="7572" xr:uid="{00000000-0005-0000-0000-0000D90D0000}"/>
    <cellStyle name="Total 5 2 3 3 3" xfId="11581" xr:uid="{688D2548-0CDD-4372-B018-87828A3A3C87}"/>
    <cellStyle name="Total 5 2 3 4" xfId="5094" xr:uid="{00000000-0005-0000-0000-0000DA0D0000}"/>
    <cellStyle name="Total 5 2 3 5" xfId="9103" xr:uid="{F8EE78E3-146B-4182-95B6-1603C91BF44A}"/>
    <cellStyle name="Total 5 2 3 6" xfId="12994" xr:uid="{53AE4FE3-2DB1-4E42-81EC-EF8C33F2CF4F}"/>
    <cellStyle name="Total 5 2 4" xfId="2150" xr:uid="{00000000-0005-0000-0000-0000DB0D0000}"/>
    <cellStyle name="Total 5 2 4 2" xfId="6047" xr:uid="{00000000-0005-0000-0000-0000DC0D0000}"/>
    <cellStyle name="Total 5 2 4 3" xfId="10056" xr:uid="{AD99C4B4-F90E-4EEF-8B10-1AD96C14F678}"/>
    <cellStyle name="Total 5 2 5" xfId="3138" xr:uid="{00000000-0005-0000-0000-0000DD0D0000}"/>
    <cellStyle name="Total 5 2 5 2" xfId="7032" xr:uid="{00000000-0005-0000-0000-0000DE0D0000}"/>
    <cellStyle name="Total 5 2 5 3" xfId="11041" xr:uid="{8E643898-66DE-47CE-961F-0574D0AD360E}"/>
    <cellStyle name="Total 5 2 6" xfId="4316" xr:uid="{00000000-0005-0000-0000-0000DF0D0000}"/>
    <cellStyle name="Total 5 2 7" xfId="8325" xr:uid="{E45B5F12-F12A-4A89-BA87-4E18EF199685}"/>
    <cellStyle name="Total 5 2 8" xfId="12216" xr:uid="{50CC4160-379E-4EF7-8F69-B03D15DEA9EF}"/>
    <cellStyle name="Total 5 3" xfId="574" xr:uid="{00000000-0005-0000-0000-0000E00D0000}"/>
    <cellStyle name="Total 5 3 2" xfId="1355" xr:uid="{00000000-0005-0000-0000-0000E10D0000}"/>
    <cellStyle name="Total 5 3 2 2" xfId="2155" xr:uid="{00000000-0005-0000-0000-0000E20D0000}"/>
    <cellStyle name="Total 5 3 2 2 2" xfId="6052" xr:uid="{00000000-0005-0000-0000-0000E30D0000}"/>
    <cellStyle name="Total 5 3 2 2 3" xfId="10061" xr:uid="{5A25C398-2184-4AC4-8850-5C136B2D83D0}"/>
    <cellStyle name="Total 5 3 2 3" xfId="3777" xr:uid="{00000000-0005-0000-0000-0000E40D0000}"/>
    <cellStyle name="Total 5 3 2 3 2" xfId="7671" xr:uid="{00000000-0005-0000-0000-0000E50D0000}"/>
    <cellStyle name="Total 5 3 2 3 3" xfId="11680" xr:uid="{5F00A3B3-B6B3-4932-8754-08EE6A9A3179}"/>
    <cellStyle name="Total 5 3 2 4" xfId="5256" xr:uid="{00000000-0005-0000-0000-0000E60D0000}"/>
    <cellStyle name="Total 5 3 2 5" xfId="9265" xr:uid="{2879646B-984D-4E12-8231-DB1D124836F7}"/>
    <cellStyle name="Total 5 3 2 6" xfId="13156" xr:uid="{9747F680-7043-43F4-81CC-28A5027D1D15}"/>
    <cellStyle name="Total 5 3 3" xfId="2154" xr:uid="{00000000-0005-0000-0000-0000E70D0000}"/>
    <cellStyle name="Total 5 3 3 2" xfId="6051" xr:uid="{00000000-0005-0000-0000-0000E80D0000}"/>
    <cellStyle name="Total 5 3 3 3" xfId="10060" xr:uid="{6F8516E5-8653-4A09-9427-B2D0BDBCCF35}"/>
    <cellStyle name="Total 5 3 4" xfId="3300" xr:uid="{00000000-0005-0000-0000-0000E90D0000}"/>
    <cellStyle name="Total 5 3 4 2" xfId="7194" xr:uid="{00000000-0005-0000-0000-0000EA0D0000}"/>
    <cellStyle name="Total 5 3 4 3" xfId="11203" xr:uid="{D2B63D62-432D-44E9-8560-B0E6DBBF681E}"/>
    <cellStyle name="Total 5 3 5" xfId="4478" xr:uid="{00000000-0005-0000-0000-0000EB0D0000}"/>
    <cellStyle name="Total 5 3 6" xfId="8487" xr:uid="{F75CB109-5363-4780-8B54-FDB3A357543E}"/>
    <cellStyle name="Total 5 3 7" xfId="12378" xr:uid="{5E70231B-EAEC-46EA-811A-C77A8E4D1371}"/>
    <cellStyle name="Total 5 4" xfId="1034" xr:uid="{00000000-0005-0000-0000-0000EC0D0000}"/>
    <cellStyle name="Total 5 4 2" xfId="2156" xr:uid="{00000000-0005-0000-0000-0000ED0D0000}"/>
    <cellStyle name="Total 5 4 2 2" xfId="6053" xr:uid="{00000000-0005-0000-0000-0000EE0D0000}"/>
    <cellStyle name="Total 5 4 2 3" xfId="10062" xr:uid="{54F44C45-CF08-4F56-9EE4-77F9E3379DE3}"/>
    <cellStyle name="Total 5 4 3" xfId="3579" xr:uid="{00000000-0005-0000-0000-0000EF0D0000}"/>
    <cellStyle name="Total 5 4 3 2" xfId="7473" xr:uid="{00000000-0005-0000-0000-0000F00D0000}"/>
    <cellStyle name="Total 5 4 3 3" xfId="11482" xr:uid="{78B5628E-689B-46D7-B1B2-44F6C19289A9}"/>
    <cellStyle name="Total 5 4 4" xfId="4935" xr:uid="{00000000-0005-0000-0000-0000F10D0000}"/>
    <cellStyle name="Total 5 4 5" xfId="8944" xr:uid="{44A77EF8-040D-495F-9723-9700F4220B85}"/>
    <cellStyle name="Total 5 4 6" xfId="12835" xr:uid="{00881873-8D9B-4B03-A875-1DF9C3FCBFC4}"/>
    <cellStyle name="Total 5 5" xfId="2149" xr:uid="{00000000-0005-0000-0000-0000F20D0000}"/>
    <cellStyle name="Total 5 5 2" xfId="6046" xr:uid="{00000000-0005-0000-0000-0000F30D0000}"/>
    <cellStyle name="Total 5 5 3" xfId="10055" xr:uid="{021F32FB-A602-4435-BAC2-A3649B9829E4}"/>
    <cellStyle name="Total 5 6" xfId="2979" xr:uid="{00000000-0005-0000-0000-0000F40D0000}"/>
    <cellStyle name="Total 5 6 2" xfId="6873" xr:uid="{00000000-0005-0000-0000-0000F50D0000}"/>
    <cellStyle name="Total 5 6 3" xfId="10882" xr:uid="{95823C26-DEC7-41AC-A0DA-AC22C973131D}"/>
    <cellStyle name="Total 5 7" xfId="4157" xr:uid="{00000000-0005-0000-0000-0000F60D0000}"/>
    <cellStyle name="Total 5 8" xfId="8166" xr:uid="{77130DCA-6620-4C79-86A2-EA8D048B6CD1}"/>
    <cellStyle name="Total 5 9" xfId="12057" xr:uid="{FF4B99BF-EBB0-4401-9ADD-9ACB5767909D}"/>
    <cellStyle name="Total 6" xfId="312" xr:uid="{00000000-0005-0000-0000-0000F70D0000}"/>
    <cellStyle name="Total 6 2" xfId="642" xr:uid="{00000000-0005-0000-0000-0000F80D0000}"/>
    <cellStyle name="Total 6 2 2" xfId="1423" xr:uid="{00000000-0005-0000-0000-0000F90D0000}"/>
    <cellStyle name="Total 6 2 2 2" xfId="2159" xr:uid="{00000000-0005-0000-0000-0000FA0D0000}"/>
    <cellStyle name="Total 6 2 2 2 2" xfId="6056" xr:uid="{00000000-0005-0000-0000-0000FB0D0000}"/>
    <cellStyle name="Total 6 2 2 2 3" xfId="10065" xr:uid="{0A655819-53B5-4291-AB4B-1BE205BC082A}"/>
    <cellStyle name="Total 6 2 2 3" xfId="3817" xr:uid="{00000000-0005-0000-0000-0000FC0D0000}"/>
    <cellStyle name="Total 6 2 2 3 2" xfId="7711" xr:uid="{00000000-0005-0000-0000-0000FD0D0000}"/>
    <cellStyle name="Total 6 2 2 3 3" xfId="11720" xr:uid="{D4D96764-7BB1-4202-ABAF-3E3B17230EB7}"/>
    <cellStyle name="Total 6 2 2 4" xfId="5324" xr:uid="{00000000-0005-0000-0000-0000FE0D0000}"/>
    <cellStyle name="Total 6 2 2 5" xfId="9333" xr:uid="{CA9E448E-C3E2-4C72-B8E6-92D73F5DFAC2}"/>
    <cellStyle name="Total 6 2 2 6" xfId="13224" xr:uid="{F0404432-9352-469C-84C6-378EA0635A92}"/>
    <cellStyle name="Total 6 2 3" xfId="2158" xr:uid="{00000000-0005-0000-0000-0000FF0D0000}"/>
    <cellStyle name="Total 6 2 3 2" xfId="6055" xr:uid="{00000000-0005-0000-0000-0000000E0000}"/>
    <cellStyle name="Total 6 2 3 3" xfId="10064" xr:uid="{C768409E-0EEE-4F9D-87C8-20D6BD0CED1E}"/>
    <cellStyle name="Total 6 2 4" xfId="3368" xr:uid="{00000000-0005-0000-0000-0000010E0000}"/>
    <cellStyle name="Total 6 2 4 2" xfId="7262" xr:uid="{00000000-0005-0000-0000-0000020E0000}"/>
    <cellStyle name="Total 6 2 4 3" xfId="11271" xr:uid="{D69FFFCC-98BF-4241-A533-33055685FC32}"/>
    <cellStyle name="Total 6 2 5" xfId="4546" xr:uid="{00000000-0005-0000-0000-0000030E0000}"/>
    <cellStyle name="Total 6 2 6" xfId="8555" xr:uid="{02FE91A3-8A03-4D77-A5E2-E2BAF9E7BD37}"/>
    <cellStyle name="Total 6 2 7" xfId="12446" xr:uid="{77B4106D-16AD-4EF8-B9C4-7BD950B9A66D}"/>
    <cellStyle name="Total 6 3" xfId="1102" xr:uid="{00000000-0005-0000-0000-0000040E0000}"/>
    <cellStyle name="Total 6 3 2" xfId="2160" xr:uid="{00000000-0005-0000-0000-0000050E0000}"/>
    <cellStyle name="Total 6 3 2 2" xfId="6057" xr:uid="{00000000-0005-0000-0000-0000060E0000}"/>
    <cellStyle name="Total 6 3 2 3" xfId="10066" xr:uid="{2DB54134-778C-4E5C-B9E7-6C7548310D39}"/>
    <cellStyle name="Total 6 3 3" xfId="3619" xr:uid="{00000000-0005-0000-0000-0000070E0000}"/>
    <cellStyle name="Total 6 3 3 2" xfId="7513" xr:uid="{00000000-0005-0000-0000-0000080E0000}"/>
    <cellStyle name="Total 6 3 3 3" xfId="11522" xr:uid="{DAF4CFD9-28CB-4CBE-933F-D9E433A74FC8}"/>
    <cellStyle name="Total 6 3 4" xfId="5003" xr:uid="{00000000-0005-0000-0000-0000090E0000}"/>
    <cellStyle name="Total 6 3 5" xfId="9012" xr:uid="{1CEC0FF0-79E9-487B-BF60-FA475C087044}"/>
    <cellStyle name="Total 6 3 6" xfId="12903" xr:uid="{D91880F2-4C64-45F1-BED7-F1F010CDA015}"/>
    <cellStyle name="Total 6 4" xfId="2157" xr:uid="{00000000-0005-0000-0000-00000A0E0000}"/>
    <cellStyle name="Total 6 4 2" xfId="6054" xr:uid="{00000000-0005-0000-0000-00000B0E0000}"/>
    <cellStyle name="Total 6 4 3" xfId="10063" xr:uid="{4C175F6B-4F5C-4A23-A89D-EAEF4583B10C}"/>
    <cellStyle name="Total 6 5" xfId="3047" xr:uid="{00000000-0005-0000-0000-00000C0E0000}"/>
    <cellStyle name="Total 6 5 2" xfId="6941" xr:uid="{00000000-0005-0000-0000-00000D0E0000}"/>
    <cellStyle name="Total 6 5 3" xfId="10950" xr:uid="{BABA3F1D-AC5E-4957-B974-6AF2C0DDDA23}"/>
    <cellStyle name="Total 6 6" xfId="4225" xr:uid="{00000000-0005-0000-0000-00000E0E0000}"/>
    <cellStyle name="Total 6 7" xfId="8234" xr:uid="{111A61D1-C721-423F-924E-4C60363B62A4}"/>
    <cellStyle name="Total 6 8" xfId="12125" xr:uid="{7627D23C-BE6E-4A84-92DC-9F089D1911B4}"/>
    <cellStyle name="Total 7" xfId="474" xr:uid="{00000000-0005-0000-0000-00000F0E0000}"/>
    <cellStyle name="Total 7 2" xfId="1258" xr:uid="{00000000-0005-0000-0000-0000100E0000}"/>
    <cellStyle name="Total 7 2 2" xfId="2162" xr:uid="{00000000-0005-0000-0000-0000110E0000}"/>
    <cellStyle name="Total 7 2 2 2" xfId="6059" xr:uid="{00000000-0005-0000-0000-0000120E0000}"/>
    <cellStyle name="Total 7 2 2 3" xfId="10068" xr:uid="{DB7BDB27-B941-4291-913E-BC70EC0C9235}"/>
    <cellStyle name="Total 7 2 3" xfId="3718" xr:uid="{00000000-0005-0000-0000-0000130E0000}"/>
    <cellStyle name="Total 7 2 3 2" xfId="7612" xr:uid="{00000000-0005-0000-0000-0000140E0000}"/>
    <cellStyle name="Total 7 2 3 3" xfId="11621" xr:uid="{5B569A39-E634-4971-9C2A-D30FD450250E}"/>
    <cellStyle name="Total 7 2 4" xfId="5159" xr:uid="{00000000-0005-0000-0000-0000150E0000}"/>
    <cellStyle name="Total 7 2 5" xfId="9168" xr:uid="{2EA94F9D-A193-45E1-8F32-EDA0D89201A5}"/>
    <cellStyle name="Total 7 2 6" xfId="13059" xr:uid="{B7FEF98A-B1FE-40C2-AC8B-FDDA0A39DC0C}"/>
    <cellStyle name="Total 7 3" xfId="2161" xr:uid="{00000000-0005-0000-0000-0000160E0000}"/>
    <cellStyle name="Total 7 3 2" xfId="6058" xr:uid="{00000000-0005-0000-0000-0000170E0000}"/>
    <cellStyle name="Total 7 3 3" xfId="10067" xr:uid="{2D344E09-F0B0-47F9-8F1D-E5C24F9AD0BD}"/>
    <cellStyle name="Total 7 4" xfId="3203" xr:uid="{00000000-0005-0000-0000-0000180E0000}"/>
    <cellStyle name="Total 7 4 2" xfId="7097" xr:uid="{00000000-0005-0000-0000-0000190E0000}"/>
    <cellStyle name="Total 7 4 3" xfId="11106" xr:uid="{388003D8-80BC-4928-8603-06086059051B}"/>
    <cellStyle name="Total 7 5" xfId="4381" xr:uid="{00000000-0005-0000-0000-00001A0E0000}"/>
    <cellStyle name="Total 7 6" xfId="8390" xr:uid="{532B8E22-0078-4D83-9EF2-81C8B06E6087}"/>
    <cellStyle name="Total 7 7" xfId="12281" xr:uid="{091F3B40-CEB9-4ABB-A0FE-3C397391183A}"/>
    <cellStyle name="Total 8" xfId="937" xr:uid="{00000000-0005-0000-0000-00001B0E0000}"/>
    <cellStyle name="Total 8 2" xfId="2163" xr:uid="{00000000-0005-0000-0000-00001C0E0000}"/>
    <cellStyle name="Total 8 2 2" xfId="6060" xr:uid="{00000000-0005-0000-0000-00001D0E0000}"/>
    <cellStyle name="Total 8 2 3" xfId="10069" xr:uid="{7575327C-38B8-426E-9D86-F30CCBC2C66E}"/>
    <cellStyle name="Total 8 3" xfId="3520" xr:uid="{00000000-0005-0000-0000-00001E0E0000}"/>
    <cellStyle name="Total 8 3 2" xfId="7414" xr:uid="{00000000-0005-0000-0000-00001F0E0000}"/>
    <cellStyle name="Total 8 3 3" xfId="11423" xr:uid="{371A4066-9E44-49D4-B538-759F155C93D6}"/>
    <cellStyle name="Total 8 4" xfId="4838" xr:uid="{00000000-0005-0000-0000-0000200E0000}"/>
    <cellStyle name="Total 8 5" xfId="8847" xr:uid="{716C438C-2EDC-4968-AA38-92A00B8EA510}"/>
    <cellStyle name="Total 8 6" xfId="12738" xr:uid="{F415A2B1-2CE8-4EA6-86CB-B8F0CF586A55}"/>
    <cellStyle name="Total 9" xfId="2044" xr:uid="{00000000-0005-0000-0000-0000210E0000}"/>
    <cellStyle name="Total 9 2" xfId="5941" xr:uid="{00000000-0005-0000-0000-0000220E0000}"/>
    <cellStyle name="Total 9 3" xfId="9950" xr:uid="{89508C0D-25DF-41DB-A129-E2DBD4961B5B}"/>
    <cellStyle name="Warning Text" xfId="104" xr:uid="{00000000-0005-0000-0000-0000230E0000}"/>
    <cellStyle name="Акцент1 2" xfId="39" xr:uid="{00000000-0005-0000-0000-0000240E0000}"/>
    <cellStyle name="Акцент1 2 2" xfId="141" xr:uid="{00000000-0005-0000-0000-0000250E0000}"/>
    <cellStyle name="Акцент1 3" xfId="191" xr:uid="{00000000-0005-0000-0000-0000260E0000}"/>
    <cellStyle name="Акцент2 2" xfId="40" xr:uid="{00000000-0005-0000-0000-0000270E0000}"/>
    <cellStyle name="Акцент2 2 2" xfId="142" xr:uid="{00000000-0005-0000-0000-0000280E0000}"/>
    <cellStyle name="Акцент3 2" xfId="41" xr:uid="{00000000-0005-0000-0000-0000290E0000}"/>
    <cellStyle name="Акцент3 2 2" xfId="143" xr:uid="{00000000-0005-0000-0000-00002A0E0000}"/>
    <cellStyle name="Акцент4 2" xfId="42" xr:uid="{00000000-0005-0000-0000-00002B0E0000}"/>
    <cellStyle name="Акцент4 2 2" xfId="144" xr:uid="{00000000-0005-0000-0000-00002C0E0000}"/>
    <cellStyle name="Акцент5 2" xfId="43" xr:uid="{00000000-0005-0000-0000-00002D0E0000}"/>
    <cellStyle name="Акцент5 2 2" xfId="145" xr:uid="{00000000-0005-0000-0000-00002E0E0000}"/>
    <cellStyle name="Акцент6 2" xfId="44" xr:uid="{00000000-0005-0000-0000-00002F0E0000}"/>
    <cellStyle name="Акцент6 2 2" xfId="146" xr:uid="{00000000-0005-0000-0000-0000300E0000}"/>
    <cellStyle name="Акцент6 3" xfId="8012" xr:uid="{8905A968-8341-46A1-BBF3-40CDEE43386E}"/>
    <cellStyle name="Ввод  2" xfId="45" xr:uid="{00000000-0005-0000-0000-0000310E0000}"/>
    <cellStyle name="Ввод  2 10" xfId="2164" xr:uid="{00000000-0005-0000-0000-0000320E0000}"/>
    <cellStyle name="Ввод  2 10 2" xfId="6061" xr:uid="{00000000-0005-0000-0000-0000330E0000}"/>
    <cellStyle name="Ввод  2 10 3" xfId="10070" xr:uid="{04B34D59-8AC7-4F8B-84C3-E31DFB6A9442}"/>
    <cellStyle name="Ввод  2 11" xfId="2873" xr:uid="{00000000-0005-0000-0000-0000340E0000}"/>
    <cellStyle name="Ввод  2 11 2" xfId="6767" xr:uid="{00000000-0005-0000-0000-0000350E0000}"/>
    <cellStyle name="Ввод  2 11 3" xfId="10776" xr:uid="{C7FB7D48-7D57-43BB-A8AA-D7247E794963}"/>
    <cellStyle name="Ввод  2 12" xfId="4051" xr:uid="{00000000-0005-0000-0000-0000360E0000}"/>
    <cellStyle name="Ввод  2 13" xfId="8060" xr:uid="{CE13D2A8-C6C3-46A2-8CDA-404411F5ABDB}"/>
    <cellStyle name="Ввод  2 14" xfId="11951" xr:uid="{8C4AB43B-18A1-4856-9B81-DC986B747E19}"/>
    <cellStyle name="Ввод  2 15" xfId="13387" xr:uid="{0F0AEE59-E0DB-4681-BAE4-8073CA3151EC}"/>
    <cellStyle name="Ввод  2 2" xfId="107" xr:uid="{00000000-0005-0000-0000-0000370E0000}"/>
    <cellStyle name="Ввод  2 2 10" xfId="4061" xr:uid="{00000000-0005-0000-0000-0000380E0000}"/>
    <cellStyle name="Ввод  2 2 11" xfId="8070" xr:uid="{4FA8491B-D7CC-4044-828C-1991F7942C7C}"/>
    <cellStyle name="Ввод  2 2 12" xfId="11961" xr:uid="{2BA05B7A-70C4-468A-A0E8-F1A0F9B5E7D2}"/>
    <cellStyle name="Ввод  2 2 13" xfId="13397" xr:uid="{C41D3E36-7B49-4CCD-8886-0530274491E2}"/>
    <cellStyle name="Ввод  2 2 2" xfId="180" xr:uid="{00000000-0005-0000-0000-0000390E0000}"/>
    <cellStyle name="Ввод  2 2 2 10" xfId="8105" xr:uid="{6FFA3FB4-8CAC-41F3-BFEF-707B6E9DF451}"/>
    <cellStyle name="Ввод  2 2 2 11" xfId="11996" xr:uid="{EFCEBDE9-4291-48D0-A101-48C324CB9B4D}"/>
    <cellStyle name="Ввод  2 2 2 12" xfId="13432" xr:uid="{689BF85F-4F04-49D0-ABC5-A62B71488D7B}"/>
    <cellStyle name="Ввод  2 2 2 2" xfId="281" xr:uid="{00000000-0005-0000-0000-00003A0E0000}"/>
    <cellStyle name="Ввод  2 2 2 2 10" xfId="13530" xr:uid="{778A2DBE-96F8-4941-B8CB-91182B72882E}"/>
    <cellStyle name="Ввод  2 2 2 2 2" xfId="437" xr:uid="{00000000-0005-0000-0000-00003B0E0000}"/>
    <cellStyle name="Ввод  2 2 2 2 2 2" xfId="767" xr:uid="{00000000-0005-0000-0000-00003C0E0000}"/>
    <cellStyle name="Ввод  2 2 2 2 2 2 2" xfId="1548" xr:uid="{00000000-0005-0000-0000-00003D0E0000}"/>
    <cellStyle name="Ввод  2 2 2 2 2 2 2 2" xfId="2170" xr:uid="{00000000-0005-0000-0000-00003E0E0000}"/>
    <cellStyle name="Ввод  2 2 2 2 2 2 2 2 2" xfId="6067" xr:uid="{00000000-0005-0000-0000-00003F0E0000}"/>
    <cellStyle name="Ввод  2 2 2 2 2 2 2 2 3" xfId="10076" xr:uid="{9BFEBC52-DA94-4BE3-96E3-040C6F1A7DBB}"/>
    <cellStyle name="Ввод  2 2 2 2 2 2 2 3" xfId="3898" xr:uid="{00000000-0005-0000-0000-0000400E0000}"/>
    <cellStyle name="Ввод  2 2 2 2 2 2 2 3 2" xfId="7792" xr:uid="{00000000-0005-0000-0000-0000410E0000}"/>
    <cellStyle name="Ввод  2 2 2 2 2 2 2 3 3" xfId="11801" xr:uid="{9E67C436-06D8-4643-92A8-8C0D53516F05}"/>
    <cellStyle name="Ввод  2 2 2 2 2 2 2 4" xfId="5449" xr:uid="{00000000-0005-0000-0000-0000420E0000}"/>
    <cellStyle name="Ввод  2 2 2 2 2 2 2 5" xfId="9458" xr:uid="{EE84C776-4FC1-45CB-A6CD-144FE7C41B94}"/>
    <cellStyle name="Ввод  2 2 2 2 2 2 2 6" xfId="13349" xr:uid="{F964539E-FD07-4F58-B3E3-4F21C5D1A466}"/>
    <cellStyle name="Ввод  2 2 2 2 2 2 3" xfId="2169" xr:uid="{00000000-0005-0000-0000-0000430E0000}"/>
    <cellStyle name="Ввод  2 2 2 2 2 2 3 2" xfId="6066" xr:uid="{00000000-0005-0000-0000-0000440E0000}"/>
    <cellStyle name="Ввод  2 2 2 2 2 2 3 3" xfId="10075" xr:uid="{DF23B441-76D0-4882-BB88-E95551C1FFEC}"/>
    <cellStyle name="Ввод  2 2 2 2 2 2 4" xfId="3493" xr:uid="{00000000-0005-0000-0000-0000450E0000}"/>
    <cellStyle name="Ввод  2 2 2 2 2 2 4 2" xfId="7387" xr:uid="{00000000-0005-0000-0000-0000460E0000}"/>
    <cellStyle name="Ввод  2 2 2 2 2 2 4 3" xfId="11396" xr:uid="{8ACC1FCF-EEE6-4586-B792-4B61CDDDDA4E}"/>
    <cellStyle name="Ввод  2 2 2 2 2 2 5" xfId="4671" xr:uid="{00000000-0005-0000-0000-0000470E0000}"/>
    <cellStyle name="Ввод  2 2 2 2 2 2 6" xfId="8680" xr:uid="{C15F3A48-6572-4328-AAF7-6F16B14C0837}"/>
    <cellStyle name="Ввод  2 2 2 2 2 2 7" xfId="12571" xr:uid="{F9094B29-05C1-42DB-ACB3-1046CF2E0FB5}"/>
    <cellStyle name="Ввод  2 2 2 2 2 3" xfId="1227" xr:uid="{00000000-0005-0000-0000-0000480E0000}"/>
    <cellStyle name="Ввод  2 2 2 2 2 3 2" xfId="2171" xr:uid="{00000000-0005-0000-0000-0000490E0000}"/>
    <cellStyle name="Ввод  2 2 2 2 2 3 2 2" xfId="6068" xr:uid="{00000000-0005-0000-0000-00004A0E0000}"/>
    <cellStyle name="Ввод  2 2 2 2 2 3 2 3" xfId="10077" xr:uid="{C9DB1BFD-5180-4A30-BDEE-61C33165FFD9}"/>
    <cellStyle name="Ввод  2 2 2 2 2 3 3" xfId="3700" xr:uid="{00000000-0005-0000-0000-00004B0E0000}"/>
    <cellStyle name="Ввод  2 2 2 2 2 3 3 2" xfId="7594" xr:uid="{00000000-0005-0000-0000-00004C0E0000}"/>
    <cellStyle name="Ввод  2 2 2 2 2 3 3 3" xfId="11603" xr:uid="{AFB6E07C-F6CD-493D-83C4-EE4F868F8D78}"/>
    <cellStyle name="Ввод  2 2 2 2 2 3 4" xfId="5128" xr:uid="{00000000-0005-0000-0000-00004D0E0000}"/>
    <cellStyle name="Ввод  2 2 2 2 2 3 5" xfId="9137" xr:uid="{8C167E63-7C1D-4700-9968-E4D6095238A8}"/>
    <cellStyle name="Ввод  2 2 2 2 2 3 6" xfId="13028" xr:uid="{8C1EEE86-775D-4505-90BF-CB8BF15EF5F3}"/>
    <cellStyle name="Ввод  2 2 2 2 2 4" xfId="2168" xr:uid="{00000000-0005-0000-0000-00004E0E0000}"/>
    <cellStyle name="Ввод  2 2 2 2 2 4 2" xfId="6065" xr:uid="{00000000-0005-0000-0000-00004F0E0000}"/>
    <cellStyle name="Ввод  2 2 2 2 2 4 3" xfId="10074" xr:uid="{0A35694E-CAFA-4207-B798-8ACB2E1761D0}"/>
    <cellStyle name="Ввод  2 2 2 2 2 5" xfId="3172" xr:uid="{00000000-0005-0000-0000-0000500E0000}"/>
    <cellStyle name="Ввод  2 2 2 2 2 5 2" xfId="7066" xr:uid="{00000000-0005-0000-0000-0000510E0000}"/>
    <cellStyle name="Ввод  2 2 2 2 2 5 3" xfId="11075" xr:uid="{B4AD5099-AC25-4E8A-8F3A-4045E1BAD765}"/>
    <cellStyle name="Ввод  2 2 2 2 2 6" xfId="4350" xr:uid="{00000000-0005-0000-0000-0000520E0000}"/>
    <cellStyle name="Ввод  2 2 2 2 2 7" xfId="8359" xr:uid="{1D2A74E2-FE74-4C41-AA35-5EA4A6E158FA}"/>
    <cellStyle name="Ввод  2 2 2 2 2 8" xfId="12250" xr:uid="{244CFAA8-4E22-407B-8417-59E1B98C28D5}"/>
    <cellStyle name="Ввод  2 2 2 2 3" xfId="611" xr:uid="{00000000-0005-0000-0000-0000530E0000}"/>
    <cellStyle name="Ввод  2 2 2 2 3 2" xfId="1392" xr:uid="{00000000-0005-0000-0000-0000540E0000}"/>
    <cellStyle name="Ввод  2 2 2 2 3 2 2" xfId="2173" xr:uid="{00000000-0005-0000-0000-0000550E0000}"/>
    <cellStyle name="Ввод  2 2 2 2 3 2 2 2" xfId="6070" xr:uid="{00000000-0005-0000-0000-0000560E0000}"/>
    <cellStyle name="Ввод  2 2 2 2 3 2 2 3" xfId="10079" xr:uid="{C298AEB6-8535-43F8-B7CC-C20888D00699}"/>
    <cellStyle name="Ввод  2 2 2 2 3 2 3" xfId="3799" xr:uid="{00000000-0005-0000-0000-0000570E0000}"/>
    <cellStyle name="Ввод  2 2 2 2 3 2 3 2" xfId="7693" xr:uid="{00000000-0005-0000-0000-0000580E0000}"/>
    <cellStyle name="Ввод  2 2 2 2 3 2 3 3" xfId="11702" xr:uid="{E7CDF902-878F-44FD-9EC2-C6B1FE6A330A}"/>
    <cellStyle name="Ввод  2 2 2 2 3 2 4" xfId="5293" xr:uid="{00000000-0005-0000-0000-0000590E0000}"/>
    <cellStyle name="Ввод  2 2 2 2 3 2 5" xfId="9302" xr:uid="{4B907E18-2D81-494C-8B4F-5EEDABDC0CF7}"/>
    <cellStyle name="Ввод  2 2 2 2 3 2 6" xfId="13193" xr:uid="{C619698A-C246-4467-B0CB-38D04DB273F9}"/>
    <cellStyle name="Ввод  2 2 2 2 3 3" xfId="2172" xr:uid="{00000000-0005-0000-0000-00005A0E0000}"/>
    <cellStyle name="Ввод  2 2 2 2 3 3 2" xfId="6069" xr:uid="{00000000-0005-0000-0000-00005B0E0000}"/>
    <cellStyle name="Ввод  2 2 2 2 3 3 3" xfId="10078" xr:uid="{9766472A-6C2A-4BB2-90AC-CABF0C2BD64C}"/>
    <cellStyle name="Ввод  2 2 2 2 3 4" xfId="3337" xr:uid="{00000000-0005-0000-0000-00005C0E0000}"/>
    <cellStyle name="Ввод  2 2 2 2 3 4 2" xfId="7231" xr:uid="{00000000-0005-0000-0000-00005D0E0000}"/>
    <cellStyle name="Ввод  2 2 2 2 3 4 3" xfId="11240" xr:uid="{08BCDA72-6507-4CFF-8AEA-9A0A3E80E55D}"/>
    <cellStyle name="Ввод  2 2 2 2 3 5" xfId="4515" xr:uid="{00000000-0005-0000-0000-00005E0E0000}"/>
    <cellStyle name="Ввод  2 2 2 2 3 6" xfId="8524" xr:uid="{24DDD6B0-6E54-4FF1-BBC7-E779837CDD0F}"/>
    <cellStyle name="Ввод  2 2 2 2 3 7" xfId="12415" xr:uid="{7631688C-7F9B-488D-97E2-92EA1A6C5009}"/>
    <cellStyle name="Ввод  2 2 2 2 4" xfId="1071" xr:uid="{00000000-0005-0000-0000-00005F0E0000}"/>
    <cellStyle name="Ввод  2 2 2 2 4 2" xfId="2174" xr:uid="{00000000-0005-0000-0000-0000600E0000}"/>
    <cellStyle name="Ввод  2 2 2 2 4 2 2" xfId="6071" xr:uid="{00000000-0005-0000-0000-0000610E0000}"/>
    <cellStyle name="Ввод  2 2 2 2 4 2 3" xfId="10080" xr:uid="{9E578339-2A2C-4384-AA49-547504408933}"/>
    <cellStyle name="Ввод  2 2 2 2 4 3" xfId="3601" xr:uid="{00000000-0005-0000-0000-0000620E0000}"/>
    <cellStyle name="Ввод  2 2 2 2 4 3 2" xfId="7495" xr:uid="{00000000-0005-0000-0000-0000630E0000}"/>
    <cellStyle name="Ввод  2 2 2 2 4 3 3" xfId="11504" xr:uid="{D9F1DE86-0235-4DA4-B1B4-58A4FBFB6644}"/>
    <cellStyle name="Ввод  2 2 2 2 4 4" xfId="4972" xr:uid="{00000000-0005-0000-0000-0000640E0000}"/>
    <cellStyle name="Ввод  2 2 2 2 4 5" xfId="8981" xr:uid="{8BCB1328-9890-45BE-9C13-46E7FE0478C9}"/>
    <cellStyle name="Ввод  2 2 2 2 4 6" xfId="12872" xr:uid="{32303D84-A35D-4A32-8F2C-4FB23BDDE6DF}"/>
    <cellStyle name="Ввод  2 2 2 2 5" xfId="2167" xr:uid="{00000000-0005-0000-0000-0000650E0000}"/>
    <cellStyle name="Ввод  2 2 2 2 5 2" xfId="6064" xr:uid="{00000000-0005-0000-0000-0000660E0000}"/>
    <cellStyle name="Ввод  2 2 2 2 5 3" xfId="10073" xr:uid="{1F969AAC-35F5-4EB7-AB17-6B7D64434C3A}"/>
    <cellStyle name="Ввод  2 2 2 2 6" xfId="3016" xr:uid="{00000000-0005-0000-0000-0000670E0000}"/>
    <cellStyle name="Ввод  2 2 2 2 6 2" xfId="6910" xr:uid="{00000000-0005-0000-0000-0000680E0000}"/>
    <cellStyle name="Ввод  2 2 2 2 6 3" xfId="10919" xr:uid="{A8D662F8-4412-459E-B9A1-F165D3F2E452}"/>
    <cellStyle name="Ввод  2 2 2 2 7" xfId="4194" xr:uid="{00000000-0005-0000-0000-0000690E0000}"/>
    <cellStyle name="Ввод  2 2 2 2 8" xfId="8203" xr:uid="{86E1A801-8B74-4DCD-94C5-8214A90B1499}"/>
    <cellStyle name="Ввод  2 2 2 2 9" xfId="12094" xr:uid="{D594B5CA-D93B-4628-B212-97DB2C0C1E67}"/>
    <cellStyle name="Ввод  2 2 2 3" xfId="205" xr:uid="{00000000-0005-0000-0000-00006A0E0000}"/>
    <cellStyle name="Ввод  2 2 2 3 10" xfId="13454" xr:uid="{277AB0D4-E3F4-44C8-8113-B22B607A8273}"/>
    <cellStyle name="Ввод  2 2 2 3 2" xfId="369" xr:uid="{00000000-0005-0000-0000-00006B0E0000}"/>
    <cellStyle name="Ввод  2 2 2 3 2 2" xfId="699" xr:uid="{00000000-0005-0000-0000-00006C0E0000}"/>
    <cellStyle name="Ввод  2 2 2 3 2 2 2" xfId="1480" xr:uid="{00000000-0005-0000-0000-00006D0E0000}"/>
    <cellStyle name="Ввод  2 2 2 3 2 2 2 2" xfId="2178" xr:uid="{00000000-0005-0000-0000-00006E0E0000}"/>
    <cellStyle name="Ввод  2 2 2 3 2 2 2 2 2" xfId="6075" xr:uid="{00000000-0005-0000-0000-00006F0E0000}"/>
    <cellStyle name="Ввод  2 2 2 3 2 2 2 2 3" xfId="10084" xr:uid="{6B3EC108-ED08-4142-8B0C-2FE19C5F0EF5}"/>
    <cellStyle name="Ввод  2 2 2 3 2 2 2 3" xfId="3853" xr:uid="{00000000-0005-0000-0000-0000700E0000}"/>
    <cellStyle name="Ввод  2 2 2 3 2 2 2 3 2" xfId="7747" xr:uid="{00000000-0005-0000-0000-0000710E0000}"/>
    <cellStyle name="Ввод  2 2 2 3 2 2 2 3 3" xfId="11756" xr:uid="{EEDABE5E-BE41-4114-A785-093EC7C33E5D}"/>
    <cellStyle name="Ввод  2 2 2 3 2 2 2 4" xfId="5381" xr:uid="{00000000-0005-0000-0000-0000720E0000}"/>
    <cellStyle name="Ввод  2 2 2 3 2 2 2 5" xfId="9390" xr:uid="{68920353-BD5A-4FA4-9E5D-0558E1C1A48E}"/>
    <cellStyle name="Ввод  2 2 2 3 2 2 2 6" xfId="13281" xr:uid="{85BF16C3-ED54-4B79-88E8-2F65A207C79D}"/>
    <cellStyle name="Ввод  2 2 2 3 2 2 3" xfId="2177" xr:uid="{00000000-0005-0000-0000-0000730E0000}"/>
    <cellStyle name="Ввод  2 2 2 3 2 2 3 2" xfId="6074" xr:uid="{00000000-0005-0000-0000-0000740E0000}"/>
    <cellStyle name="Ввод  2 2 2 3 2 2 3 3" xfId="10083" xr:uid="{06765BCB-82B1-4E7C-832C-1194D7FA37D9}"/>
    <cellStyle name="Ввод  2 2 2 3 2 2 4" xfId="3425" xr:uid="{00000000-0005-0000-0000-0000750E0000}"/>
    <cellStyle name="Ввод  2 2 2 3 2 2 4 2" xfId="7319" xr:uid="{00000000-0005-0000-0000-0000760E0000}"/>
    <cellStyle name="Ввод  2 2 2 3 2 2 4 3" xfId="11328" xr:uid="{2CE03431-1427-4144-BBBA-06A2346CEE98}"/>
    <cellStyle name="Ввод  2 2 2 3 2 2 5" xfId="4603" xr:uid="{00000000-0005-0000-0000-0000770E0000}"/>
    <cellStyle name="Ввод  2 2 2 3 2 2 6" xfId="8612" xr:uid="{A886420E-BD0F-4DD9-B780-7F24272F4434}"/>
    <cellStyle name="Ввод  2 2 2 3 2 2 7" xfId="12503" xr:uid="{E92799D3-0B39-4E5F-BFB8-5BF11E0CF586}"/>
    <cellStyle name="Ввод  2 2 2 3 2 3" xfId="1159" xr:uid="{00000000-0005-0000-0000-0000780E0000}"/>
    <cellStyle name="Ввод  2 2 2 3 2 3 2" xfId="2179" xr:uid="{00000000-0005-0000-0000-0000790E0000}"/>
    <cellStyle name="Ввод  2 2 2 3 2 3 2 2" xfId="6076" xr:uid="{00000000-0005-0000-0000-00007A0E0000}"/>
    <cellStyle name="Ввод  2 2 2 3 2 3 2 3" xfId="10085" xr:uid="{ED8B4323-76A3-40C1-BE15-F36AE2C9BA37}"/>
    <cellStyle name="Ввод  2 2 2 3 2 3 3" xfId="3655" xr:uid="{00000000-0005-0000-0000-00007B0E0000}"/>
    <cellStyle name="Ввод  2 2 2 3 2 3 3 2" xfId="7549" xr:uid="{00000000-0005-0000-0000-00007C0E0000}"/>
    <cellStyle name="Ввод  2 2 2 3 2 3 3 3" xfId="11558" xr:uid="{B1B296B3-543A-4E9F-A5C9-A3B8196605EC}"/>
    <cellStyle name="Ввод  2 2 2 3 2 3 4" xfId="5060" xr:uid="{00000000-0005-0000-0000-00007D0E0000}"/>
    <cellStyle name="Ввод  2 2 2 3 2 3 5" xfId="9069" xr:uid="{59D87A41-729C-4B5D-A817-22E4502F0B3A}"/>
    <cellStyle name="Ввод  2 2 2 3 2 3 6" xfId="12960" xr:uid="{DACBA9DA-4BFC-4252-9A48-6C0E6183503B}"/>
    <cellStyle name="Ввод  2 2 2 3 2 4" xfId="2176" xr:uid="{00000000-0005-0000-0000-00007E0E0000}"/>
    <cellStyle name="Ввод  2 2 2 3 2 4 2" xfId="6073" xr:uid="{00000000-0005-0000-0000-00007F0E0000}"/>
    <cellStyle name="Ввод  2 2 2 3 2 4 3" xfId="10082" xr:uid="{D82710D3-A86E-4384-998F-D0C304A0AE72}"/>
    <cellStyle name="Ввод  2 2 2 3 2 5" xfId="3104" xr:uid="{00000000-0005-0000-0000-0000800E0000}"/>
    <cellStyle name="Ввод  2 2 2 3 2 5 2" xfId="6998" xr:uid="{00000000-0005-0000-0000-0000810E0000}"/>
    <cellStyle name="Ввод  2 2 2 3 2 5 3" xfId="11007" xr:uid="{5AE5118C-B0D2-432D-BC06-2B19A0F8FF0C}"/>
    <cellStyle name="Ввод  2 2 2 3 2 6" xfId="4282" xr:uid="{00000000-0005-0000-0000-0000820E0000}"/>
    <cellStyle name="Ввод  2 2 2 3 2 7" xfId="8291" xr:uid="{F803FD5E-E76B-4794-8B7D-992CC19F6064}"/>
    <cellStyle name="Ввод  2 2 2 3 2 8" xfId="12182" xr:uid="{C0E5027A-2B2C-439C-A8A7-7B0ABF857DDE}"/>
    <cellStyle name="Ввод  2 2 2 3 3" xfId="535" xr:uid="{00000000-0005-0000-0000-0000830E0000}"/>
    <cellStyle name="Ввод  2 2 2 3 3 2" xfId="1316" xr:uid="{00000000-0005-0000-0000-0000840E0000}"/>
    <cellStyle name="Ввод  2 2 2 3 3 2 2" xfId="2181" xr:uid="{00000000-0005-0000-0000-0000850E0000}"/>
    <cellStyle name="Ввод  2 2 2 3 3 2 2 2" xfId="6078" xr:uid="{00000000-0005-0000-0000-0000860E0000}"/>
    <cellStyle name="Ввод  2 2 2 3 3 2 2 3" xfId="10087" xr:uid="{72695CD7-EF75-4E7E-B0EE-744F0B54D1C1}"/>
    <cellStyle name="Ввод  2 2 2 3 3 2 3" xfId="3754" xr:uid="{00000000-0005-0000-0000-0000870E0000}"/>
    <cellStyle name="Ввод  2 2 2 3 3 2 3 2" xfId="7648" xr:uid="{00000000-0005-0000-0000-0000880E0000}"/>
    <cellStyle name="Ввод  2 2 2 3 3 2 3 3" xfId="11657" xr:uid="{E6F26878-1B22-4F5B-AC81-30D1A5996C39}"/>
    <cellStyle name="Ввод  2 2 2 3 3 2 4" xfId="5217" xr:uid="{00000000-0005-0000-0000-0000890E0000}"/>
    <cellStyle name="Ввод  2 2 2 3 3 2 5" xfId="9226" xr:uid="{6616A478-52C2-42B4-B593-0DB1A89A432E}"/>
    <cellStyle name="Ввод  2 2 2 3 3 2 6" xfId="13117" xr:uid="{4194F6AF-80B7-4A8C-BA93-EEAE9F2C8F4F}"/>
    <cellStyle name="Ввод  2 2 2 3 3 3" xfId="2180" xr:uid="{00000000-0005-0000-0000-00008A0E0000}"/>
    <cellStyle name="Ввод  2 2 2 3 3 3 2" xfId="6077" xr:uid="{00000000-0005-0000-0000-00008B0E0000}"/>
    <cellStyle name="Ввод  2 2 2 3 3 3 3" xfId="10086" xr:uid="{6EB07799-95FD-410A-88FA-EB96F80B654E}"/>
    <cellStyle name="Ввод  2 2 2 3 3 4" xfId="3261" xr:uid="{00000000-0005-0000-0000-00008C0E0000}"/>
    <cellStyle name="Ввод  2 2 2 3 3 4 2" xfId="7155" xr:uid="{00000000-0005-0000-0000-00008D0E0000}"/>
    <cellStyle name="Ввод  2 2 2 3 3 4 3" xfId="11164" xr:uid="{076F035D-1ADD-4132-9853-E49F345CC464}"/>
    <cellStyle name="Ввод  2 2 2 3 3 5" xfId="4439" xr:uid="{00000000-0005-0000-0000-00008E0E0000}"/>
    <cellStyle name="Ввод  2 2 2 3 3 6" xfId="8448" xr:uid="{9E4C0E12-EE34-45EF-BD37-48FE33C2D9E6}"/>
    <cellStyle name="Ввод  2 2 2 3 3 7" xfId="12339" xr:uid="{E4EF3CD3-2202-4DD5-8433-8119E8EF4106}"/>
    <cellStyle name="Ввод  2 2 2 3 4" xfId="995" xr:uid="{00000000-0005-0000-0000-00008F0E0000}"/>
    <cellStyle name="Ввод  2 2 2 3 4 2" xfId="2182" xr:uid="{00000000-0005-0000-0000-0000900E0000}"/>
    <cellStyle name="Ввод  2 2 2 3 4 2 2" xfId="6079" xr:uid="{00000000-0005-0000-0000-0000910E0000}"/>
    <cellStyle name="Ввод  2 2 2 3 4 2 3" xfId="10088" xr:uid="{8CB7ABFD-1BD0-4A1A-952E-18C4A49B9DFC}"/>
    <cellStyle name="Ввод  2 2 2 3 4 3" xfId="3556" xr:uid="{00000000-0005-0000-0000-0000920E0000}"/>
    <cellStyle name="Ввод  2 2 2 3 4 3 2" xfId="7450" xr:uid="{00000000-0005-0000-0000-0000930E0000}"/>
    <cellStyle name="Ввод  2 2 2 3 4 3 3" xfId="11459" xr:uid="{A89AE082-9E8F-4E47-9AD8-826225E9EAE5}"/>
    <cellStyle name="Ввод  2 2 2 3 4 4" xfId="4896" xr:uid="{00000000-0005-0000-0000-0000940E0000}"/>
    <cellStyle name="Ввод  2 2 2 3 4 5" xfId="8905" xr:uid="{D6E04149-29A3-4955-A928-27890C34FAF5}"/>
    <cellStyle name="Ввод  2 2 2 3 4 6" xfId="12796" xr:uid="{9BDC24A0-E666-4570-B41D-3E81D7B71823}"/>
    <cellStyle name="Ввод  2 2 2 3 5" xfId="2175" xr:uid="{00000000-0005-0000-0000-0000950E0000}"/>
    <cellStyle name="Ввод  2 2 2 3 5 2" xfId="6072" xr:uid="{00000000-0005-0000-0000-0000960E0000}"/>
    <cellStyle name="Ввод  2 2 2 3 5 3" xfId="10081" xr:uid="{1A201C2F-B9A1-4359-BA18-D6920A135BBA}"/>
    <cellStyle name="Ввод  2 2 2 3 6" xfId="2940" xr:uid="{00000000-0005-0000-0000-0000970E0000}"/>
    <cellStyle name="Ввод  2 2 2 3 6 2" xfId="6834" xr:uid="{00000000-0005-0000-0000-0000980E0000}"/>
    <cellStyle name="Ввод  2 2 2 3 6 3" xfId="10843" xr:uid="{147D4EC9-0B32-490C-A78B-130FD7DE5BC2}"/>
    <cellStyle name="Ввод  2 2 2 3 7" xfId="4118" xr:uid="{00000000-0005-0000-0000-0000990E0000}"/>
    <cellStyle name="Ввод  2 2 2 3 8" xfId="8127" xr:uid="{D4F7B935-680F-4EE8-91CA-A1FE14D430F7}"/>
    <cellStyle name="Ввод  2 2 2 3 9" xfId="12018" xr:uid="{6AD23E96-92A3-4C47-89E3-90B892E72618}"/>
    <cellStyle name="Ввод  2 2 2 4" xfId="348" xr:uid="{00000000-0005-0000-0000-00009A0E0000}"/>
    <cellStyle name="Ввод  2 2 2 4 2" xfId="678" xr:uid="{00000000-0005-0000-0000-00009B0E0000}"/>
    <cellStyle name="Ввод  2 2 2 4 2 2" xfId="1459" xr:uid="{00000000-0005-0000-0000-00009C0E0000}"/>
    <cellStyle name="Ввод  2 2 2 4 2 2 2" xfId="2185" xr:uid="{00000000-0005-0000-0000-00009D0E0000}"/>
    <cellStyle name="Ввод  2 2 2 4 2 2 2 2" xfId="6082" xr:uid="{00000000-0005-0000-0000-00009E0E0000}"/>
    <cellStyle name="Ввод  2 2 2 4 2 2 2 3" xfId="10091" xr:uid="{9F3912F0-BCC7-48C8-92DB-768352DF6D2F}"/>
    <cellStyle name="Ввод  2 2 2 4 2 2 3" xfId="3839" xr:uid="{00000000-0005-0000-0000-00009F0E0000}"/>
    <cellStyle name="Ввод  2 2 2 4 2 2 3 2" xfId="7733" xr:uid="{00000000-0005-0000-0000-0000A00E0000}"/>
    <cellStyle name="Ввод  2 2 2 4 2 2 3 3" xfId="11742" xr:uid="{76A9E0C3-5FD5-4FE3-892A-C6F5D24713AF}"/>
    <cellStyle name="Ввод  2 2 2 4 2 2 4" xfId="5360" xr:uid="{00000000-0005-0000-0000-0000A10E0000}"/>
    <cellStyle name="Ввод  2 2 2 4 2 2 5" xfId="9369" xr:uid="{BBAA1878-FFB1-47DE-A5F1-0E30996A6792}"/>
    <cellStyle name="Ввод  2 2 2 4 2 2 6" xfId="13260" xr:uid="{7991520C-F833-48BC-9C80-3EF43210E809}"/>
    <cellStyle name="Ввод  2 2 2 4 2 3" xfId="2184" xr:uid="{00000000-0005-0000-0000-0000A20E0000}"/>
    <cellStyle name="Ввод  2 2 2 4 2 3 2" xfId="6081" xr:uid="{00000000-0005-0000-0000-0000A30E0000}"/>
    <cellStyle name="Ввод  2 2 2 4 2 3 3" xfId="10090" xr:uid="{A6178DDF-1B94-4A2D-8D5B-3327F1D47844}"/>
    <cellStyle name="Ввод  2 2 2 4 2 4" xfId="3404" xr:uid="{00000000-0005-0000-0000-0000A40E0000}"/>
    <cellStyle name="Ввод  2 2 2 4 2 4 2" xfId="7298" xr:uid="{00000000-0005-0000-0000-0000A50E0000}"/>
    <cellStyle name="Ввод  2 2 2 4 2 4 3" xfId="11307" xr:uid="{FFEB995C-8EE4-4AA1-9F96-E5246AEA798B}"/>
    <cellStyle name="Ввод  2 2 2 4 2 5" xfId="4582" xr:uid="{00000000-0005-0000-0000-0000A60E0000}"/>
    <cellStyle name="Ввод  2 2 2 4 2 6" xfId="8591" xr:uid="{B77C980A-0E78-41CA-BADB-529722D86A34}"/>
    <cellStyle name="Ввод  2 2 2 4 2 7" xfId="12482" xr:uid="{64C1787C-FE6C-4F5B-931C-473283F6EFAC}"/>
    <cellStyle name="Ввод  2 2 2 4 3" xfId="1138" xr:uid="{00000000-0005-0000-0000-0000A70E0000}"/>
    <cellStyle name="Ввод  2 2 2 4 3 2" xfId="2186" xr:uid="{00000000-0005-0000-0000-0000A80E0000}"/>
    <cellStyle name="Ввод  2 2 2 4 3 2 2" xfId="6083" xr:uid="{00000000-0005-0000-0000-0000A90E0000}"/>
    <cellStyle name="Ввод  2 2 2 4 3 2 3" xfId="10092" xr:uid="{E39ACF44-DFEE-4238-9237-FB8185582FB0}"/>
    <cellStyle name="Ввод  2 2 2 4 3 3" xfId="3641" xr:uid="{00000000-0005-0000-0000-0000AA0E0000}"/>
    <cellStyle name="Ввод  2 2 2 4 3 3 2" xfId="7535" xr:uid="{00000000-0005-0000-0000-0000AB0E0000}"/>
    <cellStyle name="Ввод  2 2 2 4 3 3 3" xfId="11544" xr:uid="{6AD90E3F-63F3-412B-9E29-C1010DCCB16E}"/>
    <cellStyle name="Ввод  2 2 2 4 3 4" xfId="5039" xr:uid="{00000000-0005-0000-0000-0000AC0E0000}"/>
    <cellStyle name="Ввод  2 2 2 4 3 5" xfId="9048" xr:uid="{08F42F99-DBF7-49C5-B875-EE31B685A0D9}"/>
    <cellStyle name="Ввод  2 2 2 4 3 6" xfId="12939" xr:uid="{2AB3412F-BBF1-42A5-9179-AF6026E266B0}"/>
    <cellStyle name="Ввод  2 2 2 4 4" xfId="2183" xr:uid="{00000000-0005-0000-0000-0000AD0E0000}"/>
    <cellStyle name="Ввод  2 2 2 4 4 2" xfId="6080" xr:uid="{00000000-0005-0000-0000-0000AE0E0000}"/>
    <cellStyle name="Ввод  2 2 2 4 4 3" xfId="10089" xr:uid="{D10827F2-0862-466F-A1B8-49E9EB54AB1A}"/>
    <cellStyle name="Ввод  2 2 2 4 5" xfId="3083" xr:uid="{00000000-0005-0000-0000-0000AF0E0000}"/>
    <cellStyle name="Ввод  2 2 2 4 5 2" xfId="6977" xr:uid="{00000000-0005-0000-0000-0000B00E0000}"/>
    <cellStyle name="Ввод  2 2 2 4 5 3" xfId="10986" xr:uid="{DE397220-6A89-4C83-ADA6-68168F781802}"/>
    <cellStyle name="Ввод  2 2 2 4 6" xfId="4261" xr:uid="{00000000-0005-0000-0000-0000B10E0000}"/>
    <cellStyle name="Ввод  2 2 2 4 7" xfId="8270" xr:uid="{FAB60DD4-FDCD-442D-B1BC-8155C060A4A6}"/>
    <cellStyle name="Ввод  2 2 2 4 8" xfId="12161" xr:uid="{D9384A30-E4DA-4020-B72B-529F8F70BA89}"/>
    <cellStyle name="Ввод  2 2 2 5" xfId="513" xr:uid="{00000000-0005-0000-0000-0000B20E0000}"/>
    <cellStyle name="Ввод  2 2 2 5 2" xfId="1294" xr:uid="{00000000-0005-0000-0000-0000B30E0000}"/>
    <cellStyle name="Ввод  2 2 2 5 2 2" xfId="2188" xr:uid="{00000000-0005-0000-0000-0000B40E0000}"/>
    <cellStyle name="Ввод  2 2 2 5 2 2 2" xfId="6085" xr:uid="{00000000-0005-0000-0000-0000B50E0000}"/>
    <cellStyle name="Ввод  2 2 2 5 2 2 3" xfId="10094" xr:uid="{2AA5F079-5BBA-40F8-AE4B-7F2E3393ABDB}"/>
    <cellStyle name="Ввод  2 2 2 5 2 3" xfId="3740" xr:uid="{00000000-0005-0000-0000-0000B60E0000}"/>
    <cellStyle name="Ввод  2 2 2 5 2 3 2" xfId="7634" xr:uid="{00000000-0005-0000-0000-0000B70E0000}"/>
    <cellStyle name="Ввод  2 2 2 5 2 3 3" xfId="11643" xr:uid="{C12B8086-8AD8-42CD-BA91-2D9F6AEF5290}"/>
    <cellStyle name="Ввод  2 2 2 5 2 4" xfId="5195" xr:uid="{00000000-0005-0000-0000-0000B80E0000}"/>
    <cellStyle name="Ввод  2 2 2 5 2 5" xfId="9204" xr:uid="{40F81495-AFA2-4CD7-A529-0447DFFEF803}"/>
    <cellStyle name="Ввод  2 2 2 5 2 6" xfId="13095" xr:uid="{CBF09F71-913B-418F-8E19-DE1F4095C20C}"/>
    <cellStyle name="Ввод  2 2 2 5 3" xfId="2187" xr:uid="{00000000-0005-0000-0000-0000B90E0000}"/>
    <cellStyle name="Ввод  2 2 2 5 3 2" xfId="6084" xr:uid="{00000000-0005-0000-0000-0000BA0E0000}"/>
    <cellStyle name="Ввод  2 2 2 5 3 3" xfId="10093" xr:uid="{053FC44B-1A6E-4FED-831E-84FB6DE3A5D9}"/>
    <cellStyle name="Ввод  2 2 2 5 4" xfId="3239" xr:uid="{00000000-0005-0000-0000-0000BB0E0000}"/>
    <cellStyle name="Ввод  2 2 2 5 4 2" xfId="7133" xr:uid="{00000000-0005-0000-0000-0000BC0E0000}"/>
    <cellStyle name="Ввод  2 2 2 5 4 3" xfId="11142" xr:uid="{97C51D37-86B8-4F4D-8BFE-719141622C48}"/>
    <cellStyle name="Ввод  2 2 2 5 5" xfId="4417" xr:uid="{00000000-0005-0000-0000-0000BD0E0000}"/>
    <cellStyle name="Ввод  2 2 2 5 6" xfId="8426" xr:uid="{661F73FC-96F5-4C26-A332-91ACD1CFB477}"/>
    <cellStyle name="Ввод  2 2 2 5 7" xfId="12317" xr:uid="{284762F4-E7E4-4A5D-B11F-61F5941E8FE2}"/>
    <cellStyle name="Ввод  2 2 2 6" xfId="973" xr:uid="{00000000-0005-0000-0000-0000BE0E0000}"/>
    <cellStyle name="Ввод  2 2 2 6 2" xfId="2189" xr:uid="{00000000-0005-0000-0000-0000BF0E0000}"/>
    <cellStyle name="Ввод  2 2 2 6 2 2" xfId="6086" xr:uid="{00000000-0005-0000-0000-0000C00E0000}"/>
    <cellStyle name="Ввод  2 2 2 6 2 3" xfId="10095" xr:uid="{7653B69C-D475-42C9-95F8-DCE446DD3ABF}"/>
    <cellStyle name="Ввод  2 2 2 6 3" xfId="3542" xr:uid="{00000000-0005-0000-0000-0000C10E0000}"/>
    <cellStyle name="Ввод  2 2 2 6 3 2" xfId="7436" xr:uid="{00000000-0005-0000-0000-0000C20E0000}"/>
    <cellStyle name="Ввод  2 2 2 6 3 3" xfId="11445" xr:uid="{8506E149-D0C8-4D40-A84A-41307644FB2D}"/>
    <cellStyle name="Ввод  2 2 2 6 4" xfId="4874" xr:uid="{00000000-0005-0000-0000-0000C30E0000}"/>
    <cellStyle name="Ввод  2 2 2 6 5" xfId="8883" xr:uid="{1BED4C8A-2299-48DF-9A59-403BA49C578A}"/>
    <cellStyle name="Ввод  2 2 2 6 6" xfId="12774" xr:uid="{9C5EE846-E439-4EA1-8839-6F049FFAE533}"/>
    <cellStyle name="Ввод  2 2 2 7" xfId="2166" xr:uid="{00000000-0005-0000-0000-0000C40E0000}"/>
    <cellStyle name="Ввод  2 2 2 7 2" xfId="6063" xr:uid="{00000000-0005-0000-0000-0000C50E0000}"/>
    <cellStyle name="Ввод  2 2 2 7 3" xfId="10072" xr:uid="{7FA1B69F-D804-4FEA-B4FE-D5BD6044E1C5}"/>
    <cellStyle name="Ввод  2 2 2 8" xfId="2918" xr:uid="{00000000-0005-0000-0000-0000C60E0000}"/>
    <cellStyle name="Ввод  2 2 2 8 2" xfId="6812" xr:uid="{00000000-0005-0000-0000-0000C70E0000}"/>
    <cellStyle name="Ввод  2 2 2 8 3" xfId="10821" xr:uid="{9C544969-0EFC-41B3-8442-FFF29B5650B9}"/>
    <cellStyle name="Ввод  2 2 2 9" xfId="4096" xr:uid="{00000000-0005-0000-0000-0000C80E0000}"/>
    <cellStyle name="Ввод  2 2 3" xfId="233" xr:uid="{00000000-0005-0000-0000-0000C90E0000}"/>
    <cellStyle name="Ввод  2 2 3 10" xfId="13482" xr:uid="{C1B165CF-844A-48F6-A2AC-0F89F6A5910E}"/>
    <cellStyle name="Ввод  2 2 3 2" xfId="392" xr:uid="{00000000-0005-0000-0000-0000CA0E0000}"/>
    <cellStyle name="Ввод  2 2 3 2 2" xfId="722" xr:uid="{00000000-0005-0000-0000-0000CB0E0000}"/>
    <cellStyle name="Ввод  2 2 3 2 2 2" xfId="1503" xr:uid="{00000000-0005-0000-0000-0000CC0E0000}"/>
    <cellStyle name="Ввод  2 2 3 2 2 2 2" xfId="2193" xr:uid="{00000000-0005-0000-0000-0000CD0E0000}"/>
    <cellStyle name="Ввод  2 2 3 2 2 2 2 2" xfId="6090" xr:uid="{00000000-0005-0000-0000-0000CE0E0000}"/>
    <cellStyle name="Ввод  2 2 3 2 2 2 2 3" xfId="10099" xr:uid="{23C33656-BAD0-4D4C-ACC7-DC629AF34048}"/>
    <cellStyle name="Ввод  2 2 3 2 2 2 3" xfId="3870" xr:uid="{00000000-0005-0000-0000-0000CF0E0000}"/>
    <cellStyle name="Ввод  2 2 3 2 2 2 3 2" xfId="7764" xr:uid="{00000000-0005-0000-0000-0000D00E0000}"/>
    <cellStyle name="Ввод  2 2 3 2 2 2 3 3" xfId="11773" xr:uid="{7CB7123E-024A-4993-8512-6B37E711A838}"/>
    <cellStyle name="Ввод  2 2 3 2 2 2 4" xfId="5404" xr:uid="{00000000-0005-0000-0000-0000D10E0000}"/>
    <cellStyle name="Ввод  2 2 3 2 2 2 5" xfId="9413" xr:uid="{EF4B1824-1A8E-4B75-8B9A-3ED4C3946ECA}"/>
    <cellStyle name="Ввод  2 2 3 2 2 2 6" xfId="13304" xr:uid="{51E8164D-A346-4870-A401-BC7F6FC2D5DF}"/>
    <cellStyle name="Ввод  2 2 3 2 2 3" xfId="2192" xr:uid="{00000000-0005-0000-0000-0000D20E0000}"/>
    <cellStyle name="Ввод  2 2 3 2 2 3 2" xfId="6089" xr:uid="{00000000-0005-0000-0000-0000D30E0000}"/>
    <cellStyle name="Ввод  2 2 3 2 2 3 3" xfId="10098" xr:uid="{8816A85E-6344-4714-A643-25C78C079A1F}"/>
    <cellStyle name="Ввод  2 2 3 2 2 4" xfId="3448" xr:uid="{00000000-0005-0000-0000-0000D40E0000}"/>
    <cellStyle name="Ввод  2 2 3 2 2 4 2" xfId="7342" xr:uid="{00000000-0005-0000-0000-0000D50E0000}"/>
    <cellStyle name="Ввод  2 2 3 2 2 4 3" xfId="11351" xr:uid="{2BBE9F4B-9454-4036-AD4A-52E0B2A97FF6}"/>
    <cellStyle name="Ввод  2 2 3 2 2 5" xfId="4626" xr:uid="{00000000-0005-0000-0000-0000D60E0000}"/>
    <cellStyle name="Ввод  2 2 3 2 2 6" xfId="8635" xr:uid="{41364023-A2F7-40F3-8F56-333501D6A669}"/>
    <cellStyle name="Ввод  2 2 3 2 2 7" xfId="12526" xr:uid="{3D9067EA-4B38-432A-8A41-EF8A639B6CF4}"/>
    <cellStyle name="Ввод  2 2 3 2 3" xfId="1182" xr:uid="{00000000-0005-0000-0000-0000D70E0000}"/>
    <cellStyle name="Ввод  2 2 3 2 3 2" xfId="2194" xr:uid="{00000000-0005-0000-0000-0000D80E0000}"/>
    <cellStyle name="Ввод  2 2 3 2 3 2 2" xfId="6091" xr:uid="{00000000-0005-0000-0000-0000D90E0000}"/>
    <cellStyle name="Ввод  2 2 3 2 3 2 3" xfId="10100" xr:uid="{61F2ECD4-3948-4858-8A17-25A4AA2D5F86}"/>
    <cellStyle name="Ввод  2 2 3 2 3 3" xfId="3672" xr:uid="{00000000-0005-0000-0000-0000DA0E0000}"/>
    <cellStyle name="Ввод  2 2 3 2 3 3 2" xfId="7566" xr:uid="{00000000-0005-0000-0000-0000DB0E0000}"/>
    <cellStyle name="Ввод  2 2 3 2 3 3 3" xfId="11575" xr:uid="{A5BD30CB-5A54-4E1B-8ABB-33D3AE480621}"/>
    <cellStyle name="Ввод  2 2 3 2 3 4" xfId="5083" xr:uid="{00000000-0005-0000-0000-0000DC0E0000}"/>
    <cellStyle name="Ввод  2 2 3 2 3 5" xfId="9092" xr:uid="{0C3B6BE7-67EE-4A7F-A3FE-D15B5D38CF82}"/>
    <cellStyle name="Ввод  2 2 3 2 3 6" xfId="12983" xr:uid="{531DE86C-4F7C-4B3E-8FDE-D2E7C80CDD32}"/>
    <cellStyle name="Ввод  2 2 3 2 4" xfId="2191" xr:uid="{00000000-0005-0000-0000-0000DD0E0000}"/>
    <cellStyle name="Ввод  2 2 3 2 4 2" xfId="6088" xr:uid="{00000000-0005-0000-0000-0000DE0E0000}"/>
    <cellStyle name="Ввод  2 2 3 2 4 3" xfId="10097" xr:uid="{DD6913D2-5C09-4D41-8FAA-53C6CB3AC477}"/>
    <cellStyle name="Ввод  2 2 3 2 5" xfId="3127" xr:uid="{00000000-0005-0000-0000-0000DF0E0000}"/>
    <cellStyle name="Ввод  2 2 3 2 5 2" xfId="7021" xr:uid="{00000000-0005-0000-0000-0000E00E0000}"/>
    <cellStyle name="Ввод  2 2 3 2 5 3" xfId="11030" xr:uid="{68E808D9-E215-4308-8A72-8FAD6C81F01D}"/>
    <cellStyle name="Ввод  2 2 3 2 6" xfId="4305" xr:uid="{00000000-0005-0000-0000-0000E10E0000}"/>
    <cellStyle name="Ввод  2 2 3 2 7" xfId="8314" xr:uid="{AB214CF0-5E29-41C9-B40A-F49A50BE7970}"/>
    <cellStyle name="Ввод  2 2 3 2 8" xfId="12205" xr:uid="{AAAA53AA-2AC4-4006-B9DD-9807F026E0F8}"/>
    <cellStyle name="Ввод  2 2 3 3" xfId="563" xr:uid="{00000000-0005-0000-0000-0000E20E0000}"/>
    <cellStyle name="Ввод  2 2 3 3 2" xfId="1344" xr:uid="{00000000-0005-0000-0000-0000E30E0000}"/>
    <cellStyle name="Ввод  2 2 3 3 2 2" xfId="2196" xr:uid="{00000000-0005-0000-0000-0000E40E0000}"/>
    <cellStyle name="Ввод  2 2 3 3 2 2 2" xfId="6093" xr:uid="{00000000-0005-0000-0000-0000E50E0000}"/>
    <cellStyle name="Ввод  2 2 3 3 2 2 3" xfId="10102" xr:uid="{C265BFBF-EBFC-4DCC-8AE4-56D7A9120B48}"/>
    <cellStyle name="Ввод  2 2 3 3 2 3" xfId="3771" xr:uid="{00000000-0005-0000-0000-0000E60E0000}"/>
    <cellStyle name="Ввод  2 2 3 3 2 3 2" xfId="7665" xr:uid="{00000000-0005-0000-0000-0000E70E0000}"/>
    <cellStyle name="Ввод  2 2 3 3 2 3 3" xfId="11674" xr:uid="{61E3CEC4-30C3-4104-B818-F472654949BE}"/>
    <cellStyle name="Ввод  2 2 3 3 2 4" xfId="5245" xr:uid="{00000000-0005-0000-0000-0000E80E0000}"/>
    <cellStyle name="Ввод  2 2 3 3 2 5" xfId="9254" xr:uid="{6BA4A59F-C33A-4BD4-B776-2B1E2557CDB9}"/>
    <cellStyle name="Ввод  2 2 3 3 2 6" xfId="13145" xr:uid="{DC186DAD-5AD7-467F-9E5B-51B2E56635BC}"/>
    <cellStyle name="Ввод  2 2 3 3 3" xfId="2195" xr:uid="{00000000-0005-0000-0000-0000E90E0000}"/>
    <cellStyle name="Ввод  2 2 3 3 3 2" xfId="6092" xr:uid="{00000000-0005-0000-0000-0000EA0E0000}"/>
    <cellStyle name="Ввод  2 2 3 3 3 3" xfId="10101" xr:uid="{E9A2E983-2A54-4FC4-A2A0-942B40CD385B}"/>
    <cellStyle name="Ввод  2 2 3 3 4" xfId="3289" xr:uid="{00000000-0005-0000-0000-0000EB0E0000}"/>
    <cellStyle name="Ввод  2 2 3 3 4 2" xfId="7183" xr:uid="{00000000-0005-0000-0000-0000EC0E0000}"/>
    <cellStyle name="Ввод  2 2 3 3 4 3" xfId="11192" xr:uid="{0F3CBF0B-ADA4-4674-B023-5C8275A6341A}"/>
    <cellStyle name="Ввод  2 2 3 3 5" xfId="4467" xr:uid="{00000000-0005-0000-0000-0000ED0E0000}"/>
    <cellStyle name="Ввод  2 2 3 3 6" xfId="8476" xr:uid="{E72E195B-7A29-46FE-993E-110FD095C0BC}"/>
    <cellStyle name="Ввод  2 2 3 3 7" xfId="12367" xr:uid="{3F979DC3-43C2-4A90-9729-C04E2C879A84}"/>
    <cellStyle name="Ввод  2 2 3 4" xfId="1023" xr:uid="{00000000-0005-0000-0000-0000EE0E0000}"/>
    <cellStyle name="Ввод  2 2 3 4 2" xfId="2197" xr:uid="{00000000-0005-0000-0000-0000EF0E0000}"/>
    <cellStyle name="Ввод  2 2 3 4 2 2" xfId="6094" xr:uid="{00000000-0005-0000-0000-0000F00E0000}"/>
    <cellStyle name="Ввод  2 2 3 4 2 3" xfId="10103" xr:uid="{87CC594F-1C9B-4854-A575-1DF8C5E2739D}"/>
    <cellStyle name="Ввод  2 2 3 4 3" xfId="3573" xr:uid="{00000000-0005-0000-0000-0000F10E0000}"/>
    <cellStyle name="Ввод  2 2 3 4 3 2" xfId="7467" xr:uid="{00000000-0005-0000-0000-0000F20E0000}"/>
    <cellStyle name="Ввод  2 2 3 4 3 3" xfId="11476" xr:uid="{9827B0C6-9F61-4E6D-9CCE-41ADE3730E8C}"/>
    <cellStyle name="Ввод  2 2 3 4 4" xfId="4924" xr:uid="{00000000-0005-0000-0000-0000F30E0000}"/>
    <cellStyle name="Ввод  2 2 3 4 5" xfId="8933" xr:uid="{42C770F2-160D-4E0F-B2D5-B48F1A49FEE4}"/>
    <cellStyle name="Ввод  2 2 3 4 6" xfId="12824" xr:uid="{721E868E-8C4A-4A89-83FF-62D5DEB84033}"/>
    <cellStyle name="Ввод  2 2 3 5" xfId="2190" xr:uid="{00000000-0005-0000-0000-0000F40E0000}"/>
    <cellStyle name="Ввод  2 2 3 5 2" xfId="6087" xr:uid="{00000000-0005-0000-0000-0000F50E0000}"/>
    <cellStyle name="Ввод  2 2 3 5 3" xfId="10096" xr:uid="{FA26C618-5D51-4369-8B23-6106D0C98BBC}"/>
    <cellStyle name="Ввод  2 2 3 6" xfId="2968" xr:uid="{00000000-0005-0000-0000-0000F60E0000}"/>
    <cellStyle name="Ввод  2 2 3 6 2" xfId="6862" xr:uid="{00000000-0005-0000-0000-0000F70E0000}"/>
    <cellStyle name="Ввод  2 2 3 6 3" xfId="10871" xr:uid="{4849C3E6-BDA9-4257-B768-493411C15998}"/>
    <cellStyle name="Ввод  2 2 3 7" xfId="4146" xr:uid="{00000000-0005-0000-0000-0000F80E0000}"/>
    <cellStyle name="Ввод  2 2 3 8" xfId="8155" xr:uid="{52E324A3-424A-48C1-B87B-1ADEC02A6F99}"/>
    <cellStyle name="Ввод  2 2 3 9" xfId="12046" xr:uid="{F3D4787C-9963-4F41-B928-5E75CE1BF4B1}"/>
    <cellStyle name="Ввод  2 2 4" xfId="209" xr:uid="{00000000-0005-0000-0000-0000F90E0000}"/>
    <cellStyle name="Ввод  2 2 4 10" xfId="13458" xr:uid="{78231B6E-7341-40D6-9A11-BD330D0EB893}"/>
    <cellStyle name="Ввод  2 2 4 2" xfId="372" xr:uid="{00000000-0005-0000-0000-0000FA0E0000}"/>
    <cellStyle name="Ввод  2 2 4 2 2" xfId="702" xr:uid="{00000000-0005-0000-0000-0000FB0E0000}"/>
    <cellStyle name="Ввод  2 2 4 2 2 2" xfId="1483" xr:uid="{00000000-0005-0000-0000-0000FC0E0000}"/>
    <cellStyle name="Ввод  2 2 4 2 2 2 2" xfId="2201" xr:uid="{00000000-0005-0000-0000-0000FD0E0000}"/>
    <cellStyle name="Ввод  2 2 4 2 2 2 2 2" xfId="6098" xr:uid="{00000000-0005-0000-0000-0000FE0E0000}"/>
    <cellStyle name="Ввод  2 2 4 2 2 2 2 3" xfId="10107" xr:uid="{2714C812-F451-425D-B443-8E4EE7F7B0A3}"/>
    <cellStyle name="Ввод  2 2 4 2 2 2 3" xfId="3855" xr:uid="{00000000-0005-0000-0000-0000FF0E0000}"/>
    <cellStyle name="Ввод  2 2 4 2 2 2 3 2" xfId="7749" xr:uid="{00000000-0005-0000-0000-0000000F0000}"/>
    <cellStyle name="Ввод  2 2 4 2 2 2 3 3" xfId="11758" xr:uid="{A42C6C9C-F3C4-460E-A738-896B43F40368}"/>
    <cellStyle name="Ввод  2 2 4 2 2 2 4" xfId="5384" xr:uid="{00000000-0005-0000-0000-0000010F0000}"/>
    <cellStyle name="Ввод  2 2 4 2 2 2 5" xfId="9393" xr:uid="{70CBB585-D300-4B8F-B651-39A39345119D}"/>
    <cellStyle name="Ввод  2 2 4 2 2 2 6" xfId="13284" xr:uid="{3422DC1E-4348-4EE4-80A7-270A1BEE7077}"/>
    <cellStyle name="Ввод  2 2 4 2 2 3" xfId="2200" xr:uid="{00000000-0005-0000-0000-0000020F0000}"/>
    <cellStyle name="Ввод  2 2 4 2 2 3 2" xfId="6097" xr:uid="{00000000-0005-0000-0000-0000030F0000}"/>
    <cellStyle name="Ввод  2 2 4 2 2 3 3" xfId="10106" xr:uid="{0DA99D54-CB40-4645-A0E7-6A21B2030835}"/>
    <cellStyle name="Ввод  2 2 4 2 2 4" xfId="3428" xr:uid="{00000000-0005-0000-0000-0000040F0000}"/>
    <cellStyle name="Ввод  2 2 4 2 2 4 2" xfId="7322" xr:uid="{00000000-0005-0000-0000-0000050F0000}"/>
    <cellStyle name="Ввод  2 2 4 2 2 4 3" xfId="11331" xr:uid="{3DED78A5-A004-4E86-B2AF-DD55E5EB8310}"/>
    <cellStyle name="Ввод  2 2 4 2 2 5" xfId="4606" xr:uid="{00000000-0005-0000-0000-0000060F0000}"/>
    <cellStyle name="Ввод  2 2 4 2 2 6" xfId="8615" xr:uid="{CD239C12-1EAC-4BF2-9988-630C293170F2}"/>
    <cellStyle name="Ввод  2 2 4 2 2 7" xfId="12506" xr:uid="{325391C6-1A62-4EBB-8F62-C0F6DBC0082D}"/>
    <cellStyle name="Ввод  2 2 4 2 3" xfId="1162" xr:uid="{00000000-0005-0000-0000-0000070F0000}"/>
    <cellStyle name="Ввод  2 2 4 2 3 2" xfId="2202" xr:uid="{00000000-0005-0000-0000-0000080F0000}"/>
    <cellStyle name="Ввод  2 2 4 2 3 2 2" xfId="6099" xr:uid="{00000000-0005-0000-0000-0000090F0000}"/>
    <cellStyle name="Ввод  2 2 4 2 3 2 3" xfId="10108" xr:uid="{7B1DC96C-6600-4EB9-B4D6-F86FB3A7595A}"/>
    <cellStyle name="Ввод  2 2 4 2 3 3" xfId="3657" xr:uid="{00000000-0005-0000-0000-00000A0F0000}"/>
    <cellStyle name="Ввод  2 2 4 2 3 3 2" xfId="7551" xr:uid="{00000000-0005-0000-0000-00000B0F0000}"/>
    <cellStyle name="Ввод  2 2 4 2 3 3 3" xfId="11560" xr:uid="{701AAE94-0379-416A-9CE8-9FF367F6641C}"/>
    <cellStyle name="Ввод  2 2 4 2 3 4" xfId="5063" xr:uid="{00000000-0005-0000-0000-00000C0F0000}"/>
    <cellStyle name="Ввод  2 2 4 2 3 5" xfId="9072" xr:uid="{19B4BE0F-DC58-4663-A430-BBB688FDA6BE}"/>
    <cellStyle name="Ввод  2 2 4 2 3 6" xfId="12963" xr:uid="{27864DC5-86E4-48EB-BE64-52ECE2CE13CF}"/>
    <cellStyle name="Ввод  2 2 4 2 4" xfId="2199" xr:uid="{00000000-0005-0000-0000-00000D0F0000}"/>
    <cellStyle name="Ввод  2 2 4 2 4 2" xfId="6096" xr:uid="{00000000-0005-0000-0000-00000E0F0000}"/>
    <cellStyle name="Ввод  2 2 4 2 4 3" xfId="10105" xr:uid="{F250DF85-2DC4-460A-BFB5-EF93EA4B29EC}"/>
    <cellStyle name="Ввод  2 2 4 2 5" xfId="3107" xr:uid="{00000000-0005-0000-0000-00000F0F0000}"/>
    <cellStyle name="Ввод  2 2 4 2 5 2" xfId="7001" xr:uid="{00000000-0005-0000-0000-0000100F0000}"/>
    <cellStyle name="Ввод  2 2 4 2 5 3" xfId="11010" xr:uid="{D5988CF5-EA96-4D95-9EC3-54B415BD890E}"/>
    <cellStyle name="Ввод  2 2 4 2 6" xfId="4285" xr:uid="{00000000-0005-0000-0000-0000110F0000}"/>
    <cellStyle name="Ввод  2 2 4 2 7" xfId="8294" xr:uid="{CE2A4706-5D2C-4D77-B41A-418C2F2CDB9E}"/>
    <cellStyle name="Ввод  2 2 4 2 8" xfId="12185" xr:uid="{A9857822-713F-4D28-A0A3-E2A7B6ABE778}"/>
    <cellStyle name="Ввод  2 2 4 3" xfId="539" xr:uid="{00000000-0005-0000-0000-0000120F0000}"/>
    <cellStyle name="Ввод  2 2 4 3 2" xfId="1320" xr:uid="{00000000-0005-0000-0000-0000130F0000}"/>
    <cellStyle name="Ввод  2 2 4 3 2 2" xfId="2204" xr:uid="{00000000-0005-0000-0000-0000140F0000}"/>
    <cellStyle name="Ввод  2 2 4 3 2 2 2" xfId="6101" xr:uid="{00000000-0005-0000-0000-0000150F0000}"/>
    <cellStyle name="Ввод  2 2 4 3 2 2 3" xfId="10110" xr:uid="{AA945B28-9B8D-4EBA-AB2A-2DB5C485D396}"/>
    <cellStyle name="Ввод  2 2 4 3 2 3" xfId="3756" xr:uid="{00000000-0005-0000-0000-0000160F0000}"/>
    <cellStyle name="Ввод  2 2 4 3 2 3 2" xfId="7650" xr:uid="{00000000-0005-0000-0000-0000170F0000}"/>
    <cellStyle name="Ввод  2 2 4 3 2 3 3" xfId="11659" xr:uid="{DAD22685-116B-4E07-862C-AC5D76B8674B}"/>
    <cellStyle name="Ввод  2 2 4 3 2 4" xfId="5221" xr:uid="{00000000-0005-0000-0000-0000180F0000}"/>
    <cellStyle name="Ввод  2 2 4 3 2 5" xfId="9230" xr:uid="{84278367-90AF-4E71-B771-FCE5D68C4A56}"/>
    <cellStyle name="Ввод  2 2 4 3 2 6" xfId="13121" xr:uid="{7A880193-141A-4111-871F-832AE7AD4484}"/>
    <cellStyle name="Ввод  2 2 4 3 3" xfId="2203" xr:uid="{00000000-0005-0000-0000-0000190F0000}"/>
    <cellStyle name="Ввод  2 2 4 3 3 2" xfId="6100" xr:uid="{00000000-0005-0000-0000-00001A0F0000}"/>
    <cellStyle name="Ввод  2 2 4 3 3 3" xfId="10109" xr:uid="{FA10DCE8-FB6F-41E8-B21D-9708E6CE35D2}"/>
    <cellStyle name="Ввод  2 2 4 3 4" xfId="3265" xr:uid="{00000000-0005-0000-0000-00001B0F0000}"/>
    <cellStyle name="Ввод  2 2 4 3 4 2" xfId="7159" xr:uid="{00000000-0005-0000-0000-00001C0F0000}"/>
    <cellStyle name="Ввод  2 2 4 3 4 3" xfId="11168" xr:uid="{4A4ED4A7-F90D-492D-8619-F33FC3C57982}"/>
    <cellStyle name="Ввод  2 2 4 3 5" xfId="4443" xr:uid="{00000000-0005-0000-0000-00001D0F0000}"/>
    <cellStyle name="Ввод  2 2 4 3 6" xfId="8452" xr:uid="{71CEE062-3619-47F7-96FD-CA0E811A3199}"/>
    <cellStyle name="Ввод  2 2 4 3 7" xfId="12343" xr:uid="{A1F8010E-426B-451A-B1DB-F8E893C09B35}"/>
    <cellStyle name="Ввод  2 2 4 4" xfId="999" xr:uid="{00000000-0005-0000-0000-00001E0F0000}"/>
    <cellStyle name="Ввод  2 2 4 4 2" xfId="2205" xr:uid="{00000000-0005-0000-0000-00001F0F0000}"/>
    <cellStyle name="Ввод  2 2 4 4 2 2" xfId="6102" xr:uid="{00000000-0005-0000-0000-0000200F0000}"/>
    <cellStyle name="Ввод  2 2 4 4 2 3" xfId="10111" xr:uid="{F82025D5-C95E-4EE7-8C96-6F09A7985A60}"/>
    <cellStyle name="Ввод  2 2 4 4 3" xfId="3558" xr:uid="{00000000-0005-0000-0000-0000210F0000}"/>
    <cellStyle name="Ввод  2 2 4 4 3 2" xfId="7452" xr:uid="{00000000-0005-0000-0000-0000220F0000}"/>
    <cellStyle name="Ввод  2 2 4 4 3 3" xfId="11461" xr:uid="{FC2444DB-23C2-4EDF-8352-C7F85F70477F}"/>
    <cellStyle name="Ввод  2 2 4 4 4" xfId="4900" xr:uid="{00000000-0005-0000-0000-0000230F0000}"/>
    <cellStyle name="Ввод  2 2 4 4 5" xfId="8909" xr:uid="{E0E38A03-6039-4375-8011-64D665E7ECD7}"/>
    <cellStyle name="Ввод  2 2 4 4 6" xfId="12800" xr:uid="{DF9EC445-64DF-45DC-9207-D6EEE4987A98}"/>
    <cellStyle name="Ввод  2 2 4 5" xfId="2198" xr:uid="{00000000-0005-0000-0000-0000240F0000}"/>
    <cellStyle name="Ввод  2 2 4 5 2" xfId="6095" xr:uid="{00000000-0005-0000-0000-0000250F0000}"/>
    <cellStyle name="Ввод  2 2 4 5 3" xfId="10104" xr:uid="{1992AAA6-C667-437E-AEA6-DD097EEF6BE9}"/>
    <cellStyle name="Ввод  2 2 4 6" xfId="2944" xr:uid="{00000000-0005-0000-0000-0000260F0000}"/>
    <cellStyle name="Ввод  2 2 4 6 2" xfId="6838" xr:uid="{00000000-0005-0000-0000-0000270F0000}"/>
    <cellStyle name="Ввод  2 2 4 6 3" xfId="10847" xr:uid="{E0A45BC0-0575-453D-ADAB-3AAFADC98795}"/>
    <cellStyle name="Ввод  2 2 4 7" xfId="4122" xr:uid="{00000000-0005-0000-0000-0000280F0000}"/>
    <cellStyle name="Ввод  2 2 4 8" xfId="8131" xr:uid="{02736346-75C1-4012-B508-E866546E1168}"/>
    <cellStyle name="Ввод  2 2 4 9" xfId="12022" xr:uid="{EEE40C41-62FC-4DE0-8152-74664DFB9BFC}"/>
    <cellStyle name="Ввод  2 2 5" xfId="313" xr:uid="{00000000-0005-0000-0000-0000290F0000}"/>
    <cellStyle name="Ввод  2 2 5 2" xfId="643" xr:uid="{00000000-0005-0000-0000-00002A0F0000}"/>
    <cellStyle name="Ввод  2 2 5 2 2" xfId="1424" xr:uid="{00000000-0005-0000-0000-00002B0F0000}"/>
    <cellStyle name="Ввод  2 2 5 2 2 2" xfId="2208" xr:uid="{00000000-0005-0000-0000-00002C0F0000}"/>
    <cellStyle name="Ввод  2 2 5 2 2 2 2" xfId="6105" xr:uid="{00000000-0005-0000-0000-00002D0F0000}"/>
    <cellStyle name="Ввод  2 2 5 2 2 2 3" xfId="10114" xr:uid="{D4E4C330-CBD8-4EDB-8593-906B6F82C082}"/>
    <cellStyle name="Ввод  2 2 5 2 2 3" xfId="3818" xr:uid="{00000000-0005-0000-0000-00002E0F0000}"/>
    <cellStyle name="Ввод  2 2 5 2 2 3 2" xfId="7712" xr:uid="{00000000-0005-0000-0000-00002F0F0000}"/>
    <cellStyle name="Ввод  2 2 5 2 2 3 3" xfId="11721" xr:uid="{28FEEA83-5973-426F-8A12-1D85042CFB20}"/>
    <cellStyle name="Ввод  2 2 5 2 2 4" xfId="5325" xr:uid="{00000000-0005-0000-0000-0000300F0000}"/>
    <cellStyle name="Ввод  2 2 5 2 2 5" xfId="9334" xr:uid="{7FF80F08-79B5-4AEE-8EA4-80CEBE0D97FF}"/>
    <cellStyle name="Ввод  2 2 5 2 2 6" xfId="13225" xr:uid="{9420AEE2-0853-4B88-A744-2AFD6A12E29E}"/>
    <cellStyle name="Ввод  2 2 5 2 3" xfId="2207" xr:uid="{00000000-0005-0000-0000-0000310F0000}"/>
    <cellStyle name="Ввод  2 2 5 2 3 2" xfId="6104" xr:uid="{00000000-0005-0000-0000-0000320F0000}"/>
    <cellStyle name="Ввод  2 2 5 2 3 3" xfId="10113" xr:uid="{AB90524D-500A-4D5D-B54E-F4B45B9DC000}"/>
    <cellStyle name="Ввод  2 2 5 2 4" xfId="3369" xr:uid="{00000000-0005-0000-0000-0000330F0000}"/>
    <cellStyle name="Ввод  2 2 5 2 4 2" xfId="7263" xr:uid="{00000000-0005-0000-0000-0000340F0000}"/>
    <cellStyle name="Ввод  2 2 5 2 4 3" xfId="11272" xr:uid="{23A994F2-8732-494A-92A4-C8CC5057D321}"/>
    <cellStyle name="Ввод  2 2 5 2 5" xfId="4547" xr:uid="{00000000-0005-0000-0000-0000350F0000}"/>
    <cellStyle name="Ввод  2 2 5 2 6" xfId="8556" xr:uid="{6DFD9DD7-E6ED-4F46-B854-B072D9D0FB1D}"/>
    <cellStyle name="Ввод  2 2 5 2 7" xfId="12447" xr:uid="{C1C8FBD3-0D38-4E16-8B70-6BFB07057ACC}"/>
    <cellStyle name="Ввод  2 2 5 3" xfId="1103" xr:uid="{00000000-0005-0000-0000-0000360F0000}"/>
    <cellStyle name="Ввод  2 2 5 3 2" xfId="2209" xr:uid="{00000000-0005-0000-0000-0000370F0000}"/>
    <cellStyle name="Ввод  2 2 5 3 2 2" xfId="6106" xr:uid="{00000000-0005-0000-0000-0000380F0000}"/>
    <cellStyle name="Ввод  2 2 5 3 2 3" xfId="10115" xr:uid="{E9DD610C-86F7-412C-9BC8-7D03334960C2}"/>
    <cellStyle name="Ввод  2 2 5 3 3" xfId="3620" xr:uid="{00000000-0005-0000-0000-0000390F0000}"/>
    <cellStyle name="Ввод  2 2 5 3 3 2" xfId="7514" xr:uid="{00000000-0005-0000-0000-00003A0F0000}"/>
    <cellStyle name="Ввод  2 2 5 3 3 3" xfId="11523" xr:uid="{F1DF3962-AD4C-4034-BBFA-73AA8166BDBD}"/>
    <cellStyle name="Ввод  2 2 5 3 4" xfId="5004" xr:uid="{00000000-0005-0000-0000-00003B0F0000}"/>
    <cellStyle name="Ввод  2 2 5 3 5" xfId="9013" xr:uid="{ADC2405B-D44B-4E5D-BD28-16FEBC65C2F5}"/>
    <cellStyle name="Ввод  2 2 5 3 6" xfId="12904" xr:uid="{92E592F9-2EAD-4408-B10E-C9F314A99102}"/>
    <cellStyle name="Ввод  2 2 5 4" xfId="2206" xr:uid="{00000000-0005-0000-0000-00003C0F0000}"/>
    <cellStyle name="Ввод  2 2 5 4 2" xfId="6103" xr:uid="{00000000-0005-0000-0000-00003D0F0000}"/>
    <cellStyle name="Ввод  2 2 5 4 3" xfId="10112" xr:uid="{D654A30D-F8B7-40BE-85E4-3A5F393DF5B5}"/>
    <cellStyle name="Ввод  2 2 5 5" xfId="3048" xr:uid="{00000000-0005-0000-0000-00003E0F0000}"/>
    <cellStyle name="Ввод  2 2 5 5 2" xfId="6942" xr:uid="{00000000-0005-0000-0000-00003F0F0000}"/>
    <cellStyle name="Ввод  2 2 5 5 3" xfId="10951" xr:uid="{E949E471-3DDE-4521-8D49-AB8BA9E5CD67}"/>
    <cellStyle name="Ввод  2 2 5 6" xfId="4226" xr:uid="{00000000-0005-0000-0000-0000400F0000}"/>
    <cellStyle name="Ввод  2 2 5 7" xfId="8235" xr:uid="{D63F8666-D403-4AB4-8E3D-8A44E1D2033E}"/>
    <cellStyle name="Ввод  2 2 5 8" xfId="12126" xr:uid="{F0B7D52F-7CD0-4079-AC51-5C0C0AB334F3}"/>
    <cellStyle name="Ввод  2 2 6" xfId="475" xr:uid="{00000000-0005-0000-0000-0000410F0000}"/>
    <cellStyle name="Ввод  2 2 6 2" xfId="1259" xr:uid="{00000000-0005-0000-0000-0000420F0000}"/>
    <cellStyle name="Ввод  2 2 6 2 2" xfId="2211" xr:uid="{00000000-0005-0000-0000-0000430F0000}"/>
    <cellStyle name="Ввод  2 2 6 2 2 2" xfId="6108" xr:uid="{00000000-0005-0000-0000-0000440F0000}"/>
    <cellStyle name="Ввод  2 2 6 2 2 3" xfId="10117" xr:uid="{0EFFFBF5-682E-435B-98E1-1C74022E7626}"/>
    <cellStyle name="Ввод  2 2 6 2 3" xfId="3719" xr:uid="{00000000-0005-0000-0000-0000450F0000}"/>
    <cellStyle name="Ввод  2 2 6 2 3 2" xfId="7613" xr:uid="{00000000-0005-0000-0000-0000460F0000}"/>
    <cellStyle name="Ввод  2 2 6 2 3 3" xfId="11622" xr:uid="{BD3ED90B-62AE-4104-8215-9C7218A02B53}"/>
    <cellStyle name="Ввод  2 2 6 2 4" xfId="5160" xr:uid="{00000000-0005-0000-0000-0000470F0000}"/>
    <cellStyle name="Ввод  2 2 6 2 5" xfId="9169" xr:uid="{9F28E143-EEB6-4A8D-8CA9-13A0A801E4FB}"/>
    <cellStyle name="Ввод  2 2 6 2 6" xfId="13060" xr:uid="{15E63833-56CB-422C-B0D8-CCCD508A504D}"/>
    <cellStyle name="Ввод  2 2 6 3" xfId="2210" xr:uid="{00000000-0005-0000-0000-0000480F0000}"/>
    <cellStyle name="Ввод  2 2 6 3 2" xfId="6107" xr:uid="{00000000-0005-0000-0000-0000490F0000}"/>
    <cellStyle name="Ввод  2 2 6 3 3" xfId="10116" xr:uid="{095FA290-17FE-4274-9EC7-06611932DFEF}"/>
    <cellStyle name="Ввод  2 2 6 4" xfId="3204" xr:uid="{00000000-0005-0000-0000-00004A0F0000}"/>
    <cellStyle name="Ввод  2 2 6 4 2" xfId="7098" xr:uid="{00000000-0005-0000-0000-00004B0F0000}"/>
    <cellStyle name="Ввод  2 2 6 4 3" xfId="11107" xr:uid="{DB5B039A-D803-4082-AF55-98B347B0E568}"/>
    <cellStyle name="Ввод  2 2 6 5" xfId="4382" xr:uid="{00000000-0005-0000-0000-00004C0F0000}"/>
    <cellStyle name="Ввод  2 2 6 6" xfId="8391" xr:uid="{3D442A11-3DB2-4810-9A32-E61C00B475A2}"/>
    <cellStyle name="Ввод  2 2 6 7" xfId="12282" xr:uid="{D5072D13-16F5-4293-B38E-610F20FB3DF0}"/>
    <cellStyle name="Ввод  2 2 7" xfId="938" xr:uid="{00000000-0005-0000-0000-00004D0F0000}"/>
    <cellStyle name="Ввод  2 2 7 2" xfId="2212" xr:uid="{00000000-0005-0000-0000-00004E0F0000}"/>
    <cellStyle name="Ввод  2 2 7 2 2" xfId="6109" xr:uid="{00000000-0005-0000-0000-00004F0F0000}"/>
    <cellStyle name="Ввод  2 2 7 2 3" xfId="10118" xr:uid="{A86E45AD-9D22-4518-857A-15119100B6AA}"/>
    <cellStyle name="Ввод  2 2 7 3" xfId="3521" xr:uid="{00000000-0005-0000-0000-0000500F0000}"/>
    <cellStyle name="Ввод  2 2 7 3 2" xfId="7415" xr:uid="{00000000-0005-0000-0000-0000510F0000}"/>
    <cellStyle name="Ввод  2 2 7 3 3" xfId="11424" xr:uid="{69B64A66-1A6F-4789-AD85-6232B8ED4F95}"/>
    <cellStyle name="Ввод  2 2 7 4" xfId="4839" xr:uid="{00000000-0005-0000-0000-0000520F0000}"/>
    <cellStyle name="Ввод  2 2 7 5" xfId="8848" xr:uid="{A241243E-2BFF-4E08-8817-F19E8A942FAD}"/>
    <cellStyle name="Ввод  2 2 7 6" xfId="12739" xr:uid="{67DC9A0A-E4DD-45BA-92CE-E516FAC0488D}"/>
    <cellStyle name="Ввод  2 2 8" xfId="2165" xr:uid="{00000000-0005-0000-0000-0000530F0000}"/>
    <cellStyle name="Ввод  2 2 8 2" xfId="6062" xr:uid="{00000000-0005-0000-0000-0000540F0000}"/>
    <cellStyle name="Ввод  2 2 8 3" xfId="10071" xr:uid="{579AF700-5087-4AD3-8BE4-B5111CD47505}"/>
    <cellStyle name="Ввод  2 2 9" xfId="2883" xr:uid="{00000000-0005-0000-0000-0000550F0000}"/>
    <cellStyle name="Ввод  2 2 9 2" xfId="6777" xr:uid="{00000000-0005-0000-0000-0000560F0000}"/>
    <cellStyle name="Ввод  2 2 9 3" xfId="10786" xr:uid="{082ED33F-A8DA-4F5F-A60F-0577D3F4CDF7}"/>
    <cellStyle name="Ввод  2 3" xfId="147" xr:uid="{00000000-0005-0000-0000-0000570F0000}"/>
    <cellStyle name="Ввод  2 3 10" xfId="8088" xr:uid="{7094BA10-87A6-4B4A-9590-7B434459CB7F}"/>
    <cellStyle name="Ввод  2 3 11" xfId="11979" xr:uid="{4777BF1B-8C13-4527-B67C-3DD84A46BCE8}"/>
    <cellStyle name="Ввод  2 3 12" xfId="13415" xr:uid="{3DE6BE68-3E0A-42F1-935E-D502112ECDAE}"/>
    <cellStyle name="Ввод  2 3 2" xfId="257" xr:uid="{00000000-0005-0000-0000-0000580F0000}"/>
    <cellStyle name="Ввод  2 3 2 10" xfId="13506" xr:uid="{E0E13DA9-53FE-402D-A0AF-7577DEF09E41}"/>
    <cellStyle name="Ввод  2 3 2 2" xfId="414" xr:uid="{00000000-0005-0000-0000-0000590F0000}"/>
    <cellStyle name="Ввод  2 3 2 2 2" xfId="744" xr:uid="{00000000-0005-0000-0000-00005A0F0000}"/>
    <cellStyle name="Ввод  2 3 2 2 2 2" xfId="1525" xr:uid="{00000000-0005-0000-0000-00005B0F0000}"/>
    <cellStyle name="Ввод  2 3 2 2 2 2 2" xfId="2217" xr:uid="{00000000-0005-0000-0000-00005C0F0000}"/>
    <cellStyle name="Ввод  2 3 2 2 2 2 2 2" xfId="6114" xr:uid="{00000000-0005-0000-0000-00005D0F0000}"/>
    <cellStyle name="Ввод  2 3 2 2 2 2 2 3" xfId="10123" xr:uid="{F020F1B6-E973-4E56-B81D-2557A95FFB18}"/>
    <cellStyle name="Ввод  2 3 2 2 2 2 3" xfId="3882" xr:uid="{00000000-0005-0000-0000-00005E0F0000}"/>
    <cellStyle name="Ввод  2 3 2 2 2 2 3 2" xfId="7776" xr:uid="{00000000-0005-0000-0000-00005F0F0000}"/>
    <cellStyle name="Ввод  2 3 2 2 2 2 3 3" xfId="11785" xr:uid="{C62B168C-1C06-4173-A643-2219811451F7}"/>
    <cellStyle name="Ввод  2 3 2 2 2 2 4" xfId="5426" xr:uid="{00000000-0005-0000-0000-0000600F0000}"/>
    <cellStyle name="Ввод  2 3 2 2 2 2 5" xfId="9435" xr:uid="{7951B58F-2B80-4F79-860E-4029EEAA871B}"/>
    <cellStyle name="Ввод  2 3 2 2 2 2 6" xfId="13326" xr:uid="{6CE58A3B-CA06-4185-938A-1EC6C46FAD8B}"/>
    <cellStyle name="Ввод  2 3 2 2 2 3" xfId="2216" xr:uid="{00000000-0005-0000-0000-0000610F0000}"/>
    <cellStyle name="Ввод  2 3 2 2 2 3 2" xfId="6113" xr:uid="{00000000-0005-0000-0000-0000620F0000}"/>
    <cellStyle name="Ввод  2 3 2 2 2 3 3" xfId="10122" xr:uid="{B3A0D28B-FDC3-425A-A1E3-6848E1F23D21}"/>
    <cellStyle name="Ввод  2 3 2 2 2 4" xfId="3470" xr:uid="{00000000-0005-0000-0000-0000630F0000}"/>
    <cellStyle name="Ввод  2 3 2 2 2 4 2" xfId="7364" xr:uid="{00000000-0005-0000-0000-0000640F0000}"/>
    <cellStyle name="Ввод  2 3 2 2 2 4 3" xfId="11373" xr:uid="{B7820133-9E9B-46A6-AD79-F8E8C50C86AC}"/>
    <cellStyle name="Ввод  2 3 2 2 2 5" xfId="4648" xr:uid="{00000000-0005-0000-0000-0000650F0000}"/>
    <cellStyle name="Ввод  2 3 2 2 2 6" xfId="8657" xr:uid="{679E6846-14C0-4D07-9903-27C5B8C0BD72}"/>
    <cellStyle name="Ввод  2 3 2 2 2 7" xfId="12548" xr:uid="{96C5A03A-E45A-4490-BE0B-EA459192876B}"/>
    <cellStyle name="Ввод  2 3 2 2 3" xfId="1204" xr:uid="{00000000-0005-0000-0000-0000660F0000}"/>
    <cellStyle name="Ввод  2 3 2 2 3 2" xfId="2218" xr:uid="{00000000-0005-0000-0000-0000670F0000}"/>
    <cellStyle name="Ввод  2 3 2 2 3 2 2" xfId="6115" xr:uid="{00000000-0005-0000-0000-0000680F0000}"/>
    <cellStyle name="Ввод  2 3 2 2 3 2 3" xfId="10124" xr:uid="{08B95E95-15DD-4CCA-95D7-E1F92FE01900}"/>
    <cellStyle name="Ввод  2 3 2 2 3 3" xfId="3684" xr:uid="{00000000-0005-0000-0000-0000690F0000}"/>
    <cellStyle name="Ввод  2 3 2 2 3 3 2" xfId="7578" xr:uid="{00000000-0005-0000-0000-00006A0F0000}"/>
    <cellStyle name="Ввод  2 3 2 2 3 3 3" xfId="11587" xr:uid="{206A478D-AF1B-4D3A-9D3A-450767CBEE28}"/>
    <cellStyle name="Ввод  2 3 2 2 3 4" xfId="5105" xr:uid="{00000000-0005-0000-0000-00006B0F0000}"/>
    <cellStyle name="Ввод  2 3 2 2 3 5" xfId="9114" xr:uid="{77CFF00E-C8A8-4231-AF98-57D982704A97}"/>
    <cellStyle name="Ввод  2 3 2 2 3 6" xfId="13005" xr:uid="{E561654B-D898-4C37-9CC5-4A2CB5983AA4}"/>
    <cellStyle name="Ввод  2 3 2 2 4" xfId="2215" xr:uid="{00000000-0005-0000-0000-00006C0F0000}"/>
    <cellStyle name="Ввод  2 3 2 2 4 2" xfId="6112" xr:uid="{00000000-0005-0000-0000-00006D0F0000}"/>
    <cellStyle name="Ввод  2 3 2 2 4 3" xfId="10121" xr:uid="{E2B76F01-8984-4421-926F-6663DBCC5C9D}"/>
    <cellStyle name="Ввод  2 3 2 2 5" xfId="3149" xr:uid="{00000000-0005-0000-0000-00006E0F0000}"/>
    <cellStyle name="Ввод  2 3 2 2 5 2" xfId="7043" xr:uid="{00000000-0005-0000-0000-00006F0F0000}"/>
    <cellStyle name="Ввод  2 3 2 2 5 3" xfId="11052" xr:uid="{23160AD1-70B4-4772-BF2A-04948B215AA1}"/>
    <cellStyle name="Ввод  2 3 2 2 6" xfId="4327" xr:uid="{00000000-0005-0000-0000-0000700F0000}"/>
    <cellStyle name="Ввод  2 3 2 2 7" xfId="8336" xr:uid="{BFCDF42B-8BB0-4996-AF79-BF6E10334043}"/>
    <cellStyle name="Ввод  2 3 2 2 8" xfId="12227" xr:uid="{AB5ED94F-7353-472C-B5E2-AC711CBF16DE}"/>
    <cellStyle name="Ввод  2 3 2 3" xfId="587" xr:uid="{00000000-0005-0000-0000-0000710F0000}"/>
    <cellStyle name="Ввод  2 3 2 3 2" xfId="1368" xr:uid="{00000000-0005-0000-0000-0000720F0000}"/>
    <cellStyle name="Ввод  2 3 2 3 2 2" xfId="2220" xr:uid="{00000000-0005-0000-0000-0000730F0000}"/>
    <cellStyle name="Ввод  2 3 2 3 2 2 2" xfId="6117" xr:uid="{00000000-0005-0000-0000-0000740F0000}"/>
    <cellStyle name="Ввод  2 3 2 3 2 2 3" xfId="10126" xr:uid="{24BF285A-B778-4876-9DFD-FB69CAAC4D80}"/>
    <cellStyle name="Ввод  2 3 2 3 2 3" xfId="3783" xr:uid="{00000000-0005-0000-0000-0000750F0000}"/>
    <cellStyle name="Ввод  2 3 2 3 2 3 2" xfId="7677" xr:uid="{00000000-0005-0000-0000-0000760F0000}"/>
    <cellStyle name="Ввод  2 3 2 3 2 3 3" xfId="11686" xr:uid="{7777AFED-A93D-4EB5-BFF5-B0E5B7BB7128}"/>
    <cellStyle name="Ввод  2 3 2 3 2 4" xfId="5269" xr:uid="{00000000-0005-0000-0000-0000770F0000}"/>
    <cellStyle name="Ввод  2 3 2 3 2 5" xfId="9278" xr:uid="{C21EA573-73E0-4ADF-B324-BD042428D475}"/>
    <cellStyle name="Ввод  2 3 2 3 2 6" xfId="13169" xr:uid="{8F7F7476-9C5D-492E-980E-4F6EF0C928C4}"/>
    <cellStyle name="Ввод  2 3 2 3 3" xfId="2219" xr:uid="{00000000-0005-0000-0000-0000780F0000}"/>
    <cellStyle name="Ввод  2 3 2 3 3 2" xfId="6116" xr:uid="{00000000-0005-0000-0000-0000790F0000}"/>
    <cellStyle name="Ввод  2 3 2 3 3 3" xfId="10125" xr:uid="{E44F4CC7-D4C5-4A33-BEFD-4FD5A68C7160}"/>
    <cellStyle name="Ввод  2 3 2 3 4" xfId="3313" xr:uid="{00000000-0005-0000-0000-00007A0F0000}"/>
    <cellStyle name="Ввод  2 3 2 3 4 2" xfId="7207" xr:uid="{00000000-0005-0000-0000-00007B0F0000}"/>
    <cellStyle name="Ввод  2 3 2 3 4 3" xfId="11216" xr:uid="{0BBDAD52-E26A-454B-A7B6-B48925C5740A}"/>
    <cellStyle name="Ввод  2 3 2 3 5" xfId="4491" xr:uid="{00000000-0005-0000-0000-00007C0F0000}"/>
    <cellStyle name="Ввод  2 3 2 3 6" xfId="8500" xr:uid="{A354E370-D93F-485D-B8AA-1D5B150C3AE5}"/>
    <cellStyle name="Ввод  2 3 2 3 7" xfId="12391" xr:uid="{4CF2A9D4-077A-4E26-8E51-CA4279DBAE00}"/>
    <cellStyle name="Ввод  2 3 2 4" xfId="1047" xr:uid="{00000000-0005-0000-0000-00007D0F0000}"/>
    <cellStyle name="Ввод  2 3 2 4 2" xfId="2221" xr:uid="{00000000-0005-0000-0000-00007E0F0000}"/>
    <cellStyle name="Ввод  2 3 2 4 2 2" xfId="6118" xr:uid="{00000000-0005-0000-0000-00007F0F0000}"/>
    <cellStyle name="Ввод  2 3 2 4 2 3" xfId="10127" xr:uid="{52120B7E-4186-4C6A-AE37-FB3F40A54D9C}"/>
    <cellStyle name="Ввод  2 3 2 4 3" xfId="3585" xr:uid="{00000000-0005-0000-0000-0000800F0000}"/>
    <cellStyle name="Ввод  2 3 2 4 3 2" xfId="7479" xr:uid="{00000000-0005-0000-0000-0000810F0000}"/>
    <cellStyle name="Ввод  2 3 2 4 3 3" xfId="11488" xr:uid="{D78BBA30-30DA-479A-B4E1-779BF2F30086}"/>
    <cellStyle name="Ввод  2 3 2 4 4" xfId="4948" xr:uid="{00000000-0005-0000-0000-0000820F0000}"/>
    <cellStyle name="Ввод  2 3 2 4 5" xfId="8957" xr:uid="{4F6817F6-5547-4130-89E2-761CD058E389}"/>
    <cellStyle name="Ввод  2 3 2 4 6" xfId="12848" xr:uid="{35B32A9D-B16D-4355-97DD-B6915193979B}"/>
    <cellStyle name="Ввод  2 3 2 5" xfId="2214" xr:uid="{00000000-0005-0000-0000-0000830F0000}"/>
    <cellStyle name="Ввод  2 3 2 5 2" xfId="6111" xr:uid="{00000000-0005-0000-0000-0000840F0000}"/>
    <cellStyle name="Ввод  2 3 2 5 3" xfId="10120" xr:uid="{0EA2B61C-07A6-4FD6-B370-BF40901DC1D4}"/>
    <cellStyle name="Ввод  2 3 2 6" xfId="2992" xr:uid="{00000000-0005-0000-0000-0000850F0000}"/>
    <cellStyle name="Ввод  2 3 2 6 2" xfId="6886" xr:uid="{00000000-0005-0000-0000-0000860F0000}"/>
    <cellStyle name="Ввод  2 3 2 6 3" xfId="10895" xr:uid="{074DF446-0698-40A4-92B8-C5D640504565}"/>
    <cellStyle name="Ввод  2 3 2 7" xfId="4170" xr:uid="{00000000-0005-0000-0000-0000870F0000}"/>
    <cellStyle name="Ввод  2 3 2 8" xfId="8179" xr:uid="{B4C07FE3-A9F1-4F29-AB71-A6C2D810B222}"/>
    <cellStyle name="Ввод  2 3 2 9" xfId="12070" xr:uid="{E8159526-FAFE-4575-91F9-B5E0F0757A75}"/>
    <cellStyle name="Ввод  2 3 3" xfId="262" xr:uid="{00000000-0005-0000-0000-0000880F0000}"/>
    <cellStyle name="Ввод  2 3 3 10" xfId="13511" xr:uid="{EC7F67EC-9328-46F2-9005-CB118E60F240}"/>
    <cellStyle name="Ввод  2 3 3 2" xfId="419" xr:uid="{00000000-0005-0000-0000-0000890F0000}"/>
    <cellStyle name="Ввод  2 3 3 2 2" xfId="749" xr:uid="{00000000-0005-0000-0000-00008A0F0000}"/>
    <cellStyle name="Ввод  2 3 3 2 2 2" xfId="1530" xr:uid="{00000000-0005-0000-0000-00008B0F0000}"/>
    <cellStyle name="Ввод  2 3 3 2 2 2 2" xfId="2225" xr:uid="{00000000-0005-0000-0000-00008C0F0000}"/>
    <cellStyle name="Ввод  2 3 3 2 2 2 2 2" xfId="6122" xr:uid="{00000000-0005-0000-0000-00008D0F0000}"/>
    <cellStyle name="Ввод  2 3 3 2 2 2 2 3" xfId="10131" xr:uid="{9F80AD49-4F9C-43A1-BA3B-16A046570227}"/>
    <cellStyle name="Ввод  2 3 3 2 2 2 3" xfId="3886" xr:uid="{00000000-0005-0000-0000-00008E0F0000}"/>
    <cellStyle name="Ввод  2 3 3 2 2 2 3 2" xfId="7780" xr:uid="{00000000-0005-0000-0000-00008F0F0000}"/>
    <cellStyle name="Ввод  2 3 3 2 2 2 3 3" xfId="11789" xr:uid="{3DC406DC-CB18-40A1-8064-5E29B0314B6F}"/>
    <cellStyle name="Ввод  2 3 3 2 2 2 4" xfId="5431" xr:uid="{00000000-0005-0000-0000-0000900F0000}"/>
    <cellStyle name="Ввод  2 3 3 2 2 2 5" xfId="9440" xr:uid="{0275AA25-328D-4C7F-91F3-C188A46F1E40}"/>
    <cellStyle name="Ввод  2 3 3 2 2 2 6" xfId="13331" xr:uid="{A28B28CE-DB64-48B8-9681-75991E2682C4}"/>
    <cellStyle name="Ввод  2 3 3 2 2 3" xfId="2224" xr:uid="{00000000-0005-0000-0000-0000910F0000}"/>
    <cellStyle name="Ввод  2 3 3 2 2 3 2" xfId="6121" xr:uid="{00000000-0005-0000-0000-0000920F0000}"/>
    <cellStyle name="Ввод  2 3 3 2 2 3 3" xfId="10130" xr:uid="{62CCF0A8-72BB-4510-BF00-0AE5673B776B}"/>
    <cellStyle name="Ввод  2 3 3 2 2 4" xfId="3475" xr:uid="{00000000-0005-0000-0000-0000930F0000}"/>
    <cellStyle name="Ввод  2 3 3 2 2 4 2" xfId="7369" xr:uid="{00000000-0005-0000-0000-0000940F0000}"/>
    <cellStyle name="Ввод  2 3 3 2 2 4 3" xfId="11378" xr:uid="{5B4FE862-F473-4D50-B674-199671468826}"/>
    <cellStyle name="Ввод  2 3 3 2 2 5" xfId="4653" xr:uid="{00000000-0005-0000-0000-0000950F0000}"/>
    <cellStyle name="Ввод  2 3 3 2 2 6" xfId="8662" xr:uid="{B55A467A-F1D7-4EDC-AF78-6B6546C420B1}"/>
    <cellStyle name="Ввод  2 3 3 2 2 7" xfId="12553" xr:uid="{3CA20C7A-421B-4DED-8A34-FF3BC05D5C2E}"/>
    <cellStyle name="Ввод  2 3 3 2 3" xfId="1209" xr:uid="{00000000-0005-0000-0000-0000960F0000}"/>
    <cellStyle name="Ввод  2 3 3 2 3 2" xfId="2226" xr:uid="{00000000-0005-0000-0000-0000970F0000}"/>
    <cellStyle name="Ввод  2 3 3 2 3 2 2" xfId="6123" xr:uid="{00000000-0005-0000-0000-0000980F0000}"/>
    <cellStyle name="Ввод  2 3 3 2 3 2 3" xfId="10132" xr:uid="{36FC91C1-EF8C-4103-B91E-DCDEAFEC2013}"/>
    <cellStyle name="Ввод  2 3 3 2 3 3" xfId="3688" xr:uid="{00000000-0005-0000-0000-0000990F0000}"/>
    <cellStyle name="Ввод  2 3 3 2 3 3 2" xfId="7582" xr:uid="{00000000-0005-0000-0000-00009A0F0000}"/>
    <cellStyle name="Ввод  2 3 3 2 3 3 3" xfId="11591" xr:uid="{F23B9AE5-1167-44BC-89FA-D6042D50BEC6}"/>
    <cellStyle name="Ввод  2 3 3 2 3 4" xfId="5110" xr:uid="{00000000-0005-0000-0000-00009B0F0000}"/>
    <cellStyle name="Ввод  2 3 3 2 3 5" xfId="9119" xr:uid="{2A8C76D4-8C5F-4FA7-9A64-4DA923655BC1}"/>
    <cellStyle name="Ввод  2 3 3 2 3 6" xfId="13010" xr:uid="{D4505BF1-DA9D-4BC4-987E-50F6AC00581F}"/>
    <cellStyle name="Ввод  2 3 3 2 4" xfId="2223" xr:uid="{00000000-0005-0000-0000-00009C0F0000}"/>
    <cellStyle name="Ввод  2 3 3 2 4 2" xfId="6120" xr:uid="{00000000-0005-0000-0000-00009D0F0000}"/>
    <cellStyle name="Ввод  2 3 3 2 4 3" xfId="10129" xr:uid="{359FF218-01F7-4F31-BE5A-04116B125008}"/>
    <cellStyle name="Ввод  2 3 3 2 5" xfId="3154" xr:uid="{00000000-0005-0000-0000-00009E0F0000}"/>
    <cellStyle name="Ввод  2 3 3 2 5 2" xfId="7048" xr:uid="{00000000-0005-0000-0000-00009F0F0000}"/>
    <cellStyle name="Ввод  2 3 3 2 5 3" xfId="11057" xr:uid="{B712196F-01F0-4953-B7D3-280A15FDFA0C}"/>
    <cellStyle name="Ввод  2 3 3 2 6" xfId="4332" xr:uid="{00000000-0005-0000-0000-0000A00F0000}"/>
    <cellStyle name="Ввод  2 3 3 2 7" xfId="8341" xr:uid="{A5884F04-F2F3-4058-A300-EFE65063E4F9}"/>
    <cellStyle name="Ввод  2 3 3 2 8" xfId="12232" xr:uid="{83F9CC2D-F5A4-4AD1-BE2B-EB7EDC45386C}"/>
    <cellStyle name="Ввод  2 3 3 3" xfId="592" xr:uid="{00000000-0005-0000-0000-0000A10F0000}"/>
    <cellStyle name="Ввод  2 3 3 3 2" xfId="1373" xr:uid="{00000000-0005-0000-0000-0000A20F0000}"/>
    <cellStyle name="Ввод  2 3 3 3 2 2" xfId="2228" xr:uid="{00000000-0005-0000-0000-0000A30F0000}"/>
    <cellStyle name="Ввод  2 3 3 3 2 2 2" xfId="6125" xr:uid="{00000000-0005-0000-0000-0000A40F0000}"/>
    <cellStyle name="Ввод  2 3 3 3 2 2 3" xfId="10134" xr:uid="{14F2DC90-177C-4FA6-8089-5BB8A5B18F88}"/>
    <cellStyle name="Ввод  2 3 3 3 2 3" xfId="3787" xr:uid="{00000000-0005-0000-0000-0000A50F0000}"/>
    <cellStyle name="Ввод  2 3 3 3 2 3 2" xfId="7681" xr:uid="{00000000-0005-0000-0000-0000A60F0000}"/>
    <cellStyle name="Ввод  2 3 3 3 2 3 3" xfId="11690" xr:uid="{A0FB308F-63E4-4D41-A692-E146F75724F0}"/>
    <cellStyle name="Ввод  2 3 3 3 2 4" xfId="5274" xr:uid="{00000000-0005-0000-0000-0000A70F0000}"/>
    <cellStyle name="Ввод  2 3 3 3 2 5" xfId="9283" xr:uid="{3A3A80E1-625C-4C00-A434-99D248BB00BA}"/>
    <cellStyle name="Ввод  2 3 3 3 2 6" xfId="13174" xr:uid="{53A45CE6-4387-410D-B12F-DFA6E3100E9F}"/>
    <cellStyle name="Ввод  2 3 3 3 3" xfId="2227" xr:uid="{00000000-0005-0000-0000-0000A80F0000}"/>
    <cellStyle name="Ввод  2 3 3 3 3 2" xfId="6124" xr:uid="{00000000-0005-0000-0000-0000A90F0000}"/>
    <cellStyle name="Ввод  2 3 3 3 3 3" xfId="10133" xr:uid="{022D0BBA-FF90-4DC2-858C-957DF7A9A5AC}"/>
    <cellStyle name="Ввод  2 3 3 3 4" xfId="3318" xr:uid="{00000000-0005-0000-0000-0000AA0F0000}"/>
    <cellStyle name="Ввод  2 3 3 3 4 2" xfId="7212" xr:uid="{00000000-0005-0000-0000-0000AB0F0000}"/>
    <cellStyle name="Ввод  2 3 3 3 4 3" xfId="11221" xr:uid="{1FDFEA7D-557F-4D57-A416-209565183602}"/>
    <cellStyle name="Ввод  2 3 3 3 5" xfId="4496" xr:uid="{00000000-0005-0000-0000-0000AC0F0000}"/>
    <cellStyle name="Ввод  2 3 3 3 6" xfId="8505" xr:uid="{3239FB6C-D628-471F-B998-6714A6B2ECF5}"/>
    <cellStyle name="Ввод  2 3 3 3 7" xfId="12396" xr:uid="{94BA9AFC-2168-40C4-B75E-B64C98AD6D2A}"/>
    <cellStyle name="Ввод  2 3 3 4" xfId="1052" xr:uid="{00000000-0005-0000-0000-0000AD0F0000}"/>
    <cellStyle name="Ввод  2 3 3 4 2" xfId="2229" xr:uid="{00000000-0005-0000-0000-0000AE0F0000}"/>
    <cellStyle name="Ввод  2 3 3 4 2 2" xfId="6126" xr:uid="{00000000-0005-0000-0000-0000AF0F0000}"/>
    <cellStyle name="Ввод  2 3 3 4 2 3" xfId="10135" xr:uid="{2ABFDE5F-4912-4E60-A821-6A5E7EB3EA1D}"/>
    <cellStyle name="Ввод  2 3 3 4 3" xfId="3589" xr:uid="{00000000-0005-0000-0000-0000B00F0000}"/>
    <cellStyle name="Ввод  2 3 3 4 3 2" xfId="7483" xr:uid="{00000000-0005-0000-0000-0000B10F0000}"/>
    <cellStyle name="Ввод  2 3 3 4 3 3" xfId="11492" xr:uid="{1A3A8481-A19E-405D-9386-7E1D0085C21A}"/>
    <cellStyle name="Ввод  2 3 3 4 4" xfId="4953" xr:uid="{00000000-0005-0000-0000-0000B20F0000}"/>
    <cellStyle name="Ввод  2 3 3 4 5" xfId="8962" xr:uid="{9A30C6F8-96F4-4E3D-9434-559FF6105036}"/>
    <cellStyle name="Ввод  2 3 3 4 6" xfId="12853" xr:uid="{D272C02B-B1D4-4227-9DDE-144278B39E4F}"/>
    <cellStyle name="Ввод  2 3 3 5" xfId="2222" xr:uid="{00000000-0005-0000-0000-0000B30F0000}"/>
    <cellStyle name="Ввод  2 3 3 5 2" xfId="6119" xr:uid="{00000000-0005-0000-0000-0000B40F0000}"/>
    <cellStyle name="Ввод  2 3 3 5 3" xfId="10128" xr:uid="{5B44F3E9-9BFF-40ED-B6DC-9090F83D2056}"/>
    <cellStyle name="Ввод  2 3 3 6" xfId="2997" xr:uid="{00000000-0005-0000-0000-0000B50F0000}"/>
    <cellStyle name="Ввод  2 3 3 6 2" xfId="6891" xr:uid="{00000000-0005-0000-0000-0000B60F0000}"/>
    <cellStyle name="Ввод  2 3 3 6 3" xfId="10900" xr:uid="{7B9FAA4B-5396-425F-99BA-8AF352B26CF1}"/>
    <cellStyle name="Ввод  2 3 3 7" xfId="4175" xr:uid="{00000000-0005-0000-0000-0000B70F0000}"/>
    <cellStyle name="Ввод  2 3 3 8" xfId="8184" xr:uid="{22C2BE82-F4BB-463E-8F87-CFE6A68ED3A7}"/>
    <cellStyle name="Ввод  2 3 3 9" xfId="12075" xr:uid="{2E760280-8AAA-4A95-B18A-7E1BF202B2EE}"/>
    <cellStyle name="Ввод  2 3 4" xfId="331" xr:uid="{00000000-0005-0000-0000-0000B80F0000}"/>
    <cellStyle name="Ввод  2 3 4 2" xfId="661" xr:uid="{00000000-0005-0000-0000-0000B90F0000}"/>
    <cellStyle name="Ввод  2 3 4 2 2" xfId="1442" xr:uid="{00000000-0005-0000-0000-0000BA0F0000}"/>
    <cellStyle name="Ввод  2 3 4 2 2 2" xfId="2232" xr:uid="{00000000-0005-0000-0000-0000BB0F0000}"/>
    <cellStyle name="Ввод  2 3 4 2 2 2 2" xfId="6129" xr:uid="{00000000-0005-0000-0000-0000BC0F0000}"/>
    <cellStyle name="Ввод  2 3 4 2 2 2 3" xfId="10138" xr:uid="{7A253E67-C31C-44BB-8B9C-71417453FEBF}"/>
    <cellStyle name="Ввод  2 3 4 2 2 3" xfId="3828" xr:uid="{00000000-0005-0000-0000-0000BD0F0000}"/>
    <cellStyle name="Ввод  2 3 4 2 2 3 2" xfId="7722" xr:uid="{00000000-0005-0000-0000-0000BE0F0000}"/>
    <cellStyle name="Ввод  2 3 4 2 2 3 3" xfId="11731" xr:uid="{C5EF4331-58B9-4C46-AF4F-2DC4391B1068}"/>
    <cellStyle name="Ввод  2 3 4 2 2 4" xfId="5343" xr:uid="{00000000-0005-0000-0000-0000BF0F0000}"/>
    <cellStyle name="Ввод  2 3 4 2 2 5" xfId="9352" xr:uid="{4000B587-E917-4F0E-BC35-EA8723E4B123}"/>
    <cellStyle name="Ввод  2 3 4 2 2 6" xfId="13243" xr:uid="{306D03A2-2995-45A0-95EE-D05C43127D26}"/>
    <cellStyle name="Ввод  2 3 4 2 3" xfId="2231" xr:uid="{00000000-0005-0000-0000-0000C00F0000}"/>
    <cellStyle name="Ввод  2 3 4 2 3 2" xfId="6128" xr:uid="{00000000-0005-0000-0000-0000C10F0000}"/>
    <cellStyle name="Ввод  2 3 4 2 3 3" xfId="10137" xr:uid="{E05E5AF2-7B2B-4859-A589-17D81A9BA52C}"/>
    <cellStyle name="Ввод  2 3 4 2 4" xfId="3387" xr:uid="{00000000-0005-0000-0000-0000C20F0000}"/>
    <cellStyle name="Ввод  2 3 4 2 4 2" xfId="7281" xr:uid="{00000000-0005-0000-0000-0000C30F0000}"/>
    <cellStyle name="Ввод  2 3 4 2 4 3" xfId="11290" xr:uid="{A91639CC-3B07-48A9-8F52-605BA72CF9C1}"/>
    <cellStyle name="Ввод  2 3 4 2 5" xfId="4565" xr:uid="{00000000-0005-0000-0000-0000C40F0000}"/>
    <cellStyle name="Ввод  2 3 4 2 6" xfId="8574" xr:uid="{EC9EB945-8841-41BA-96CA-FE0700AAA833}"/>
    <cellStyle name="Ввод  2 3 4 2 7" xfId="12465" xr:uid="{6E66BBE5-4EFD-4EC6-8107-450F82BE6D80}"/>
    <cellStyle name="Ввод  2 3 4 3" xfId="1121" xr:uid="{00000000-0005-0000-0000-0000C50F0000}"/>
    <cellStyle name="Ввод  2 3 4 3 2" xfId="2233" xr:uid="{00000000-0005-0000-0000-0000C60F0000}"/>
    <cellStyle name="Ввод  2 3 4 3 2 2" xfId="6130" xr:uid="{00000000-0005-0000-0000-0000C70F0000}"/>
    <cellStyle name="Ввод  2 3 4 3 2 3" xfId="10139" xr:uid="{22F10354-6E42-49B5-9961-D0D549109940}"/>
    <cellStyle name="Ввод  2 3 4 3 3" xfId="3630" xr:uid="{00000000-0005-0000-0000-0000C80F0000}"/>
    <cellStyle name="Ввод  2 3 4 3 3 2" xfId="7524" xr:uid="{00000000-0005-0000-0000-0000C90F0000}"/>
    <cellStyle name="Ввод  2 3 4 3 3 3" xfId="11533" xr:uid="{CA00A05D-EC76-4F74-8C09-0E072FB8326A}"/>
    <cellStyle name="Ввод  2 3 4 3 4" xfId="5022" xr:uid="{00000000-0005-0000-0000-0000CA0F0000}"/>
    <cellStyle name="Ввод  2 3 4 3 5" xfId="9031" xr:uid="{BC26CA7F-6DCD-4B3E-81DF-75B5D106ADB5}"/>
    <cellStyle name="Ввод  2 3 4 3 6" xfId="12922" xr:uid="{93F058A0-AC05-4366-AF34-93E57F887235}"/>
    <cellStyle name="Ввод  2 3 4 4" xfId="2230" xr:uid="{00000000-0005-0000-0000-0000CB0F0000}"/>
    <cellStyle name="Ввод  2 3 4 4 2" xfId="6127" xr:uid="{00000000-0005-0000-0000-0000CC0F0000}"/>
    <cellStyle name="Ввод  2 3 4 4 3" xfId="10136" xr:uid="{E17E6E6F-0392-49BE-B91A-B9BFDF81AD10}"/>
    <cellStyle name="Ввод  2 3 4 5" xfId="3066" xr:uid="{00000000-0005-0000-0000-0000CD0F0000}"/>
    <cellStyle name="Ввод  2 3 4 5 2" xfId="6960" xr:uid="{00000000-0005-0000-0000-0000CE0F0000}"/>
    <cellStyle name="Ввод  2 3 4 5 3" xfId="10969" xr:uid="{158E3DC6-44C9-44CA-854E-CA021FDC5AC7}"/>
    <cellStyle name="Ввод  2 3 4 6" xfId="4244" xr:uid="{00000000-0005-0000-0000-0000CF0F0000}"/>
    <cellStyle name="Ввод  2 3 4 7" xfId="8253" xr:uid="{79A66DD6-3A49-4C23-8D38-EC274C5B4B05}"/>
    <cellStyle name="Ввод  2 3 4 8" xfId="12144" xr:uid="{8D5ABD35-3EFD-4716-A654-9EC1713BED90}"/>
    <cellStyle name="Ввод  2 3 5" xfId="493" xr:uid="{00000000-0005-0000-0000-0000D00F0000}"/>
    <cellStyle name="Ввод  2 3 5 2" xfId="1277" xr:uid="{00000000-0005-0000-0000-0000D10F0000}"/>
    <cellStyle name="Ввод  2 3 5 2 2" xfId="2235" xr:uid="{00000000-0005-0000-0000-0000D20F0000}"/>
    <cellStyle name="Ввод  2 3 5 2 2 2" xfId="6132" xr:uid="{00000000-0005-0000-0000-0000D30F0000}"/>
    <cellStyle name="Ввод  2 3 5 2 2 3" xfId="10141" xr:uid="{BA975DA2-DF11-45E2-86E0-CE7EE0BAA3C9}"/>
    <cellStyle name="Ввод  2 3 5 2 3" xfId="3729" xr:uid="{00000000-0005-0000-0000-0000D40F0000}"/>
    <cellStyle name="Ввод  2 3 5 2 3 2" xfId="7623" xr:uid="{00000000-0005-0000-0000-0000D50F0000}"/>
    <cellStyle name="Ввод  2 3 5 2 3 3" xfId="11632" xr:uid="{34B5A178-3DE2-4E4E-B5F9-678331902EC9}"/>
    <cellStyle name="Ввод  2 3 5 2 4" xfId="5178" xr:uid="{00000000-0005-0000-0000-0000D60F0000}"/>
    <cellStyle name="Ввод  2 3 5 2 5" xfId="9187" xr:uid="{04EAB2DE-6BB1-4B9E-BCC0-AAD64941FE24}"/>
    <cellStyle name="Ввод  2 3 5 2 6" xfId="13078" xr:uid="{16FE685A-0AEE-4EBB-A6ED-DC675DA75E8C}"/>
    <cellStyle name="Ввод  2 3 5 3" xfId="2234" xr:uid="{00000000-0005-0000-0000-0000D70F0000}"/>
    <cellStyle name="Ввод  2 3 5 3 2" xfId="6131" xr:uid="{00000000-0005-0000-0000-0000D80F0000}"/>
    <cellStyle name="Ввод  2 3 5 3 3" xfId="10140" xr:uid="{2B0B4C51-F15E-4E2C-A3D0-4E422F675844}"/>
    <cellStyle name="Ввод  2 3 5 4" xfId="3222" xr:uid="{00000000-0005-0000-0000-0000D90F0000}"/>
    <cellStyle name="Ввод  2 3 5 4 2" xfId="7116" xr:uid="{00000000-0005-0000-0000-0000DA0F0000}"/>
    <cellStyle name="Ввод  2 3 5 4 3" xfId="11125" xr:uid="{1BB89533-5F28-4B82-835F-5D625E7D0AD3}"/>
    <cellStyle name="Ввод  2 3 5 5" xfId="4400" xr:uid="{00000000-0005-0000-0000-0000DB0F0000}"/>
    <cellStyle name="Ввод  2 3 5 6" xfId="8409" xr:uid="{36AE71D0-9F4E-438C-A07F-71DC23FB503A}"/>
    <cellStyle name="Ввод  2 3 5 7" xfId="12300" xr:uid="{F5739D42-6E16-4E5F-BEF5-DBB823D647AB}"/>
    <cellStyle name="Ввод  2 3 6" xfId="956" xr:uid="{00000000-0005-0000-0000-0000DC0F0000}"/>
    <cellStyle name="Ввод  2 3 6 2" xfId="2236" xr:uid="{00000000-0005-0000-0000-0000DD0F0000}"/>
    <cellStyle name="Ввод  2 3 6 2 2" xfId="6133" xr:uid="{00000000-0005-0000-0000-0000DE0F0000}"/>
    <cellStyle name="Ввод  2 3 6 2 3" xfId="10142" xr:uid="{BA2983B1-C044-4A4D-AA10-7993820DC4D6}"/>
    <cellStyle name="Ввод  2 3 6 3" xfId="3531" xr:uid="{00000000-0005-0000-0000-0000DF0F0000}"/>
    <cellStyle name="Ввод  2 3 6 3 2" xfId="7425" xr:uid="{00000000-0005-0000-0000-0000E00F0000}"/>
    <cellStyle name="Ввод  2 3 6 3 3" xfId="11434" xr:uid="{2CC7B50B-986B-4858-B775-6060DAFBE483}"/>
    <cellStyle name="Ввод  2 3 6 4" xfId="4857" xr:uid="{00000000-0005-0000-0000-0000E10F0000}"/>
    <cellStyle name="Ввод  2 3 6 5" xfId="8866" xr:uid="{01A93711-72EB-4D8C-90FA-9971E6165DB9}"/>
    <cellStyle name="Ввод  2 3 6 6" xfId="12757" xr:uid="{3E12AAEA-C273-4EC2-8B98-D77934C2441E}"/>
    <cellStyle name="Ввод  2 3 7" xfId="2213" xr:uid="{00000000-0005-0000-0000-0000E20F0000}"/>
    <cellStyle name="Ввод  2 3 7 2" xfId="6110" xr:uid="{00000000-0005-0000-0000-0000E30F0000}"/>
    <cellStyle name="Ввод  2 3 7 3" xfId="10119" xr:uid="{0B32D95E-A1CF-4CA6-BBDE-FE81AAA911F1}"/>
    <cellStyle name="Ввод  2 3 8" xfId="2901" xr:uid="{00000000-0005-0000-0000-0000E40F0000}"/>
    <cellStyle name="Ввод  2 3 8 2" xfId="6795" xr:uid="{00000000-0005-0000-0000-0000E50F0000}"/>
    <cellStyle name="Ввод  2 3 8 3" xfId="10804" xr:uid="{8027F35D-63D7-4E4E-AE51-CD2F6C0748B0}"/>
    <cellStyle name="Ввод  2 3 9" xfId="4079" xr:uid="{00000000-0005-0000-0000-0000E60F0000}"/>
    <cellStyle name="Ввод  2 4" xfId="135" xr:uid="{00000000-0005-0000-0000-0000E70F0000}"/>
    <cellStyle name="Ввод  2 4 10" xfId="4073" xr:uid="{00000000-0005-0000-0000-0000E80F0000}"/>
    <cellStyle name="Ввод  2 4 11" xfId="8082" xr:uid="{83923A6E-0438-4928-BAC6-36867528055B}"/>
    <cellStyle name="Ввод  2 4 12" xfId="11973" xr:uid="{BDAA7FDE-5E1B-47EB-B9C2-C6D77F5FD70A}"/>
    <cellStyle name="Ввод  2 4 13" xfId="13409" xr:uid="{0F69C3A6-E381-4A96-89EC-BC67EAC6F9A9}"/>
    <cellStyle name="Ввод  2 4 2" xfId="181" xr:uid="{00000000-0005-0000-0000-0000E90F0000}"/>
    <cellStyle name="Ввод  2 4 2 10" xfId="8106" xr:uid="{66A788EA-1D68-4A1D-98D3-0C631EE6D877}"/>
    <cellStyle name="Ввод  2 4 2 11" xfId="11997" xr:uid="{058FF2C9-7C87-4E0C-A732-98E6247D40D4}"/>
    <cellStyle name="Ввод  2 4 2 12" xfId="13433" xr:uid="{4717FF64-403D-417B-A71E-D545508F0350}"/>
    <cellStyle name="Ввод  2 4 2 2" xfId="282" xr:uid="{00000000-0005-0000-0000-0000EA0F0000}"/>
    <cellStyle name="Ввод  2 4 2 2 10" xfId="13531" xr:uid="{78F24EDC-03EE-42C0-85A5-210D182CBBF6}"/>
    <cellStyle name="Ввод  2 4 2 2 2" xfId="438" xr:uid="{00000000-0005-0000-0000-0000EB0F0000}"/>
    <cellStyle name="Ввод  2 4 2 2 2 2" xfId="768" xr:uid="{00000000-0005-0000-0000-0000EC0F0000}"/>
    <cellStyle name="Ввод  2 4 2 2 2 2 2" xfId="1549" xr:uid="{00000000-0005-0000-0000-0000ED0F0000}"/>
    <cellStyle name="Ввод  2 4 2 2 2 2 2 2" xfId="2242" xr:uid="{00000000-0005-0000-0000-0000EE0F0000}"/>
    <cellStyle name="Ввод  2 4 2 2 2 2 2 2 2" xfId="6139" xr:uid="{00000000-0005-0000-0000-0000EF0F0000}"/>
    <cellStyle name="Ввод  2 4 2 2 2 2 2 2 3" xfId="10148" xr:uid="{865FAC24-3E70-4C3C-AF33-ABD4D74F559F}"/>
    <cellStyle name="Ввод  2 4 2 2 2 2 2 3" xfId="3899" xr:uid="{00000000-0005-0000-0000-0000F00F0000}"/>
    <cellStyle name="Ввод  2 4 2 2 2 2 2 3 2" xfId="7793" xr:uid="{00000000-0005-0000-0000-0000F10F0000}"/>
    <cellStyle name="Ввод  2 4 2 2 2 2 2 3 3" xfId="11802" xr:uid="{BDD9CEA2-D7BD-4898-A878-B4986C792A9D}"/>
    <cellStyle name="Ввод  2 4 2 2 2 2 2 4" xfId="5450" xr:uid="{00000000-0005-0000-0000-0000F20F0000}"/>
    <cellStyle name="Ввод  2 4 2 2 2 2 2 5" xfId="9459" xr:uid="{462A5346-185B-457A-B39D-D00F60E864CD}"/>
    <cellStyle name="Ввод  2 4 2 2 2 2 2 6" xfId="13350" xr:uid="{49A9387E-550B-4051-BDC9-D9443125AA2B}"/>
    <cellStyle name="Ввод  2 4 2 2 2 2 3" xfId="2241" xr:uid="{00000000-0005-0000-0000-0000F30F0000}"/>
    <cellStyle name="Ввод  2 4 2 2 2 2 3 2" xfId="6138" xr:uid="{00000000-0005-0000-0000-0000F40F0000}"/>
    <cellStyle name="Ввод  2 4 2 2 2 2 3 3" xfId="10147" xr:uid="{A2F0C82A-6AA1-47A7-8D22-AE4CBD2AD4B4}"/>
    <cellStyle name="Ввод  2 4 2 2 2 2 4" xfId="3494" xr:uid="{00000000-0005-0000-0000-0000F50F0000}"/>
    <cellStyle name="Ввод  2 4 2 2 2 2 4 2" xfId="7388" xr:uid="{00000000-0005-0000-0000-0000F60F0000}"/>
    <cellStyle name="Ввод  2 4 2 2 2 2 4 3" xfId="11397" xr:uid="{81A253CD-49CB-4536-B02E-E3BC111C4BB0}"/>
    <cellStyle name="Ввод  2 4 2 2 2 2 5" xfId="4672" xr:uid="{00000000-0005-0000-0000-0000F70F0000}"/>
    <cellStyle name="Ввод  2 4 2 2 2 2 6" xfId="8681" xr:uid="{8EA10EE6-4FF8-4615-8F2D-E616D8762E9B}"/>
    <cellStyle name="Ввод  2 4 2 2 2 2 7" xfId="12572" xr:uid="{DB7FE057-1AA8-4AB7-8D4F-567220CD7EEF}"/>
    <cellStyle name="Ввод  2 4 2 2 2 3" xfId="1228" xr:uid="{00000000-0005-0000-0000-0000F80F0000}"/>
    <cellStyle name="Ввод  2 4 2 2 2 3 2" xfId="2243" xr:uid="{00000000-0005-0000-0000-0000F90F0000}"/>
    <cellStyle name="Ввод  2 4 2 2 2 3 2 2" xfId="6140" xr:uid="{00000000-0005-0000-0000-0000FA0F0000}"/>
    <cellStyle name="Ввод  2 4 2 2 2 3 2 3" xfId="10149" xr:uid="{C5964ABC-D1BA-406F-96E8-8BA665B13A1C}"/>
    <cellStyle name="Ввод  2 4 2 2 2 3 3" xfId="3701" xr:uid="{00000000-0005-0000-0000-0000FB0F0000}"/>
    <cellStyle name="Ввод  2 4 2 2 2 3 3 2" xfId="7595" xr:uid="{00000000-0005-0000-0000-0000FC0F0000}"/>
    <cellStyle name="Ввод  2 4 2 2 2 3 3 3" xfId="11604" xr:uid="{502C4BB4-7A51-4A84-AF70-1556FE855EC7}"/>
    <cellStyle name="Ввод  2 4 2 2 2 3 4" xfId="5129" xr:uid="{00000000-0005-0000-0000-0000FD0F0000}"/>
    <cellStyle name="Ввод  2 4 2 2 2 3 5" xfId="9138" xr:uid="{E83350AC-01A5-4EA8-9352-28A588ACD0D8}"/>
    <cellStyle name="Ввод  2 4 2 2 2 3 6" xfId="13029" xr:uid="{D9F9686F-5704-45CA-A6A8-D1F5AA454BC8}"/>
    <cellStyle name="Ввод  2 4 2 2 2 4" xfId="2240" xr:uid="{00000000-0005-0000-0000-0000FE0F0000}"/>
    <cellStyle name="Ввод  2 4 2 2 2 4 2" xfId="6137" xr:uid="{00000000-0005-0000-0000-0000FF0F0000}"/>
    <cellStyle name="Ввод  2 4 2 2 2 4 3" xfId="10146" xr:uid="{FB10E1C2-AE7A-4ADE-A745-6D992D85DA17}"/>
    <cellStyle name="Ввод  2 4 2 2 2 5" xfId="3173" xr:uid="{00000000-0005-0000-0000-000000100000}"/>
    <cellStyle name="Ввод  2 4 2 2 2 5 2" xfId="7067" xr:uid="{00000000-0005-0000-0000-000001100000}"/>
    <cellStyle name="Ввод  2 4 2 2 2 5 3" xfId="11076" xr:uid="{2BA562BD-70FA-430B-B171-840A8F110C4F}"/>
    <cellStyle name="Ввод  2 4 2 2 2 6" xfId="4351" xr:uid="{00000000-0005-0000-0000-000002100000}"/>
    <cellStyle name="Ввод  2 4 2 2 2 7" xfId="8360" xr:uid="{42937FA6-243F-41C1-BB8F-00779E0F8336}"/>
    <cellStyle name="Ввод  2 4 2 2 2 8" xfId="12251" xr:uid="{44231D03-9668-4FB7-8CB9-140BEB6439DA}"/>
    <cellStyle name="Ввод  2 4 2 2 3" xfId="612" xr:uid="{00000000-0005-0000-0000-000003100000}"/>
    <cellStyle name="Ввод  2 4 2 2 3 2" xfId="1393" xr:uid="{00000000-0005-0000-0000-000004100000}"/>
    <cellStyle name="Ввод  2 4 2 2 3 2 2" xfId="2245" xr:uid="{00000000-0005-0000-0000-000005100000}"/>
    <cellStyle name="Ввод  2 4 2 2 3 2 2 2" xfId="6142" xr:uid="{00000000-0005-0000-0000-000006100000}"/>
    <cellStyle name="Ввод  2 4 2 2 3 2 2 3" xfId="10151" xr:uid="{87904ED1-454B-4E96-BDF6-EA7D2991E86D}"/>
    <cellStyle name="Ввод  2 4 2 2 3 2 3" xfId="3800" xr:uid="{00000000-0005-0000-0000-000007100000}"/>
    <cellStyle name="Ввод  2 4 2 2 3 2 3 2" xfId="7694" xr:uid="{00000000-0005-0000-0000-000008100000}"/>
    <cellStyle name="Ввод  2 4 2 2 3 2 3 3" xfId="11703" xr:uid="{67D3DA71-90FF-411D-AB14-64D4E5655424}"/>
    <cellStyle name="Ввод  2 4 2 2 3 2 4" xfId="5294" xr:uid="{00000000-0005-0000-0000-000009100000}"/>
    <cellStyle name="Ввод  2 4 2 2 3 2 5" xfId="9303" xr:uid="{627B1FE4-97D0-4A83-AEA7-686C5FC6DDB6}"/>
    <cellStyle name="Ввод  2 4 2 2 3 2 6" xfId="13194" xr:uid="{3FB35E13-A06B-42AC-AF69-9888DA68C210}"/>
    <cellStyle name="Ввод  2 4 2 2 3 3" xfId="2244" xr:uid="{00000000-0005-0000-0000-00000A100000}"/>
    <cellStyle name="Ввод  2 4 2 2 3 3 2" xfId="6141" xr:uid="{00000000-0005-0000-0000-00000B100000}"/>
    <cellStyle name="Ввод  2 4 2 2 3 3 3" xfId="10150" xr:uid="{CAE65FE1-C4F0-4619-ADD2-B403CB0CE617}"/>
    <cellStyle name="Ввод  2 4 2 2 3 4" xfId="3338" xr:uid="{00000000-0005-0000-0000-00000C100000}"/>
    <cellStyle name="Ввод  2 4 2 2 3 4 2" xfId="7232" xr:uid="{00000000-0005-0000-0000-00000D100000}"/>
    <cellStyle name="Ввод  2 4 2 2 3 4 3" xfId="11241" xr:uid="{30D428A2-E2D0-4217-9AF7-25CF60301ECC}"/>
    <cellStyle name="Ввод  2 4 2 2 3 5" xfId="4516" xr:uid="{00000000-0005-0000-0000-00000E100000}"/>
    <cellStyle name="Ввод  2 4 2 2 3 6" xfId="8525" xr:uid="{C5C19319-7EC6-4290-92E6-3A6CB4E5125E}"/>
    <cellStyle name="Ввод  2 4 2 2 3 7" xfId="12416" xr:uid="{2B1695D2-77A8-4B84-97EA-C3D4784D2413}"/>
    <cellStyle name="Ввод  2 4 2 2 4" xfId="1072" xr:uid="{00000000-0005-0000-0000-00000F100000}"/>
    <cellStyle name="Ввод  2 4 2 2 4 2" xfId="2246" xr:uid="{00000000-0005-0000-0000-000010100000}"/>
    <cellStyle name="Ввод  2 4 2 2 4 2 2" xfId="6143" xr:uid="{00000000-0005-0000-0000-000011100000}"/>
    <cellStyle name="Ввод  2 4 2 2 4 2 3" xfId="10152" xr:uid="{CFA0A57E-48EA-47D6-A25D-6A8AA04E02DD}"/>
    <cellStyle name="Ввод  2 4 2 2 4 3" xfId="3602" xr:uid="{00000000-0005-0000-0000-000012100000}"/>
    <cellStyle name="Ввод  2 4 2 2 4 3 2" xfId="7496" xr:uid="{00000000-0005-0000-0000-000013100000}"/>
    <cellStyle name="Ввод  2 4 2 2 4 3 3" xfId="11505" xr:uid="{163BCBF1-9178-48A8-8EAF-8F0C44D7C30B}"/>
    <cellStyle name="Ввод  2 4 2 2 4 4" xfId="4973" xr:uid="{00000000-0005-0000-0000-000014100000}"/>
    <cellStyle name="Ввод  2 4 2 2 4 5" xfId="8982" xr:uid="{18989D77-CF2C-496D-B883-393A55E7F4A6}"/>
    <cellStyle name="Ввод  2 4 2 2 4 6" xfId="12873" xr:uid="{8CF24663-A577-4172-91FB-F60E5F994B15}"/>
    <cellStyle name="Ввод  2 4 2 2 5" xfId="2239" xr:uid="{00000000-0005-0000-0000-000015100000}"/>
    <cellStyle name="Ввод  2 4 2 2 5 2" xfId="6136" xr:uid="{00000000-0005-0000-0000-000016100000}"/>
    <cellStyle name="Ввод  2 4 2 2 5 3" xfId="10145" xr:uid="{A405FDB3-50D7-425D-89F9-85E626A46532}"/>
    <cellStyle name="Ввод  2 4 2 2 6" xfId="3017" xr:uid="{00000000-0005-0000-0000-000017100000}"/>
    <cellStyle name="Ввод  2 4 2 2 6 2" xfId="6911" xr:uid="{00000000-0005-0000-0000-000018100000}"/>
    <cellStyle name="Ввод  2 4 2 2 6 3" xfId="10920" xr:uid="{E7DD268A-6C3B-40E7-A9B3-34DA0F0C95C6}"/>
    <cellStyle name="Ввод  2 4 2 2 7" xfId="4195" xr:uid="{00000000-0005-0000-0000-000019100000}"/>
    <cellStyle name="Ввод  2 4 2 2 8" xfId="8204" xr:uid="{6B4BAC9D-83BC-4414-983B-7E6516BAAD70}"/>
    <cellStyle name="Ввод  2 4 2 2 9" xfId="12095" xr:uid="{278FA63F-962F-49D0-A62B-C55D7B7C0FAC}"/>
    <cellStyle name="Ввод  2 4 2 3" xfId="214" xr:uid="{00000000-0005-0000-0000-00001A100000}"/>
    <cellStyle name="Ввод  2 4 2 3 10" xfId="13463" xr:uid="{9E846067-7F24-4776-A4E0-3A30225C5EAA}"/>
    <cellStyle name="Ввод  2 4 2 3 2" xfId="377" xr:uid="{00000000-0005-0000-0000-00001B100000}"/>
    <cellStyle name="Ввод  2 4 2 3 2 2" xfId="707" xr:uid="{00000000-0005-0000-0000-00001C100000}"/>
    <cellStyle name="Ввод  2 4 2 3 2 2 2" xfId="1488" xr:uid="{00000000-0005-0000-0000-00001D100000}"/>
    <cellStyle name="Ввод  2 4 2 3 2 2 2 2" xfId="2250" xr:uid="{00000000-0005-0000-0000-00001E100000}"/>
    <cellStyle name="Ввод  2 4 2 3 2 2 2 2 2" xfId="6147" xr:uid="{00000000-0005-0000-0000-00001F100000}"/>
    <cellStyle name="Ввод  2 4 2 3 2 2 2 2 3" xfId="10156" xr:uid="{56E4BFD7-A9ED-4958-8BF1-87032F01D2B9}"/>
    <cellStyle name="Ввод  2 4 2 3 2 2 2 3" xfId="3860" xr:uid="{00000000-0005-0000-0000-000020100000}"/>
    <cellStyle name="Ввод  2 4 2 3 2 2 2 3 2" xfId="7754" xr:uid="{00000000-0005-0000-0000-000021100000}"/>
    <cellStyle name="Ввод  2 4 2 3 2 2 2 3 3" xfId="11763" xr:uid="{43781468-599E-4953-872B-F88AA18CDA72}"/>
    <cellStyle name="Ввод  2 4 2 3 2 2 2 4" xfId="5389" xr:uid="{00000000-0005-0000-0000-000022100000}"/>
    <cellStyle name="Ввод  2 4 2 3 2 2 2 5" xfId="9398" xr:uid="{EA8F4B15-2EC5-46C3-B7A7-356110684939}"/>
    <cellStyle name="Ввод  2 4 2 3 2 2 2 6" xfId="13289" xr:uid="{3F15FA2C-FED6-4173-AFEF-D4119AA3DD7B}"/>
    <cellStyle name="Ввод  2 4 2 3 2 2 3" xfId="2249" xr:uid="{00000000-0005-0000-0000-000023100000}"/>
    <cellStyle name="Ввод  2 4 2 3 2 2 3 2" xfId="6146" xr:uid="{00000000-0005-0000-0000-000024100000}"/>
    <cellStyle name="Ввод  2 4 2 3 2 2 3 3" xfId="10155" xr:uid="{0B9F1644-AC57-4195-87B2-0AF72D3235F8}"/>
    <cellStyle name="Ввод  2 4 2 3 2 2 4" xfId="3433" xr:uid="{00000000-0005-0000-0000-000025100000}"/>
    <cellStyle name="Ввод  2 4 2 3 2 2 4 2" xfId="7327" xr:uid="{00000000-0005-0000-0000-000026100000}"/>
    <cellStyle name="Ввод  2 4 2 3 2 2 4 3" xfId="11336" xr:uid="{60B309EE-ECFD-4B84-9679-481440F3DE68}"/>
    <cellStyle name="Ввод  2 4 2 3 2 2 5" xfId="4611" xr:uid="{00000000-0005-0000-0000-000027100000}"/>
    <cellStyle name="Ввод  2 4 2 3 2 2 6" xfId="8620" xr:uid="{76447281-9D4C-416F-9A15-432125C96D2D}"/>
    <cellStyle name="Ввод  2 4 2 3 2 2 7" xfId="12511" xr:uid="{30ACF869-E4EC-44EF-AC4C-D0F2670E60A5}"/>
    <cellStyle name="Ввод  2 4 2 3 2 3" xfId="1167" xr:uid="{00000000-0005-0000-0000-000028100000}"/>
    <cellStyle name="Ввод  2 4 2 3 2 3 2" xfId="2251" xr:uid="{00000000-0005-0000-0000-000029100000}"/>
    <cellStyle name="Ввод  2 4 2 3 2 3 2 2" xfId="6148" xr:uid="{00000000-0005-0000-0000-00002A100000}"/>
    <cellStyle name="Ввод  2 4 2 3 2 3 2 3" xfId="10157" xr:uid="{49DA9258-238E-4C27-BA5B-964D24FCC42C}"/>
    <cellStyle name="Ввод  2 4 2 3 2 3 3" xfId="3662" xr:uid="{00000000-0005-0000-0000-00002B100000}"/>
    <cellStyle name="Ввод  2 4 2 3 2 3 3 2" xfId="7556" xr:uid="{00000000-0005-0000-0000-00002C100000}"/>
    <cellStyle name="Ввод  2 4 2 3 2 3 3 3" xfId="11565" xr:uid="{C9AB78A1-3782-423D-A209-6C882414C284}"/>
    <cellStyle name="Ввод  2 4 2 3 2 3 4" xfId="5068" xr:uid="{00000000-0005-0000-0000-00002D100000}"/>
    <cellStyle name="Ввод  2 4 2 3 2 3 5" xfId="9077" xr:uid="{93DE14BF-839E-4147-886E-2C203F022B03}"/>
    <cellStyle name="Ввод  2 4 2 3 2 3 6" xfId="12968" xr:uid="{9A51EDDB-F611-4410-9D8F-C39D5612E3C8}"/>
    <cellStyle name="Ввод  2 4 2 3 2 4" xfId="2248" xr:uid="{00000000-0005-0000-0000-00002E100000}"/>
    <cellStyle name="Ввод  2 4 2 3 2 4 2" xfId="6145" xr:uid="{00000000-0005-0000-0000-00002F100000}"/>
    <cellStyle name="Ввод  2 4 2 3 2 4 3" xfId="10154" xr:uid="{B8B497F7-0D6F-4856-A378-278D93F49505}"/>
    <cellStyle name="Ввод  2 4 2 3 2 5" xfId="3112" xr:uid="{00000000-0005-0000-0000-000030100000}"/>
    <cellStyle name="Ввод  2 4 2 3 2 5 2" xfId="7006" xr:uid="{00000000-0005-0000-0000-000031100000}"/>
    <cellStyle name="Ввод  2 4 2 3 2 5 3" xfId="11015" xr:uid="{FA230E5C-8A44-4F14-B6EE-9D5A0FFCD9B8}"/>
    <cellStyle name="Ввод  2 4 2 3 2 6" xfId="4290" xr:uid="{00000000-0005-0000-0000-000032100000}"/>
    <cellStyle name="Ввод  2 4 2 3 2 7" xfId="8299" xr:uid="{FBE6C93C-F0B0-4D5D-AF12-536A4CCE51DF}"/>
    <cellStyle name="Ввод  2 4 2 3 2 8" xfId="12190" xr:uid="{9FF89A04-6784-475F-A13E-D8D88000B4F3}"/>
    <cellStyle name="Ввод  2 4 2 3 3" xfId="544" xr:uid="{00000000-0005-0000-0000-000033100000}"/>
    <cellStyle name="Ввод  2 4 2 3 3 2" xfId="1325" xr:uid="{00000000-0005-0000-0000-000034100000}"/>
    <cellStyle name="Ввод  2 4 2 3 3 2 2" xfId="2253" xr:uid="{00000000-0005-0000-0000-000035100000}"/>
    <cellStyle name="Ввод  2 4 2 3 3 2 2 2" xfId="6150" xr:uid="{00000000-0005-0000-0000-000036100000}"/>
    <cellStyle name="Ввод  2 4 2 3 3 2 2 3" xfId="10159" xr:uid="{0C450249-0C7E-408B-9AC6-A9C6706F2815}"/>
    <cellStyle name="Ввод  2 4 2 3 3 2 3" xfId="3761" xr:uid="{00000000-0005-0000-0000-000037100000}"/>
    <cellStyle name="Ввод  2 4 2 3 3 2 3 2" xfId="7655" xr:uid="{00000000-0005-0000-0000-000038100000}"/>
    <cellStyle name="Ввод  2 4 2 3 3 2 3 3" xfId="11664" xr:uid="{250B3379-CB02-4AB5-B8F6-CBD06B0720F0}"/>
    <cellStyle name="Ввод  2 4 2 3 3 2 4" xfId="5226" xr:uid="{00000000-0005-0000-0000-000039100000}"/>
    <cellStyle name="Ввод  2 4 2 3 3 2 5" xfId="9235" xr:uid="{FFB71009-5A8C-42EF-A433-C40FD6A1B99A}"/>
    <cellStyle name="Ввод  2 4 2 3 3 2 6" xfId="13126" xr:uid="{175FFBBA-60C8-4A06-ACEC-BA1E72ABE451}"/>
    <cellStyle name="Ввод  2 4 2 3 3 3" xfId="2252" xr:uid="{00000000-0005-0000-0000-00003A100000}"/>
    <cellStyle name="Ввод  2 4 2 3 3 3 2" xfId="6149" xr:uid="{00000000-0005-0000-0000-00003B100000}"/>
    <cellStyle name="Ввод  2 4 2 3 3 3 3" xfId="10158" xr:uid="{FC496E93-BF36-466E-861B-D3D1012E3915}"/>
    <cellStyle name="Ввод  2 4 2 3 3 4" xfId="3270" xr:uid="{00000000-0005-0000-0000-00003C100000}"/>
    <cellStyle name="Ввод  2 4 2 3 3 4 2" xfId="7164" xr:uid="{00000000-0005-0000-0000-00003D100000}"/>
    <cellStyle name="Ввод  2 4 2 3 3 4 3" xfId="11173" xr:uid="{C9565AE1-49F7-4966-B4AD-9B82E367CAD0}"/>
    <cellStyle name="Ввод  2 4 2 3 3 5" xfId="4448" xr:uid="{00000000-0005-0000-0000-00003E100000}"/>
    <cellStyle name="Ввод  2 4 2 3 3 6" xfId="8457" xr:uid="{7C701E4D-36D5-4C96-B2A7-114C9AB0F79E}"/>
    <cellStyle name="Ввод  2 4 2 3 3 7" xfId="12348" xr:uid="{4CE0AA95-581C-4485-A1E8-037CD77BE32F}"/>
    <cellStyle name="Ввод  2 4 2 3 4" xfId="1004" xr:uid="{00000000-0005-0000-0000-00003F100000}"/>
    <cellStyle name="Ввод  2 4 2 3 4 2" xfId="2254" xr:uid="{00000000-0005-0000-0000-000040100000}"/>
    <cellStyle name="Ввод  2 4 2 3 4 2 2" xfId="6151" xr:uid="{00000000-0005-0000-0000-000041100000}"/>
    <cellStyle name="Ввод  2 4 2 3 4 2 3" xfId="10160" xr:uid="{8AA8E9FD-5941-49DE-BFFD-D2A49BAAC989}"/>
    <cellStyle name="Ввод  2 4 2 3 4 3" xfId="3563" xr:uid="{00000000-0005-0000-0000-000042100000}"/>
    <cellStyle name="Ввод  2 4 2 3 4 3 2" xfId="7457" xr:uid="{00000000-0005-0000-0000-000043100000}"/>
    <cellStyle name="Ввод  2 4 2 3 4 3 3" xfId="11466" xr:uid="{2E9F600E-44DF-4D55-B776-F7BDB98578C3}"/>
    <cellStyle name="Ввод  2 4 2 3 4 4" xfId="4905" xr:uid="{00000000-0005-0000-0000-000044100000}"/>
    <cellStyle name="Ввод  2 4 2 3 4 5" xfId="8914" xr:uid="{2B727892-DD68-4DA4-AAE6-6A7D27545AB6}"/>
    <cellStyle name="Ввод  2 4 2 3 4 6" xfId="12805" xr:uid="{79A012B5-CBC8-494D-9617-9B4B59684867}"/>
    <cellStyle name="Ввод  2 4 2 3 5" xfId="2247" xr:uid="{00000000-0005-0000-0000-000045100000}"/>
    <cellStyle name="Ввод  2 4 2 3 5 2" xfId="6144" xr:uid="{00000000-0005-0000-0000-000046100000}"/>
    <cellStyle name="Ввод  2 4 2 3 5 3" xfId="10153" xr:uid="{73F35709-4117-4F6B-952E-1695FA537F16}"/>
    <cellStyle name="Ввод  2 4 2 3 6" xfId="2949" xr:uid="{00000000-0005-0000-0000-000047100000}"/>
    <cellStyle name="Ввод  2 4 2 3 6 2" xfId="6843" xr:uid="{00000000-0005-0000-0000-000048100000}"/>
    <cellStyle name="Ввод  2 4 2 3 6 3" xfId="10852" xr:uid="{A35AA236-1107-4186-BA5B-CE13745E5E8F}"/>
    <cellStyle name="Ввод  2 4 2 3 7" xfId="4127" xr:uid="{00000000-0005-0000-0000-000049100000}"/>
    <cellStyle name="Ввод  2 4 2 3 8" xfId="8136" xr:uid="{7E49F857-1F0C-49BC-960C-D261AF493EDA}"/>
    <cellStyle name="Ввод  2 4 2 3 9" xfId="12027" xr:uid="{29225F62-604B-4500-B9BD-4B5269F0E7CF}"/>
    <cellStyle name="Ввод  2 4 2 4" xfId="349" xr:uid="{00000000-0005-0000-0000-00004A100000}"/>
    <cellStyle name="Ввод  2 4 2 4 2" xfId="679" xr:uid="{00000000-0005-0000-0000-00004B100000}"/>
    <cellStyle name="Ввод  2 4 2 4 2 2" xfId="1460" xr:uid="{00000000-0005-0000-0000-00004C100000}"/>
    <cellStyle name="Ввод  2 4 2 4 2 2 2" xfId="2257" xr:uid="{00000000-0005-0000-0000-00004D100000}"/>
    <cellStyle name="Ввод  2 4 2 4 2 2 2 2" xfId="6154" xr:uid="{00000000-0005-0000-0000-00004E100000}"/>
    <cellStyle name="Ввод  2 4 2 4 2 2 2 3" xfId="10163" xr:uid="{C1B8492F-3E19-4618-8850-3628D8A61391}"/>
    <cellStyle name="Ввод  2 4 2 4 2 2 3" xfId="3840" xr:uid="{00000000-0005-0000-0000-00004F100000}"/>
    <cellStyle name="Ввод  2 4 2 4 2 2 3 2" xfId="7734" xr:uid="{00000000-0005-0000-0000-000050100000}"/>
    <cellStyle name="Ввод  2 4 2 4 2 2 3 3" xfId="11743" xr:uid="{5B2CFD0D-BCD3-46C8-9033-73AEF3170F7D}"/>
    <cellStyle name="Ввод  2 4 2 4 2 2 4" xfId="5361" xr:uid="{00000000-0005-0000-0000-000051100000}"/>
    <cellStyle name="Ввод  2 4 2 4 2 2 5" xfId="9370" xr:uid="{AB0B0852-F67B-4D71-A0A2-81686797687F}"/>
    <cellStyle name="Ввод  2 4 2 4 2 2 6" xfId="13261" xr:uid="{58B9A1D4-AB7B-4A5E-9FAA-14A266EA53AB}"/>
    <cellStyle name="Ввод  2 4 2 4 2 3" xfId="2256" xr:uid="{00000000-0005-0000-0000-000052100000}"/>
    <cellStyle name="Ввод  2 4 2 4 2 3 2" xfId="6153" xr:uid="{00000000-0005-0000-0000-000053100000}"/>
    <cellStyle name="Ввод  2 4 2 4 2 3 3" xfId="10162" xr:uid="{0C082824-B41C-4F7C-AF1C-450C3A50B0CD}"/>
    <cellStyle name="Ввод  2 4 2 4 2 4" xfId="3405" xr:uid="{00000000-0005-0000-0000-000054100000}"/>
    <cellStyle name="Ввод  2 4 2 4 2 4 2" xfId="7299" xr:uid="{00000000-0005-0000-0000-000055100000}"/>
    <cellStyle name="Ввод  2 4 2 4 2 4 3" xfId="11308" xr:uid="{A26716C8-E9C3-4B50-8D57-051C0B740BA5}"/>
    <cellStyle name="Ввод  2 4 2 4 2 5" xfId="4583" xr:uid="{00000000-0005-0000-0000-000056100000}"/>
    <cellStyle name="Ввод  2 4 2 4 2 6" xfId="8592" xr:uid="{49131BBA-934A-4A33-A8FA-20ED673F0CAD}"/>
    <cellStyle name="Ввод  2 4 2 4 2 7" xfId="12483" xr:uid="{1FA430CC-2564-4511-8471-88B4ACAE2BE0}"/>
    <cellStyle name="Ввод  2 4 2 4 3" xfId="1139" xr:uid="{00000000-0005-0000-0000-000057100000}"/>
    <cellStyle name="Ввод  2 4 2 4 3 2" xfId="2258" xr:uid="{00000000-0005-0000-0000-000058100000}"/>
    <cellStyle name="Ввод  2 4 2 4 3 2 2" xfId="6155" xr:uid="{00000000-0005-0000-0000-000059100000}"/>
    <cellStyle name="Ввод  2 4 2 4 3 2 3" xfId="10164" xr:uid="{9568D763-D583-4CF6-B886-E888375E1B64}"/>
    <cellStyle name="Ввод  2 4 2 4 3 3" xfId="3642" xr:uid="{00000000-0005-0000-0000-00005A100000}"/>
    <cellStyle name="Ввод  2 4 2 4 3 3 2" xfId="7536" xr:uid="{00000000-0005-0000-0000-00005B100000}"/>
    <cellStyle name="Ввод  2 4 2 4 3 3 3" xfId="11545" xr:uid="{92A651A5-B6CA-422D-A7A6-3A6D65BC5CC2}"/>
    <cellStyle name="Ввод  2 4 2 4 3 4" xfId="5040" xr:uid="{00000000-0005-0000-0000-00005C100000}"/>
    <cellStyle name="Ввод  2 4 2 4 3 5" xfId="9049" xr:uid="{D476AE43-BDEC-4A92-BFF5-F9B5EC7DA30A}"/>
    <cellStyle name="Ввод  2 4 2 4 3 6" xfId="12940" xr:uid="{7BFF1B89-11BC-4698-A42B-14F420B283AA}"/>
    <cellStyle name="Ввод  2 4 2 4 4" xfId="2255" xr:uid="{00000000-0005-0000-0000-00005D100000}"/>
    <cellStyle name="Ввод  2 4 2 4 4 2" xfId="6152" xr:uid="{00000000-0005-0000-0000-00005E100000}"/>
    <cellStyle name="Ввод  2 4 2 4 4 3" xfId="10161" xr:uid="{C66891AA-11C7-4859-A1C2-C7EA0D808686}"/>
    <cellStyle name="Ввод  2 4 2 4 5" xfId="3084" xr:uid="{00000000-0005-0000-0000-00005F100000}"/>
    <cellStyle name="Ввод  2 4 2 4 5 2" xfId="6978" xr:uid="{00000000-0005-0000-0000-000060100000}"/>
    <cellStyle name="Ввод  2 4 2 4 5 3" xfId="10987" xr:uid="{E1962ADE-D820-45B6-82D2-7439F3D5E8FE}"/>
    <cellStyle name="Ввод  2 4 2 4 6" xfId="4262" xr:uid="{00000000-0005-0000-0000-000061100000}"/>
    <cellStyle name="Ввод  2 4 2 4 7" xfId="8271" xr:uid="{F8287EFB-5BF3-4DE8-8B0F-F2EEB5A7A01B}"/>
    <cellStyle name="Ввод  2 4 2 4 8" xfId="12162" xr:uid="{728BF1FA-BBDE-497F-84E3-2750A0AB1C2D}"/>
    <cellStyle name="Ввод  2 4 2 5" xfId="514" xr:uid="{00000000-0005-0000-0000-000062100000}"/>
    <cellStyle name="Ввод  2 4 2 5 2" xfId="1295" xr:uid="{00000000-0005-0000-0000-000063100000}"/>
    <cellStyle name="Ввод  2 4 2 5 2 2" xfId="2260" xr:uid="{00000000-0005-0000-0000-000064100000}"/>
    <cellStyle name="Ввод  2 4 2 5 2 2 2" xfId="6157" xr:uid="{00000000-0005-0000-0000-000065100000}"/>
    <cellStyle name="Ввод  2 4 2 5 2 2 3" xfId="10166" xr:uid="{E90DDEAE-C4DC-4E55-AB71-5EE683CE73D8}"/>
    <cellStyle name="Ввод  2 4 2 5 2 3" xfId="3741" xr:uid="{00000000-0005-0000-0000-000066100000}"/>
    <cellStyle name="Ввод  2 4 2 5 2 3 2" xfId="7635" xr:uid="{00000000-0005-0000-0000-000067100000}"/>
    <cellStyle name="Ввод  2 4 2 5 2 3 3" xfId="11644" xr:uid="{2196AE28-36A9-4982-8BB2-066020174FAA}"/>
    <cellStyle name="Ввод  2 4 2 5 2 4" xfId="5196" xr:uid="{00000000-0005-0000-0000-000068100000}"/>
    <cellStyle name="Ввод  2 4 2 5 2 5" xfId="9205" xr:uid="{D255C8AE-13C0-4167-9E6C-5197EA61755A}"/>
    <cellStyle name="Ввод  2 4 2 5 2 6" xfId="13096" xr:uid="{3A982502-9CEF-4900-9C30-DB09A11A88FF}"/>
    <cellStyle name="Ввод  2 4 2 5 3" xfId="2259" xr:uid="{00000000-0005-0000-0000-000069100000}"/>
    <cellStyle name="Ввод  2 4 2 5 3 2" xfId="6156" xr:uid="{00000000-0005-0000-0000-00006A100000}"/>
    <cellStyle name="Ввод  2 4 2 5 3 3" xfId="10165" xr:uid="{09FDBD3B-123A-4673-B114-A34B6795C2A2}"/>
    <cellStyle name="Ввод  2 4 2 5 4" xfId="3240" xr:uid="{00000000-0005-0000-0000-00006B100000}"/>
    <cellStyle name="Ввод  2 4 2 5 4 2" xfId="7134" xr:uid="{00000000-0005-0000-0000-00006C100000}"/>
    <cellStyle name="Ввод  2 4 2 5 4 3" xfId="11143" xr:uid="{7346D50C-0B6B-46BB-A9E0-F752ED964666}"/>
    <cellStyle name="Ввод  2 4 2 5 5" xfId="4418" xr:uid="{00000000-0005-0000-0000-00006D100000}"/>
    <cellStyle name="Ввод  2 4 2 5 6" xfId="8427" xr:uid="{4C4DA2E1-0F0D-4C7F-B8EB-1807F22C8421}"/>
    <cellStyle name="Ввод  2 4 2 5 7" xfId="12318" xr:uid="{586AAC47-0EF1-4283-A7D5-8936DDC66DC6}"/>
    <cellStyle name="Ввод  2 4 2 6" xfId="974" xr:uid="{00000000-0005-0000-0000-00006E100000}"/>
    <cellStyle name="Ввод  2 4 2 6 2" xfId="2261" xr:uid="{00000000-0005-0000-0000-00006F100000}"/>
    <cellStyle name="Ввод  2 4 2 6 2 2" xfId="6158" xr:uid="{00000000-0005-0000-0000-000070100000}"/>
    <cellStyle name="Ввод  2 4 2 6 2 3" xfId="10167" xr:uid="{4BB864C6-EE0C-485A-891D-7FEC701FC871}"/>
    <cellStyle name="Ввод  2 4 2 6 3" xfId="3543" xr:uid="{00000000-0005-0000-0000-000071100000}"/>
    <cellStyle name="Ввод  2 4 2 6 3 2" xfId="7437" xr:uid="{00000000-0005-0000-0000-000072100000}"/>
    <cellStyle name="Ввод  2 4 2 6 3 3" xfId="11446" xr:uid="{8DEB65D9-A4FC-4DEB-B0F3-96EB6BC57A56}"/>
    <cellStyle name="Ввод  2 4 2 6 4" xfId="4875" xr:uid="{00000000-0005-0000-0000-000073100000}"/>
    <cellStyle name="Ввод  2 4 2 6 5" xfId="8884" xr:uid="{87910E88-E77B-45C1-B535-B441EDA584DE}"/>
    <cellStyle name="Ввод  2 4 2 6 6" xfId="12775" xr:uid="{BA1D9EB6-BC85-417E-87A4-67D49A6E1E7C}"/>
    <cellStyle name="Ввод  2 4 2 7" xfId="2238" xr:uid="{00000000-0005-0000-0000-000074100000}"/>
    <cellStyle name="Ввод  2 4 2 7 2" xfId="6135" xr:uid="{00000000-0005-0000-0000-000075100000}"/>
    <cellStyle name="Ввод  2 4 2 7 3" xfId="10144" xr:uid="{5FC2DDF8-29FC-4572-AAD4-AD7DB6CE79D4}"/>
    <cellStyle name="Ввод  2 4 2 8" xfId="2919" xr:uid="{00000000-0005-0000-0000-000076100000}"/>
    <cellStyle name="Ввод  2 4 2 8 2" xfId="6813" xr:uid="{00000000-0005-0000-0000-000077100000}"/>
    <cellStyle name="Ввод  2 4 2 8 3" xfId="10822" xr:uid="{16871896-E03F-4ABD-B944-2B09222D2423}"/>
    <cellStyle name="Ввод  2 4 2 9" xfId="4097" xr:uid="{00000000-0005-0000-0000-000078100000}"/>
    <cellStyle name="Ввод  2 4 3" xfId="251" xr:uid="{00000000-0005-0000-0000-000079100000}"/>
    <cellStyle name="Ввод  2 4 3 10" xfId="13500" xr:uid="{9F0487F0-F62F-4ABF-82C3-4827630986AE}"/>
    <cellStyle name="Ввод  2 4 3 2" xfId="408" xr:uid="{00000000-0005-0000-0000-00007A100000}"/>
    <cellStyle name="Ввод  2 4 3 2 2" xfId="738" xr:uid="{00000000-0005-0000-0000-00007B100000}"/>
    <cellStyle name="Ввод  2 4 3 2 2 2" xfId="1519" xr:uid="{00000000-0005-0000-0000-00007C100000}"/>
    <cellStyle name="Ввод  2 4 3 2 2 2 2" xfId="2265" xr:uid="{00000000-0005-0000-0000-00007D100000}"/>
    <cellStyle name="Ввод  2 4 3 2 2 2 2 2" xfId="6162" xr:uid="{00000000-0005-0000-0000-00007E100000}"/>
    <cellStyle name="Ввод  2 4 3 2 2 2 2 3" xfId="10171" xr:uid="{B3ED70AC-0722-4579-A71D-F6BE3867B8D7}"/>
    <cellStyle name="Ввод  2 4 3 2 2 2 3" xfId="3879" xr:uid="{00000000-0005-0000-0000-00007F100000}"/>
    <cellStyle name="Ввод  2 4 3 2 2 2 3 2" xfId="7773" xr:uid="{00000000-0005-0000-0000-000080100000}"/>
    <cellStyle name="Ввод  2 4 3 2 2 2 3 3" xfId="11782" xr:uid="{F22790E1-33F0-4702-99B3-DADEF853BCDF}"/>
    <cellStyle name="Ввод  2 4 3 2 2 2 4" xfId="5420" xr:uid="{00000000-0005-0000-0000-000081100000}"/>
    <cellStyle name="Ввод  2 4 3 2 2 2 5" xfId="9429" xr:uid="{EFB4E8C0-F1FF-4045-A7AD-F5D328F8D3F3}"/>
    <cellStyle name="Ввод  2 4 3 2 2 2 6" xfId="13320" xr:uid="{8AA8BD9B-4D8F-4F59-ACDB-2A11A9D50429}"/>
    <cellStyle name="Ввод  2 4 3 2 2 3" xfId="2264" xr:uid="{00000000-0005-0000-0000-000082100000}"/>
    <cellStyle name="Ввод  2 4 3 2 2 3 2" xfId="6161" xr:uid="{00000000-0005-0000-0000-000083100000}"/>
    <cellStyle name="Ввод  2 4 3 2 2 3 3" xfId="10170" xr:uid="{F5C16C71-F730-482C-8C6C-902BD34268C8}"/>
    <cellStyle name="Ввод  2 4 3 2 2 4" xfId="3464" xr:uid="{00000000-0005-0000-0000-000084100000}"/>
    <cellStyle name="Ввод  2 4 3 2 2 4 2" xfId="7358" xr:uid="{00000000-0005-0000-0000-000085100000}"/>
    <cellStyle name="Ввод  2 4 3 2 2 4 3" xfId="11367" xr:uid="{E651ED87-5802-4298-BE88-F8989B0A7FAA}"/>
    <cellStyle name="Ввод  2 4 3 2 2 5" xfId="4642" xr:uid="{00000000-0005-0000-0000-000086100000}"/>
    <cellStyle name="Ввод  2 4 3 2 2 6" xfId="8651" xr:uid="{DA6EFE3B-DF31-414F-AFDE-2710C34A17FE}"/>
    <cellStyle name="Ввод  2 4 3 2 2 7" xfId="12542" xr:uid="{376033CB-5794-4790-B428-A7441633150D}"/>
    <cellStyle name="Ввод  2 4 3 2 3" xfId="1198" xr:uid="{00000000-0005-0000-0000-000087100000}"/>
    <cellStyle name="Ввод  2 4 3 2 3 2" xfId="2266" xr:uid="{00000000-0005-0000-0000-000088100000}"/>
    <cellStyle name="Ввод  2 4 3 2 3 2 2" xfId="6163" xr:uid="{00000000-0005-0000-0000-000089100000}"/>
    <cellStyle name="Ввод  2 4 3 2 3 2 3" xfId="10172" xr:uid="{771EB461-7EFF-454D-9D7F-097842FB859A}"/>
    <cellStyle name="Ввод  2 4 3 2 3 3" xfId="3681" xr:uid="{00000000-0005-0000-0000-00008A100000}"/>
    <cellStyle name="Ввод  2 4 3 2 3 3 2" xfId="7575" xr:uid="{00000000-0005-0000-0000-00008B100000}"/>
    <cellStyle name="Ввод  2 4 3 2 3 3 3" xfId="11584" xr:uid="{621CB3D0-5E7B-40C2-BDC6-C21EB02B97C3}"/>
    <cellStyle name="Ввод  2 4 3 2 3 4" xfId="5099" xr:uid="{00000000-0005-0000-0000-00008C100000}"/>
    <cellStyle name="Ввод  2 4 3 2 3 5" xfId="9108" xr:uid="{D57E253A-486E-45AC-95DC-A0275954632B}"/>
    <cellStyle name="Ввод  2 4 3 2 3 6" xfId="12999" xr:uid="{499CD858-6EA3-498E-9A45-3215E8898B20}"/>
    <cellStyle name="Ввод  2 4 3 2 4" xfId="2263" xr:uid="{00000000-0005-0000-0000-00008D100000}"/>
    <cellStyle name="Ввод  2 4 3 2 4 2" xfId="6160" xr:uid="{00000000-0005-0000-0000-00008E100000}"/>
    <cellStyle name="Ввод  2 4 3 2 4 3" xfId="10169" xr:uid="{8D8B1BFB-9CF3-45F2-837C-E37D487016A1}"/>
    <cellStyle name="Ввод  2 4 3 2 5" xfId="3143" xr:uid="{00000000-0005-0000-0000-00008F100000}"/>
    <cellStyle name="Ввод  2 4 3 2 5 2" xfId="7037" xr:uid="{00000000-0005-0000-0000-000090100000}"/>
    <cellStyle name="Ввод  2 4 3 2 5 3" xfId="11046" xr:uid="{A012624C-79F5-48F1-BB5D-4D3C187A285A}"/>
    <cellStyle name="Ввод  2 4 3 2 6" xfId="4321" xr:uid="{00000000-0005-0000-0000-000091100000}"/>
    <cellStyle name="Ввод  2 4 3 2 7" xfId="8330" xr:uid="{7AB40616-DB4E-42B6-B9B0-500C17606168}"/>
    <cellStyle name="Ввод  2 4 3 2 8" xfId="12221" xr:uid="{9E84B6E6-F9A7-4C5A-9C8E-1430DAB59053}"/>
    <cellStyle name="Ввод  2 4 3 3" xfId="581" xr:uid="{00000000-0005-0000-0000-000092100000}"/>
    <cellStyle name="Ввод  2 4 3 3 2" xfId="1362" xr:uid="{00000000-0005-0000-0000-000093100000}"/>
    <cellStyle name="Ввод  2 4 3 3 2 2" xfId="2268" xr:uid="{00000000-0005-0000-0000-000094100000}"/>
    <cellStyle name="Ввод  2 4 3 3 2 2 2" xfId="6165" xr:uid="{00000000-0005-0000-0000-000095100000}"/>
    <cellStyle name="Ввод  2 4 3 3 2 2 3" xfId="10174" xr:uid="{D598E8A0-6D15-438F-AD57-47B58BFF3A67}"/>
    <cellStyle name="Ввод  2 4 3 3 2 3" xfId="3780" xr:uid="{00000000-0005-0000-0000-000096100000}"/>
    <cellStyle name="Ввод  2 4 3 3 2 3 2" xfId="7674" xr:uid="{00000000-0005-0000-0000-000097100000}"/>
    <cellStyle name="Ввод  2 4 3 3 2 3 3" xfId="11683" xr:uid="{0A81E83B-C217-4CF3-99BF-7DD8FA84E244}"/>
    <cellStyle name="Ввод  2 4 3 3 2 4" xfId="5263" xr:uid="{00000000-0005-0000-0000-000098100000}"/>
    <cellStyle name="Ввод  2 4 3 3 2 5" xfId="9272" xr:uid="{27481B7D-6797-4BC4-B43A-05B0D2D9F202}"/>
    <cellStyle name="Ввод  2 4 3 3 2 6" xfId="13163" xr:uid="{EDD4F39F-A5DD-4AE2-92AD-05DDC0807A8B}"/>
    <cellStyle name="Ввод  2 4 3 3 3" xfId="2267" xr:uid="{00000000-0005-0000-0000-000099100000}"/>
    <cellStyle name="Ввод  2 4 3 3 3 2" xfId="6164" xr:uid="{00000000-0005-0000-0000-00009A100000}"/>
    <cellStyle name="Ввод  2 4 3 3 3 3" xfId="10173" xr:uid="{5CBADB2E-6A09-4D02-AFED-A62FFA915967}"/>
    <cellStyle name="Ввод  2 4 3 3 4" xfId="3307" xr:uid="{00000000-0005-0000-0000-00009B100000}"/>
    <cellStyle name="Ввод  2 4 3 3 4 2" xfId="7201" xr:uid="{00000000-0005-0000-0000-00009C100000}"/>
    <cellStyle name="Ввод  2 4 3 3 4 3" xfId="11210" xr:uid="{D43903AD-8B1C-431F-87BD-351ADC37BF97}"/>
    <cellStyle name="Ввод  2 4 3 3 5" xfId="4485" xr:uid="{00000000-0005-0000-0000-00009D100000}"/>
    <cellStyle name="Ввод  2 4 3 3 6" xfId="8494" xr:uid="{76E2E44D-111F-4F7D-A5B2-22713829DAD1}"/>
    <cellStyle name="Ввод  2 4 3 3 7" xfId="12385" xr:uid="{38194700-C3A7-4EF7-AF62-3074CBB880EC}"/>
    <cellStyle name="Ввод  2 4 3 4" xfId="1041" xr:uid="{00000000-0005-0000-0000-00009E100000}"/>
    <cellStyle name="Ввод  2 4 3 4 2" xfId="2269" xr:uid="{00000000-0005-0000-0000-00009F100000}"/>
    <cellStyle name="Ввод  2 4 3 4 2 2" xfId="6166" xr:uid="{00000000-0005-0000-0000-0000A0100000}"/>
    <cellStyle name="Ввод  2 4 3 4 2 3" xfId="10175" xr:uid="{45AF7AD8-D21A-4815-B289-D7684AB3CB04}"/>
    <cellStyle name="Ввод  2 4 3 4 3" xfId="3582" xr:uid="{00000000-0005-0000-0000-0000A1100000}"/>
    <cellStyle name="Ввод  2 4 3 4 3 2" xfId="7476" xr:uid="{00000000-0005-0000-0000-0000A2100000}"/>
    <cellStyle name="Ввод  2 4 3 4 3 3" xfId="11485" xr:uid="{EAC8CAA0-4E45-44B3-B7CD-AFC9321AB0C7}"/>
    <cellStyle name="Ввод  2 4 3 4 4" xfId="4942" xr:uid="{00000000-0005-0000-0000-0000A3100000}"/>
    <cellStyle name="Ввод  2 4 3 4 5" xfId="8951" xr:uid="{DDF9F63E-9BBE-4453-B59E-D154D4BF252A}"/>
    <cellStyle name="Ввод  2 4 3 4 6" xfId="12842" xr:uid="{4778416E-427C-4430-9A35-976454ED2DF0}"/>
    <cellStyle name="Ввод  2 4 3 5" xfId="2262" xr:uid="{00000000-0005-0000-0000-0000A4100000}"/>
    <cellStyle name="Ввод  2 4 3 5 2" xfId="6159" xr:uid="{00000000-0005-0000-0000-0000A5100000}"/>
    <cellStyle name="Ввод  2 4 3 5 3" xfId="10168" xr:uid="{A9486FCE-598F-4DA5-984C-8E0A642933BA}"/>
    <cellStyle name="Ввод  2 4 3 6" xfId="2986" xr:uid="{00000000-0005-0000-0000-0000A6100000}"/>
    <cellStyle name="Ввод  2 4 3 6 2" xfId="6880" xr:uid="{00000000-0005-0000-0000-0000A7100000}"/>
    <cellStyle name="Ввод  2 4 3 6 3" xfId="10889" xr:uid="{26C7B4AD-ABC1-4C15-AB12-0A1AF1388746}"/>
    <cellStyle name="Ввод  2 4 3 7" xfId="4164" xr:uid="{00000000-0005-0000-0000-0000A8100000}"/>
    <cellStyle name="Ввод  2 4 3 8" xfId="8173" xr:uid="{337FF459-E5BA-4098-B0C1-3B3BA017875A}"/>
    <cellStyle name="Ввод  2 4 3 9" xfId="12064" xr:uid="{4720637E-0F02-449D-B2A0-773C64C85A39}"/>
    <cellStyle name="Ввод  2 4 4" xfId="198" xr:uid="{00000000-0005-0000-0000-0000A9100000}"/>
    <cellStyle name="Ввод  2 4 4 10" xfId="13447" xr:uid="{6E0CCD0D-8766-4FD4-B1AF-A58DD351285B}"/>
    <cellStyle name="Ввод  2 4 4 2" xfId="362" xr:uid="{00000000-0005-0000-0000-0000AA100000}"/>
    <cellStyle name="Ввод  2 4 4 2 2" xfId="692" xr:uid="{00000000-0005-0000-0000-0000AB100000}"/>
    <cellStyle name="Ввод  2 4 4 2 2 2" xfId="1473" xr:uid="{00000000-0005-0000-0000-0000AC100000}"/>
    <cellStyle name="Ввод  2 4 4 2 2 2 2" xfId="2273" xr:uid="{00000000-0005-0000-0000-0000AD100000}"/>
    <cellStyle name="Ввод  2 4 4 2 2 2 2 2" xfId="6170" xr:uid="{00000000-0005-0000-0000-0000AE100000}"/>
    <cellStyle name="Ввод  2 4 4 2 2 2 2 3" xfId="10179" xr:uid="{5E5492E3-1492-4181-B29E-2863514BE41C}"/>
    <cellStyle name="Ввод  2 4 4 2 2 2 3" xfId="3848" xr:uid="{00000000-0005-0000-0000-0000AF100000}"/>
    <cellStyle name="Ввод  2 4 4 2 2 2 3 2" xfId="7742" xr:uid="{00000000-0005-0000-0000-0000B0100000}"/>
    <cellStyle name="Ввод  2 4 4 2 2 2 3 3" xfId="11751" xr:uid="{7E2B5760-D7F7-4E20-9371-F6FC87037C7B}"/>
    <cellStyle name="Ввод  2 4 4 2 2 2 4" xfId="5374" xr:uid="{00000000-0005-0000-0000-0000B1100000}"/>
    <cellStyle name="Ввод  2 4 4 2 2 2 5" xfId="9383" xr:uid="{330EA586-08D3-42FF-89AE-CEE3ABD48983}"/>
    <cellStyle name="Ввод  2 4 4 2 2 2 6" xfId="13274" xr:uid="{C3F5AB59-145B-4D02-9407-39F85F7A3907}"/>
    <cellStyle name="Ввод  2 4 4 2 2 3" xfId="2272" xr:uid="{00000000-0005-0000-0000-0000B2100000}"/>
    <cellStyle name="Ввод  2 4 4 2 2 3 2" xfId="6169" xr:uid="{00000000-0005-0000-0000-0000B3100000}"/>
    <cellStyle name="Ввод  2 4 4 2 2 3 3" xfId="10178" xr:uid="{AACBC287-190C-49CB-8B80-97B4FC0C7909}"/>
    <cellStyle name="Ввод  2 4 4 2 2 4" xfId="3418" xr:uid="{00000000-0005-0000-0000-0000B4100000}"/>
    <cellStyle name="Ввод  2 4 4 2 2 4 2" xfId="7312" xr:uid="{00000000-0005-0000-0000-0000B5100000}"/>
    <cellStyle name="Ввод  2 4 4 2 2 4 3" xfId="11321" xr:uid="{D784F3A2-BA8F-4BBF-B2A1-BA411CED77A4}"/>
    <cellStyle name="Ввод  2 4 4 2 2 5" xfId="4596" xr:uid="{00000000-0005-0000-0000-0000B6100000}"/>
    <cellStyle name="Ввод  2 4 4 2 2 6" xfId="8605" xr:uid="{8B348A6F-270F-464C-9483-0494AE32B63F}"/>
    <cellStyle name="Ввод  2 4 4 2 2 7" xfId="12496" xr:uid="{F47EB2C8-99E7-4032-9007-5B2641201531}"/>
    <cellStyle name="Ввод  2 4 4 2 3" xfId="1152" xr:uid="{00000000-0005-0000-0000-0000B7100000}"/>
    <cellStyle name="Ввод  2 4 4 2 3 2" xfId="2274" xr:uid="{00000000-0005-0000-0000-0000B8100000}"/>
    <cellStyle name="Ввод  2 4 4 2 3 2 2" xfId="6171" xr:uid="{00000000-0005-0000-0000-0000B9100000}"/>
    <cellStyle name="Ввод  2 4 4 2 3 2 3" xfId="10180" xr:uid="{85F46843-71F8-4DDF-A016-0D8F44C15EB5}"/>
    <cellStyle name="Ввод  2 4 4 2 3 3" xfId="3650" xr:uid="{00000000-0005-0000-0000-0000BA100000}"/>
    <cellStyle name="Ввод  2 4 4 2 3 3 2" xfId="7544" xr:uid="{00000000-0005-0000-0000-0000BB100000}"/>
    <cellStyle name="Ввод  2 4 4 2 3 3 3" xfId="11553" xr:uid="{A3042E9B-A679-4AEA-8C02-BB3DFEC0D0FB}"/>
    <cellStyle name="Ввод  2 4 4 2 3 4" xfId="5053" xr:uid="{00000000-0005-0000-0000-0000BC100000}"/>
    <cellStyle name="Ввод  2 4 4 2 3 5" xfId="9062" xr:uid="{F8FF2051-EF3B-4484-B9BA-57E4DC92B109}"/>
    <cellStyle name="Ввод  2 4 4 2 3 6" xfId="12953" xr:uid="{D3215227-917E-49C6-908E-2F2FD81DA12C}"/>
    <cellStyle name="Ввод  2 4 4 2 4" xfId="2271" xr:uid="{00000000-0005-0000-0000-0000BD100000}"/>
    <cellStyle name="Ввод  2 4 4 2 4 2" xfId="6168" xr:uid="{00000000-0005-0000-0000-0000BE100000}"/>
    <cellStyle name="Ввод  2 4 4 2 4 3" xfId="10177" xr:uid="{ECE5AFDA-658F-4A8F-8F10-FDF98D4F6D32}"/>
    <cellStyle name="Ввод  2 4 4 2 5" xfId="3097" xr:uid="{00000000-0005-0000-0000-0000BF100000}"/>
    <cellStyle name="Ввод  2 4 4 2 5 2" xfId="6991" xr:uid="{00000000-0005-0000-0000-0000C0100000}"/>
    <cellStyle name="Ввод  2 4 4 2 5 3" xfId="11000" xr:uid="{27E72EE7-B0C3-4A43-8208-F1B04B96EB76}"/>
    <cellStyle name="Ввод  2 4 4 2 6" xfId="4275" xr:uid="{00000000-0005-0000-0000-0000C1100000}"/>
    <cellStyle name="Ввод  2 4 4 2 7" xfId="8284" xr:uid="{8EE4C7C8-EBCE-4B37-81FF-8319E314A826}"/>
    <cellStyle name="Ввод  2 4 4 2 8" xfId="12175" xr:uid="{1034BF9A-47E3-4DF8-BF67-B50D22BFCFDA}"/>
    <cellStyle name="Ввод  2 4 4 3" xfId="528" xr:uid="{00000000-0005-0000-0000-0000C2100000}"/>
    <cellStyle name="Ввод  2 4 4 3 2" xfId="1309" xr:uid="{00000000-0005-0000-0000-0000C3100000}"/>
    <cellStyle name="Ввод  2 4 4 3 2 2" xfId="2276" xr:uid="{00000000-0005-0000-0000-0000C4100000}"/>
    <cellStyle name="Ввод  2 4 4 3 2 2 2" xfId="6173" xr:uid="{00000000-0005-0000-0000-0000C5100000}"/>
    <cellStyle name="Ввод  2 4 4 3 2 2 3" xfId="10182" xr:uid="{7F9575BD-631C-4677-AD5D-518ABEBCAB76}"/>
    <cellStyle name="Ввод  2 4 4 3 2 3" xfId="3749" xr:uid="{00000000-0005-0000-0000-0000C6100000}"/>
    <cellStyle name="Ввод  2 4 4 3 2 3 2" xfId="7643" xr:uid="{00000000-0005-0000-0000-0000C7100000}"/>
    <cellStyle name="Ввод  2 4 4 3 2 3 3" xfId="11652" xr:uid="{0C1042AB-45C4-40CA-8CD7-2121CC6EEC0A}"/>
    <cellStyle name="Ввод  2 4 4 3 2 4" xfId="5210" xr:uid="{00000000-0005-0000-0000-0000C8100000}"/>
    <cellStyle name="Ввод  2 4 4 3 2 5" xfId="9219" xr:uid="{F4B07525-58CA-48AE-939D-B3BCBE78E67C}"/>
    <cellStyle name="Ввод  2 4 4 3 2 6" xfId="13110" xr:uid="{980A279D-C9BF-44F5-A267-9277B0D77AE7}"/>
    <cellStyle name="Ввод  2 4 4 3 3" xfId="2275" xr:uid="{00000000-0005-0000-0000-0000C9100000}"/>
    <cellStyle name="Ввод  2 4 4 3 3 2" xfId="6172" xr:uid="{00000000-0005-0000-0000-0000CA100000}"/>
    <cellStyle name="Ввод  2 4 4 3 3 3" xfId="10181" xr:uid="{D067953C-6806-48B7-B9B0-0671F3A05402}"/>
    <cellStyle name="Ввод  2 4 4 3 4" xfId="3254" xr:uid="{00000000-0005-0000-0000-0000CB100000}"/>
    <cellStyle name="Ввод  2 4 4 3 4 2" xfId="7148" xr:uid="{00000000-0005-0000-0000-0000CC100000}"/>
    <cellStyle name="Ввод  2 4 4 3 4 3" xfId="11157" xr:uid="{A9A080BF-7382-48B3-8327-3EEAE11B0D37}"/>
    <cellStyle name="Ввод  2 4 4 3 5" xfId="4432" xr:uid="{00000000-0005-0000-0000-0000CD100000}"/>
    <cellStyle name="Ввод  2 4 4 3 6" xfId="8441" xr:uid="{E9BA7C57-ED90-4C9B-9053-6D8AF37A6E6D}"/>
    <cellStyle name="Ввод  2 4 4 3 7" xfId="12332" xr:uid="{98D0AC78-9FF3-46F2-9308-0D4F2EA32846}"/>
    <cellStyle name="Ввод  2 4 4 4" xfId="988" xr:uid="{00000000-0005-0000-0000-0000CE100000}"/>
    <cellStyle name="Ввод  2 4 4 4 2" xfId="2277" xr:uid="{00000000-0005-0000-0000-0000CF100000}"/>
    <cellStyle name="Ввод  2 4 4 4 2 2" xfId="6174" xr:uid="{00000000-0005-0000-0000-0000D0100000}"/>
    <cellStyle name="Ввод  2 4 4 4 2 3" xfId="10183" xr:uid="{59F3E0BD-467F-4955-97EA-2E2F157DEE6D}"/>
    <cellStyle name="Ввод  2 4 4 4 3" xfId="3551" xr:uid="{00000000-0005-0000-0000-0000D1100000}"/>
    <cellStyle name="Ввод  2 4 4 4 3 2" xfId="7445" xr:uid="{00000000-0005-0000-0000-0000D2100000}"/>
    <cellStyle name="Ввод  2 4 4 4 3 3" xfId="11454" xr:uid="{AAEAA1E1-F080-493B-BEEC-4C8C55C27FF5}"/>
    <cellStyle name="Ввод  2 4 4 4 4" xfId="4889" xr:uid="{00000000-0005-0000-0000-0000D3100000}"/>
    <cellStyle name="Ввод  2 4 4 4 5" xfId="8898" xr:uid="{7866317E-6301-487B-A741-FD467CC92EDD}"/>
    <cellStyle name="Ввод  2 4 4 4 6" xfId="12789" xr:uid="{D2282ABB-0E54-44D4-B0B6-1A62785B4700}"/>
    <cellStyle name="Ввод  2 4 4 5" xfId="2270" xr:uid="{00000000-0005-0000-0000-0000D4100000}"/>
    <cellStyle name="Ввод  2 4 4 5 2" xfId="6167" xr:uid="{00000000-0005-0000-0000-0000D5100000}"/>
    <cellStyle name="Ввод  2 4 4 5 3" xfId="10176" xr:uid="{1FD7009F-314F-4883-A077-FA658A5996AA}"/>
    <cellStyle name="Ввод  2 4 4 6" xfId="2933" xr:uid="{00000000-0005-0000-0000-0000D6100000}"/>
    <cellStyle name="Ввод  2 4 4 6 2" xfId="6827" xr:uid="{00000000-0005-0000-0000-0000D7100000}"/>
    <cellStyle name="Ввод  2 4 4 6 3" xfId="10836" xr:uid="{9AD412E9-5938-4EC6-8550-FA9057F4F45F}"/>
    <cellStyle name="Ввод  2 4 4 7" xfId="4111" xr:uid="{00000000-0005-0000-0000-0000D8100000}"/>
    <cellStyle name="Ввод  2 4 4 8" xfId="8120" xr:uid="{3A1B8236-9EC9-4C85-9932-C90621C874E8}"/>
    <cellStyle name="Ввод  2 4 4 9" xfId="12011" xr:uid="{118E770E-F026-4948-B76A-2D0F9477844D}"/>
    <cellStyle name="Ввод  2 4 5" xfId="325" xr:uid="{00000000-0005-0000-0000-0000D9100000}"/>
    <cellStyle name="Ввод  2 4 5 2" xfId="655" xr:uid="{00000000-0005-0000-0000-0000DA100000}"/>
    <cellStyle name="Ввод  2 4 5 2 2" xfId="1436" xr:uid="{00000000-0005-0000-0000-0000DB100000}"/>
    <cellStyle name="Ввод  2 4 5 2 2 2" xfId="2280" xr:uid="{00000000-0005-0000-0000-0000DC100000}"/>
    <cellStyle name="Ввод  2 4 5 2 2 2 2" xfId="6177" xr:uid="{00000000-0005-0000-0000-0000DD100000}"/>
    <cellStyle name="Ввод  2 4 5 2 2 2 3" xfId="10186" xr:uid="{80331F39-6950-4CC5-B04F-36AE8B822E20}"/>
    <cellStyle name="Ввод  2 4 5 2 2 3" xfId="3825" xr:uid="{00000000-0005-0000-0000-0000DE100000}"/>
    <cellStyle name="Ввод  2 4 5 2 2 3 2" xfId="7719" xr:uid="{00000000-0005-0000-0000-0000DF100000}"/>
    <cellStyle name="Ввод  2 4 5 2 2 3 3" xfId="11728" xr:uid="{BC7F5FEA-36BA-4D93-B99D-2915549849ED}"/>
    <cellStyle name="Ввод  2 4 5 2 2 4" xfId="5337" xr:uid="{00000000-0005-0000-0000-0000E0100000}"/>
    <cellStyle name="Ввод  2 4 5 2 2 5" xfId="9346" xr:uid="{1D70F14D-11F0-4921-99C4-E4EBC2752F34}"/>
    <cellStyle name="Ввод  2 4 5 2 2 6" xfId="13237" xr:uid="{42E52939-D0E6-4FB2-8692-B3A425606827}"/>
    <cellStyle name="Ввод  2 4 5 2 3" xfId="2279" xr:uid="{00000000-0005-0000-0000-0000E1100000}"/>
    <cellStyle name="Ввод  2 4 5 2 3 2" xfId="6176" xr:uid="{00000000-0005-0000-0000-0000E2100000}"/>
    <cellStyle name="Ввод  2 4 5 2 3 3" xfId="10185" xr:uid="{06DDF2AF-AB94-4FB2-96E6-EADB49BCF5E8}"/>
    <cellStyle name="Ввод  2 4 5 2 4" xfId="3381" xr:uid="{00000000-0005-0000-0000-0000E3100000}"/>
    <cellStyle name="Ввод  2 4 5 2 4 2" xfId="7275" xr:uid="{00000000-0005-0000-0000-0000E4100000}"/>
    <cellStyle name="Ввод  2 4 5 2 4 3" xfId="11284" xr:uid="{B1E0A987-7AB1-4195-9721-1DCCEE6E7AE3}"/>
    <cellStyle name="Ввод  2 4 5 2 5" xfId="4559" xr:uid="{00000000-0005-0000-0000-0000E5100000}"/>
    <cellStyle name="Ввод  2 4 5 2 6" xfId="8568" xr:uid="{94330B79-9BD1-488A-97EB-458733CDAEA2}"/>
    <cellStyle name="Ввод  2 4 5 2 7" xfId="12459" xr:uid="{3C23F2BA-C869-41A1-96EE-5F4CE9CC8AC2}"/>
    <cellStyle name="Ввод  2 4 5 3" xfId="1115" xr:uid="{00000000-0005-0000-0000-0000E6100000}"/>
    <cellStyle name="Ввод  2 4 5 3 2" xfId="2281" xr:uid="{00000000-0005-0000-0000-0000E7100000}"/>
    <cellStyle name="Ввод  2 4 5 3 2 2" xfId="6178" xr:uid="{00000000-0005-0000-0000-0000E8100000}"/>
    <cellStyle name="Ввод  2 4 5 3 2 3" xfId="10187" xr:uid="{A1D42A6D-1731-4B66-9EC9-B9C334C53D3D}"/>
    <cellStyle name="Ввод  2 4 5 3 3" xfId="3627" xr:uid="{00000000-0005-0000-0000-0000E9100000}"/>
    <cellStyle name="Ввод  2 4 5 3 3 2" xfId="7521" xr:uid="{00000000-0005-0000-0000-0000EA100000}"/>
    <cellStyle name="Ввод  2 4 5 3 3 3" xfId="11530" xr:uid="{0CB841E8-81CD-46EF-A782-A9AFE5027D43}"/>
    <cellStyle name="Ввод  2 4 5 3 4" xfId="5016" xr:uid="{00000000-0005-0000-0000-0000EB100000}"/>
    <cellStyle name="Ввод  2 4 5 3 5" xfId="9025" xr:uid="{A653F302-3545-4E80-898B-76E1F9AE0DF2}"/>
    <cellStyle name="Ввод  2 4 5 3 6" xfId="12916" xr:uid="{5C174E0E-8038-4FF9-94CA-58C1115D5672}"/>
    <cellStyle name="Ввод  2 4 5 4" xfId="2278" xr:uid="{00000000-0005-0000-0000-0000EC100000}"/>
    <cellStyle name="Ввод  2 4 5 4 2" xfId="6175" xr:uid="{00000000-0005-0000-0000-0000ED100000}"/>
    <cellStyle name="Ввод  2 4 5 4 3" xfId="10184" xr:uid="{891C249C-1C70-4CA7-B450-E82AD42AC185}"/>
    <cellStyle name="Ввод  2 4 5 5" xfId="3060" xr:uid="{00000000-0005-0000-0000-0000EE100000}"/>
    <cellStyle name="Ввод  2 4 5 5 2" xfId="6954" xr:uid="{00000000-0005-0000-0000-0000EF100000}"/>
    <cellStyle name="Ввод  2 4 5 5 3" xfId="10963" xr:uid="{EA74F539-48B4-4F59-B28E-73C6E356BA98}"/>
    <cellStyle name="Ввод  2 4 5 6" xfId="4238" xr:uid="{00000000-0005-0000-0000-0000F0100000}"/>
    <cellStyle name="Ввод  2 4 5 7" xfId="8247" xr:uid="{DCE01C8F-5E6B-4E88-A4AE-6B578221FE63}"/>
    <cellStyle name="Ввод  2 4 5 8" xfId="12138" xr:uid="{585706F3-62B2-4615-8A60-F626656C2B65}"/>
    <cellStyle name="Ввод  2 4 6" xfId="487" xr:uid="{00000000-0005-0000-0000-0000F1100000}"/>
    <cellStyle name="Ввод  2 4 6 2" xfId="1271" xr:uid="{00000000-0005-0000-0000-0000F2100000}"/>
    <cellStyle name="Ввод  2 4 6 2 2" xfId="2283" xr:uid="{00000000-0005-0000-0000-0000F3100000}"/>
    <cellStyle name="Ввод  2 4 6 2 2 2" xfId="6180" xr:uid="{00000000-0005-0000-0000-0000F4100000}"/>
    <cellStyle name="Ввод  2 4 6 2 2 3" xfId="10189" xr:uid="{D2B4BEC7-750E-4A39-8580-20C40C465401}"/>
    <cellStyle name="Ввод  2 4 6 2 3" xfId="3726" xr:uid="{00000000-0005-0000-0000-0000F5100000}"/>
    <cellStyle name="Ввод  2 4 6 2 3 2" xfId="7620" xr:uid="{00000000-0005-0000-0000-0000F6100000}"/>
    <cellStyle name="Ввод  2 4 6 2 3 3" xfId="11629" xr:uid="{E42928C9-B451-4F77-8760-FFC1C28B7418}"/>
    <cellStyle name="Ввод  2 4 6 2 4" xfId="5172" xr:uid="{00000000-0005-0000-0000-0000F7100000}"/>
    <cellStyle name="Ввод  2 4 6 2 5" xfId="9181" xr:uid="{1F254666-D9D3-4397-8AA2-AF50431AA837}"/>
    <cellStyle name="Ввод  2 4 6 2 6" xfId="13072" xr:uid="{643A18CA-C723-4370-9810-6E4EC819FF89}"/>
    <cellStyle name="Ввод  2 4 6 3" xfId="2282" xr:uid="{00000000-0005-0000-0000-0000F8100000}"/>
    <cellStyle name="Ввод  2 4 6 3 2" xfId="6179" xr:uid="{00000000-0005-0000-0000-0000F9100000}"/>
    <cellStyle name="Ввод  2 4 6 3 3" xfId="10188" xr:uid="{CEEFE1E9-F221-4EA2-87AC-8133A18A3676}"/>
    <cellStyle name="Ввод  2 4 6 4" xfId="3216" xr:uid="{00000000-0005-0000-0000-0000FA100000}"/>
    <cellStyle name="Ввод  2 4 6 4 2" xfId="7110" xr:uid="{00000000-0005-0000-0000-0000FB100000}"/>
    <cellStyle name="Ввод  2 4 6 4 3" xfId="11119" xr:uid="{2A17CF45-9C7E-4A75-8DBC-E42EFDBFAF64}"/>
    <cellStyle name="Ввод  2 4 6 5" xfId="4394" xr:uid="{00000000-0005-0000-0000-0000FC100000}"/>
    <cellStyle name="Ввод  2 4 6 6" xfId="8403" xr:uid="{389ED07D-DBB5-49B5-8B35-8EBF6F1EE523}"/>
    <cellStyle name="Ввод  2 4 6 7" xfId="12294" xr:uid="{D8743943-686C-4A99-B4A0-6AAB2D2D4BCB}"/>
    <cellStyle name="Ввод  2 4 7" xfId="950" xr:uid="{00000000-0005-0000-0000-0000FD100000}"/>
    <cellStyle name="Ввод  2 4 7 2" xfId="2284" xr:uid="{00000000-0005-0000-0000-0000FE100000}"/>
    <cellStyle name="Ввод  2 4 7 2 2" xfId="6181" xr:uid="{00000000-0005-0000-0000-0000FF100000}"/>
    <cellStyle name="Ввод  2 4 7 2 3" xfId="10190" xr:uid="{0368A48B-3041-4603-9378-F07B1D04B4F4}"/>
    <cellStyle name="Ввод  2 4 7 3" xfId="3528" xr:uid="{00000000-0005-0000-0000-000000110000}"/>
    <cellStyle name="Ввод  2 4 7 3 2" xfId="7422" xr:uid="{00000000-0005-0000-0000-000001110000}"/>
    <cellStyle name="Ввод  2 4 7 3 3" xfId="11431" xr:uid="{533BE152-AA07-47B7-98CA-7F80B65B4773}"/>
    <cellStyle name="Ввод  2 4 7 4" xfId="4851" xr:uid="{00000000-0005-0000-0000-000002110000}"/>
    <cellStyle name="Ввод  2 4 7 5" xfId="8860" xr:uid="{1C6434B6-3749-4FB3-9BCC-F0B68A20B8EB}"/>
    <cellStyle name="Ввод  2 4 7 6" xfId="12751" xr:uid="{3994D753-72AD-486A-AA4E-1B6AC02C8D3C}"/>
    <cellStyle name="Ввод  2 4 8" xfId="2237" xr:uid="{00000000-0005-0000-0000-000003110000}"/>
    <cellStyle name="Ввод  2 4 8 2" xfId="6134" xr:uid="{00000000-0005-0000-0000-000004110000}"/>
    <cellStyle name="Ввод  2 4 8 3" xfId="10143" xr:uid="{A1A204F4-27DC-4A2A-9A85-3F52CBED8AF4}"/>
    <cellStyle name="Ввод  2 4 9" xfId="2895" xr:uid="{00000000-0005-0000-0000-000005110000}"/>
    <cellStyle name="Ввод  2 4 9 2" xfId="6789" xr:uid="{00000000-0005-0000-0000-000006110000}"/>
    <cellStyle name="Ввод  2 4 9 3" xfId="10798" xr:uid="{A7BBC11E-09AE-4A61-822B-2039C0A6B9EF}"/>
    <cellStyle name="Ввод  2 5" xfId="199" xr:uid="{00000000-0005-0000-0000-000007110000}"/>
    <cellStyle name="Ввод  2 5 10" xfId="13448" xr:uid="{CF5E23DC-7B3F-4E3A-B27F-F2BE343368BD}"/>
    <cellStyle name="Ввод  2 5 2" xfId="363" xr:uid="{00000000-0005-0000-0000-000008110000}"/>
    <cellStyle name="Ввод  2 5 2 2" xfId="693" xr:uid="{00000000-0005-0000-0000-000009110000}"/>
    <cellStyle name="Ввод  2 5 2 2 2" xfId="1474" xr:uid="{00000000-0005-0000-0000-00000A110000}"/>
    <cellStyle name="Ввод  2 5 2 2 2 2" xfId="2288" xr:uid="{00000000-0005-0000-0000-00000B110000}"/>
    <cellStyle name="Ввод  2 5 2 2 2 2 2" xfId="6185" xr:uid="{00000000-0005-0000-0000-00000C110000}"/>
    <cellStyle name="Ввод  2 5 2 2 2 2 3" xfId="10194" xr:uid="{3EED9217-FD53-4AE7-9FED-4FFF163B8C50}"/>
    <cellStyle name="Ввод  2 5 2 2 2 3" xfId="3849" xr:uid="{00000000-0005-0000-0000-00000D110000}"/>
    <cellStyle name="Ввод  2 5 2 2 2 3 2" xfId="7743" xr:uid="{00000000-0005-0000-0000-00000E110000}"/>
    <cellStyle name="Ввод  2 5 2 2 2 3 3" xfId="11752" xr:uid="{302416B0-99C4-4C6B-B9FB-836E40FB9813}"/>
    <cellStyle name="Ввод  2 5 2 2 2 4" xfId="5375" xr:uid="{00000000-0005-0000-0000-00000F110000}"/>
    <cellStyle name="Ввод  2 5 2 2 2 5" xfId="9384" xr:uid="{8B1FE8CB-791A-41C6-AAC1-62C758DA3916}"/>
    <cellStyle name="Ввод  2 5 2 2 2 6" xfId="13275" xr:uid="{98FC8E11-EE34-42DA-B54B-A0B58D4DCA6C}"/>
    <cellStyle name="Ввод  2 5 2 2 3" xfId="2287" xr:uid="{00000000-0005-0000-0000-000010110000}"/>
    <cellStyle name="Ввод  2 5 2 2 3 2" xfId="6184" xr:uid="{00000000-0005-0000-0000-000011110000}"/>
    <cellStyle name="Ввод  2 5 2 2 3 3" xfId="10193" xr:uid="{16292E94-422F-4C10-A049-07047C1CA8FE}"/>
    <cellStyle name="Ввод  2 5 2 2 4" xfId="3419" xr:uid="{00000000-0005-0000-0000-000012110000}"/>
    <cellStyle name="Ввод  2 5 2 2 4 2" xfId="7313" xr:uid="{00000000-0005-0000-0000-000013110000}"/>
    <cellStyle name="Ввод  2 5 2 2 4 3" xfId="11322" xr:uid="{863235B2-4F10-4FA5-A312-FA856C363CA3}"/>
    <cellStyle name="Ввод  2 5 2 2 5" xfId="4597" xr:uid="{00000000-0005-0000-0000-000014110000}"/>
    <cellStyle name="Ввод  2 5 2 2 6" xfId="8606" xr:uid="{A2A4F98B-52EA-428B-AC4C-5B2FBD644F8B}"/>
    <cellStyle name="Ввод  2 5 2 2 7" xfId="12497" xr:uid="{6B78F774-FE96-442B-A514-D7E433AAB359}"/>
    <cellStyle name="Ввод  2 5 2 3" xfId="1153" xr:uid="{00000000-0005-0000-0000-000015110000}"/>
    <cellStyle name="Ввод  2 5 2 3 2" xfId="2289" xr:uid="{00000000-0005-0000-0000-000016110000}"/>
    <cellStyle name="Ввод  2 5 2 3 2 2" xfId="6186" xr:uid="{00000000-0005-0000-0000-000017110000}"/>
    <cellStyle name="Ввод  2 5 2 3 2 3" xfId="10195" xr:uid="{DB5CADB8-F46B-4214-8103-794BDBF37AF8}"/>
    <cellStyle name="Ввод  2 5 2 3 3" xfId="3651" xr:uid="{00000000-0005-0000-0000-000018110000}"/>
    <cellStyle name="Ввод  2 5 2 3 3 2" xfId="7545" xr:uid="{00000000-0005-0000-0000-000019110000}"/>
    <cellStyle name="Ввод  2 5 2 3 3 3" xfId="11554" xr:uid="{3C99622E-AC52-4D21-85DC-04751F1E701B}"/>
    <cellStyle name="Ввод  2 5 2 3 4" xfId="5054" xr:uid="{00000000-0005-0000-0000-00001A110000}"/>
    <cellStyle name="Ввод  2 5 2 3 5" xfId="9063" xr:uid="{09E3DBF0-B194-434B-AFD4-BBA8FF8C9C71}"/>
    <cellStyle name="Ввод  2 5 2 3 6" xfId="12954" xr:uid="{F4BCE42F-766A-4F65-B82E-CC7D5A7A233A}"/>
    <cellStyle name="Ввод  2 5 2 4" xfId="2286" xr:uid="{00000000-0005-0000-0000-00001B110000}"/>
    <cellStyle name="Ввод  2 5 2 4 2" xfId="6183" xr:uid="{00000000-0005-0000-0000-00001C110000}"/>
    <cellStyle name="Ввод  2 5 2 4 3" xfId="10192" xr:uid="{5D29ECE0-1330-4E9F-A51E-6ACD5B824F12}"/>
    <cellStyle name="Ввод  2 5 2 5" xfId="3098" xr:uid="{00000000-0005-0000-0000-00001D110000}"/>
    <cellStyle name="Ввод  2 5 2 5 2" xfId="6992" xr:uid="{00000000-0005-0000-0000-00001E110000}"/>
    <cellStyle name="Ввод  2 5 2 5 3" xfId="11001" xr:uid="{989B4B8E-44C5-4B3E-B961-2D7833E20D07}"/>
    <cellStyle name="Ввод  2 5 2 6" xfId="4276" xr:uid="{00000000-0005-0000-0000-00001F110000}"/>
    <cellStyle name="Ввод  2 5 2 7" xfId="8285" xr:uid="{A408F690-6DF5-4787-AA28-938CEBE9A520}"/>
    <cellStyle name="Ввод  2 5 2 8" xfId="12176" xr:uid="{8CE2BE4D-CAB4-41C4-A7A9-3CAF872E9046}"/>
    <cellStyle name="Ввод  2 5 3" xfId="529" xr:uid="{00000000-0005-0000-0000-000020110000}"/>
    <cellStyle name="Ввод  2 5 3 2" xfId="1310" xr:uid="{00000000-0005-0000-0000-000021110000}"/>
    <cellStyle name="Ввод  2 5 3 2 2" xfId="2291" xr:uid="{00000000-0005-0000-0000-000022110000}"/>
    <cellStyle name="Ввод  2 5 3 2 2 2" xfId="6188" xr:uid="{00000000-0005-0000-0000-000023110000}"/>
    <cellStyle name="Ввод  2 5 3 2 2 3" xfId="10197" xr:uid="{96885A6D-584B-42E8-8087-6B10F0858380}"/>
    <cellStyle name="Ввод  2 5 3 2 3" xfId="3750" xr:uid="{00000000-0005-0000-0000-000024110000}"/>
    <cellStyle name="Ввод  2 5 3 2 3 2" xfId="7644" xr:uid="{00000000-0005-0000-0000-000025110000}"/>
    <cellStyle name="Ввод  2 5 3 2 3 3" xfId="11653" xr:uid="{56F8998C-6247-47D2-A19F-093D335C4A2C}"/>
    <cellStyle name="Ввод  2 5 3 2 4" xfId="5211" xr:uid="{00000000-0005-0000-0000-000026110000}"/>
    <cellStyle name="Ввод  2 5 3 2 5" xfId="9220" xr:uid="{666AB6E3-2B24-4BD6-AED9-774F29CFA76E}"/>
    <cellStyle name="Ввод  2 5 3 2 6" xfId="13111" xr:uid="{461E2D3B-23E1-4F77-9838-E41D998B2500}"/>
    <cellStyle name="Ввод  2 5 3 3" xfId="2290" xr:uid="{00000000-0005-0000-0000-000027110000}"/>
    <cellStyle name="Ввод  2 5 3 3 2" xfId="6187" xr:uid="{00000000-0005-0000-0000-000028110000}"/>
    <cellStyle name="Ввод  2 5 3 3 3" xfId="10196" xr:uid="{1397FBCE-4538-4A83-BC7A-B0AB3A2EC3D1}"/>
    <cellStyle name="Ввод  2 5 3 4" xfId="3255" xr:uid="{00000000-0005-0000-0000-000029110000}"/>
    <cellStyle name="Ввод  2 5 3 4 2" xfId="7149" xr:uid="{00000000-0005-0000-0000-00002A110000}"/>
    <cellStyle name="Ввод  2 5 3 4 3" xfId="11158" xr:uid="{87394971-5A16-4FB7-B961-8C0B6117D55E}"/>
    <cellStyle name="Ввод  2 5 3 5" xfId="4433" xr:uid="{00000000-0005-0000-0000-00002B110000}"/>
    <cellStyle name="Ввод  2 5 3 6" xfId="8442" xr:uid="{F60C4EB8-1A97-477A-86B9-2AB851249B92}"/>
    <cellStyle name="Ввод  2 5 3 7" xfId="12333" xr:uid="{133AA6D9-E519-404B-860E-09E9755E6FB9}"/>
    <cellStyle name="Ввод  2 5 4" xfId="989" xr:uid="{00000000-0005-0000-0000-00002C110000}"/>
    <cellStyle name="Ввод  2 5 4 2" xfId="2292" xr:uid="{00000000-0005-0000-0000-00002D110000}"/>
    <cellStyle name="Ввод  2 5 4 2 2" xfId="6189" xr:uid="{00000000-0005-0000-0000-00002E110000}"/>
    <cellStyle name="Ввод  2 5 4 2 3" xfId="10198" xr:uid="{96A55B55-CFF8-43F0-B8B7-CD98D9CCF1CB}"/>
    <cellStyle name="Ввод  2 5 4 3" xfId="3552" xr:uid="{00000000-0005-0000-0000-00002F110000}"/>
    <cellStyle name="Ввод  2 5 4 3 2" xfId="7446" xr:uid="{00000000-0005-0000-0000-000030110000}"/>
    <cellStyle name="Ввод  2 5 4 3 3" xfId="11455" xr:uid="{32DD9320-D6A6-4DEA-AEEB-7EB2048C0E96}"/>
    <cellStyle name="Ввод  2 5 4 4" xfId="4890" xr:uid="{00000000-0005-0000-0000-000031110000}"/>
    <cellStyle name="Ввод  2 5 4 5" xfId="8899" xr:uid="{D25CA827-81CF-49C7-A442-EEFED712BC0D}"/>
    <cellStyle name="Ввод  2 5 4 6" xfId="12790" xr:uid="{D0898721-3374-42A0-80E2-B06C597BD63C}"/>
    <cellStyle name="Ввод  2 5 5" xfId="2285" xr:uid="{00000000-0005-0000-0000-000032110000}"/>
    <cellStyle name="Ввод  2 5 5 2" xfId="6182" xr:uid="{00000000-0005-0000-0000-000033110000}"/>
    <cellStyle name="Ввод  2 5 5 3" xfId="10191" xr:uid="{7FE486F0-ED5A-4CDA-922D-DAE97E8A30D6}"/>
    <cellStyle name="Ввод  2 5 6" xfId="2934" xr:uid="{00000000-0005-0000-0000-000034110000}"/>
    <cellStyle name="Ввод  2 5 6 2" xfId="6828" xr:uid="{00000000-0005-0000-0000-000035110000}"/>
    <cellStyle name="Ввод  2 5 6 3" xfId="10837" xr:uid="{21C25C98-59D7-4B0A-8C4A-C6FD88C70BC7}"/>
    <cellStyle name="Ввод  2 5 7" xfId="4112" xr:uid="{00000000-0005-0000-0000-000036110000}"/>
    <cellStyle name="Ввод  2 5 8" xfId="8121" xr:uid="{85B57EBE-69BE-4B39-97BA-29ABA46C8D21}"/>
    <cellStyle name="Ввод  2 5 9" xfId="12012" xr:uid="{E83F3869-E61C-42B6-BD42-ABDF6A9F20BF}"/>
    <cellStyle name="Ввод  2 6" xfId="302" xr:uid="{00000000-0005-0000-0000-000037110000}"/>
    <cellStyle name="Ввод  2 6 10" xfId="13551" xr:uid="{9E6AF5A4-C74C-4579-9B2C-EA22565FD1FF}"/>
    <cellStyle name="Ввод  2 6 2" xfId="456" xr:uid="{00000000-0005-0000-0000-000038110000}"/>
    <cellStyle name="Ввод  2 6 2 2" xfId="786" xr:uid="{00000000-0005-0000-0000-000039110000}"/>
    <cellStyle name="Ввод  2 6 2 2 2" xfId="1567" xr:uid="{00000000-0005-0000-0000-00003A110000}"/>
    <cellStyle name="Ввод  2 6 2 2 2 2" xfId="2296" xr:uid="{00000000-0005-0000-0000-00003B110000}"/>
    <cellStyle name="Ввод  2 6 2 2 2 2 2" xfId="6193" xr:uid="{00000000-0005-0000-0000-00003C110000}"/>
    <cellStyle name="Ввод  2 6 2 2 2 2 3" xfId="10202" xr:uid="{E26EA8CA-AE77-422F-9BB0-7AC5E8E37327}"/>
    <cellStyle name="Ввод  2 6 2 2 2 3" xfId="3910" xr:uid="{00000000-0005-0000-0000-00003D110000}"/>
    <cellStyle name="Ввод  2 6 2 2 2 3 2" xfId="7804" xr:uid="{00000000-0005-0000-0000-00003E110000}"/>
    <cellStyle name="Ввод  2 6 2 2 2 3 3" xfId="11813" xr:uid="{FDBFE995-3B61-411B-B895-7B6AC3997C68}"/>
    <cellStyle name="Ввод  2 6 2 2 2 4" xfId="5468" xr:uid="{00000000-0005-0000-0000-00003F110000}"/>
    <cellStyle name="Ввод  2 6 2 2 2 5" xfId="9477" xr:uid="{46E8455D-5C26-4D69-9D54-B18E92B6B24D}"/>
    <cellStyle name="Ввод  2 6 2 2 2 6" xfId="13368" xr:uid="{75D5CAB0-9572-4EDF-88A3-A3574B73F08F}"/>
    <cellStyle name="Ввод  2 6 2 2 3" xfId="2295" xr:uid="{00000000-0005-0000-0000-000040110000}"/>
    <cellStyle name="Ввод  2 6 2 2 3 2" xfId="6192" xr:uid="{00000000-0005-0000-0000-000041110000}"/>
    <cellStyle name="Ввод  2 6 2 2 3 3" xfId="10201" xr:uid="{8008949C-92AF-4642-A732-2BA52A24D7D1}"/>
    <cellStyle name="Ввод  2 6 2 2 4" xfId="3512" xr:uid="{00000000-0005-0000-0000-000042110000}"/>
    <cellStyle name="Ввод  2 6 2 2 4 2" xfId="7406" xr:uid="{00000000-0005-0000-0000-000043110000}"/>
    <cellStyle name="Ввод  2 6 2 2 4 3" xfId="11415" xr:uid="{5D2B72A0-E042-4A8B-A587-08FD41096F93}"/>
    <cellStyle name="Ввод  2 6 2 2 5" xfId="4690" xr:uid="{00000000-0005-0000-0000-000044110000}"/>
    <cellStyle name="Ввод  2 6 2 2 6" xfId="8699" xr:uid="{180BC283-F821-434E-A088-D8CB4CBB1AFF}"/>
    <cellStyle name="Ввод  2 6 2 2 7" xfId="12590" xr:uid="{37AB1AD6-3738-437A-9E35-EF8015D9F745}"/>
    <cellStyle name="Ввод  2 6 2 3" xfId="1246" xr:uid="{00000000-0005-0000-0000-000045110000}"/>
    <cellStyle name="Ввод  2 6 2 3 2" xfId="2297" xr:uid="{00000000-0005-0000-0000-000046110000}"/>
    <cellStyle name="Ввод  2 6 2 3 2 2" xfId="6194" xr:uid="{00000000-0005-0000-0000-000047110000}"/>
    <cellStyle name="Ввод  2 6 2 3 2 3" xfId="10203" xr:uid="{805F4756-DBE3-44D5-A8BC-B46768110233}"/>
    <cellStyle name="Ввод  2 6 2 3 3" xfId="3712" xr:uid="{00000000-0005-0000-0000-000048110000}"/>
    <cellStyle name="Ввод  2 6 2 3 3 2" xfId="7606" xr:uid="{00000000-0005-0000-0000-000049110000}"/>
    <cellStyle name="Ввод  2 6 2 3 3 3" xfId="11615" xr:uid="{6E68FED7-5140-41E1-B9D1-A716842B3C86}"/>
    <cellStyle name="Ввод  2 6 2 3 4" xfId="5147" xr:uid="{00000000-0005-0000-0000-00004A110000}"/>
    <cellStyle name="Ввод  2 6 2 3 5" xfId="9156" xr:uid="{0CF05470-EEBC-4BE1-9381-7ABC71D6A378}"/>
    <cellStyle name="Ввод  2 6 2 3 6" xfId="13047" xr:uid="{2A9D076D-7C80-44B9-8671-140B8BED9DF5}"/>
    <cellStyle name="Ввод  2 6 2 4" xfId="2294" xr:uid="{00000000-0005-0000-0000-00004B110000}"/>
    <cellStyle name="Ввод  2 6 2 4 2" xfId="6191" xr:uid="{00000000-0005-0000-0000-00004C110000}"/>
    <cellStyle name="Ввод  2 6 2 4 3" xfId="10200" xr:uid="{323DBF0A-21E1-417E-8CF8-88F3F7B24E20}"/>
    <cellStyle name="Ввод  2 6 2 5" xfId="3191" xr:uid="{00000000-0005-0000-0000-00004D110000}"/>
    <cellStyle name="Ввод  2 6 2 5 2" xfId="7085" xr:uid="{00000000-0005-0000-0000-00004E110000}"/>
    <cellStyle name="Ввод  2 6 2 5 3" xfId="11094" xr:uid="{A79FEEDC-B0BE-4B03-BE02-F08BD9D890C1}"/>
    <cellStyle name="Ввод  2 6 2 6" xfId="4369" xr:uid="{00000000-0005-0000-0000-00004F110000}"/>
    <cellStyle name="Ввод  2 6 2 7" xfId="8378" xr:uid="{DC24E64D-B707-43CA-8E9D-C4DBFA4925D3}"/>
    <cellStyle name="Ввод  2 6 2 8" xfId="12269" xr:uid="{48450D5D-4393-4E29-B58D-17B9C3C6F4CC}"/>
    <cellStyle name="Ввод  2 6 3" xfId="632" xr:uid="{00000000-0005-0000-0000-000050110000}"/>
    <cellStyle name="Ввод  2 6 3 2" xfId="1413" xr:uid="{00000000-0005-0000-0000-000051110000}"/>
    <cellStyle name="Ввод  2 6 3 2 2" xfId="2299" xr:uid="{00000000-0005-0000-0000-000052110000}"/>
    <cellStyle name="Ввод  2 6 3 2 2 2" xfId="6196" xr:uid="{00000000-0005-0000-0000-000053110000}"/>
    <cellStyle name="Ввод  2 6 3 2 2 3" xfId="10205" xr:uid="{C1228AAA-B595-4A42-8E03-A7FA752DDD25}"/>
    <cellStyle name="Ввод  2 6 3 2 3" xfId="3811" xr:uid="{00000000-0005-0000-0000-000054110000}"/>
    <cellStyle name="Ввод  2 6 3 2 3 2" xfId="7705" xr:uid="{00000000-0005-0000-0000-000055110000}"/>
    <cellStyle name="Ввод  2 6 3 2 3 3" xfId="11714" xr:uid="{D04E05C6-1B90-4FC0-BD6B-9D37E3A8A609}"/>
    <cellStyle name="Ввод  2 6 3 2 4" xfId="5314" xr:uid="{00000000-0005-0000-0000-000056110000}"/>
    <cellStyle name="Ввод  2 6 3 2 5" xfId="9323" xr:uid="{52DDC9B8-46CF-43FF-9B05-421860C9D255}"/>
    <cellStyle name="Ввод  2 6 3 2 6" xfId="13214" xr:uid="{2BC27D91-156A-44BC-9728-A1DB90578D2F}"/>
    <cellStyle name="Ввод  2 6 3 3" xfId="2298" xr:uid="{00000000-0005-0000-0000-000057110000}"/>
    <cellStyle name="Ввод  2 6 3 3 2" xfId="6195" xr:uid="{00000000-0005-0000-0000-000058110000}"/>
    <cellStyle name="Ввод  2 6 3 3 3" xfId="10204" xr:uid="{E1D04841-8D20-468F-9D27-0A4798CA1798}"/>
    <cellStyle name="Ввод  2 6 3 4" xfId="3358" xr:uid="{00000000-0005-0000-0000-000059110000}"/>
    <cellStyle name="Ввод  2 6 3 4 2" xfId="7252" xr:uid="{00000000-0005-0000-0000-00005A110000}"/>
    <cellStyle name="Ввод  2 6 3 4 3" xfId="11261" xr:uid="{525D0E93-88F5-44EC-A56B-65CED776131F}"/>
    <cellStyle name="Ввод  2 6 3 5" xfId="4536" xr:uid="{00000000-0005-0000-0000-00005B110000}"/>
    <cellStyle name="Ввод  2 6 3 6" xfId="8545" xr:uid="{5DF82644-DE4C-440A-B323-2A525320C381}"/>
    <cellStyle name="Ввод  2 6 3 7" xfId="12436" xr:uid="{0C7502BF-6FEA-4187-B683-0B975221FC89}"/>
    <cellStyle name="Ввод  2 6 4" xfId="1092" xr:uid="{00000000-0005-0000-0000-00005C110000}"/>
    <cellStyle name="Ввод  2 6 4 2" xfId="2300" xr:uid="{00000000-0005-0000-0000-00005D110000}"/>
    <cellStyle name="Ввод  2 6 4 2 2" xfId="6197" xr:uid="{00000000-0005-0000-0000-00005E110000}"/>
    <cellStyle name="Ввод  2 6 4 2 3" xfId="10206" xr:uid="{C6C50508-0C6C-4C61-93CC-4DEE9749F918}"/>
    <cellStyle name="Ввод  2 6 4 3" xfId="3613" xr:uid="{00000000-0005-0000-0000-00005F110000}"/>
    <cellStyle name="Ввод  2 6 4 3 2" xfId="7507" xr:uid="{00000000-0005-0000-0000-000060110000}"/>
    <cellStyle name="Ввод  2 6 4 3 3" xfId="11516" xr:uid="{F710F60B-C127-44C6-B9AC-8D7C96418F9E}"/>
    <cellStyle name="Ввод  2 6 4 4" xfId="4993" xr:uid="{00000000-0005-0000-0000-000061110000}"/>
    <cellStyle name="Ввод  2 6 4 5" xfId="9002" xr:uid="{8FC87E99-261E-49BF-8298-9A0ECEF5D0E0}"/>
    <cellStyle name="Ввод  2 6 4 6" xfId="12893" xr:uid="{C742CAF6-FCC4-4E8B-AB02-39342C150393}"/>
    <cellStyle name="Ввод  2 6 5" xfId="2293" xr:uid="{00000000-0005-0000-0000-000062110000}"/>
    <cellStyle name="Ввод  2 6 5 2" xfId="6190" xr:uid="{00000000-0005-0000-0000-000063110000}"/>
    <cellStyle name="Ввод  2 6 5 3" xfId="10199" xr:uid="{150C8F3D-19FA-49FF-A972-B7E694570333}"/>
    <cellStyle name="Ввод  2 6 6" xfId="3037" xr:uid="{00000000-0005-0000-0000-000064110000}"/>
    <cellStyle name="Ввод  2 6 6 2" xfId="6931" xr:uid="{00000000-0005-0000-0000-000065110000}"/>
    <cellStyle name="Ввод  2 6 6 3" xfId="10940" xr:uid="{04FCDE76-AFB2-402A-9D90-CF975DD6E08C}"/>
    <cellStyle name="Ввод  2 6 7" xfId="4215" xr:uid="{00000000-0005-0000-0000-000066110000}"/>
    <cellStyle name="Ввод  2 6 8" xfId="8224" xr:uid="{91393A26-1A18-4421-8C07-39B0A567816B}"/>
    <cellStyle name="Ввод  2 6 9" xfId="12115" xr:uid="{59C7BC51-4707-486C-9EAF-9A73BFC54919}"/>
    <cellStyle name="Ввод  2 7" xfId="303" xr:uid="{00000000-0005-0000-0000-000067110000}"/>
    <cellStyle name="Ввод  2 7 2" xfId="633" xr:uid="{00000000-0005-0000-0000-000068110000}"/>
    <cellStyle name="Ввод  2 7 2 2" xfId="1414" xr:uid="{00000000-0005-0000-0000-000069110000}"/>
    <cellStyle name="Ввод  2 7 2 2 2" xfId="2303" xr:uid="{00000000-0005-0000-0000-00006A110000}"/>
    <cellStyle name="Ввод  2 7 2 2 2 2" xfId="6200" xr:uid="{00000000-0005-0000-0000-00006B110000}"/>
    <cellStyle name="Ввод  2 7 2 2 2 3" xfId="10209" xr:uid="{C2DAD910-1E0B-44B4-B8C8-6A1E4EDB7701}"/>
    <cellStyle name="Ввод  2 7 2 2 3" xfId="3812" xr:uid="{00000000-0005-0000-0000-00006C110000}"/>
    <cellStyle name="Ввод  2 7 2 2 3 2" xfId="7706" xr:uid="{00000000-0005-0000-0000-00006D110000}"/>
    <cellStyle name="Ввод  2 7 2 2 3 3" xfId="11715" xr:uid="{DFF9DD9D-123E-4E11-94C6-EA8ED2538EAA}"/>
    <cellStyle name="Ввод  2 7 2 2 4" xfId="5315" xr:uid="{00000000-0005-0000-0000-00006E110000}"/>
    <cellStyle name="Ввод  2 7 2 2 5" xfId="9324" xr:uid="{5E4E1E49-8C51-4776-9C5E-A1D66F007A31}"/>
    <cellStyle name="Ввод  2 7 2 2 6" xfId="13215" xr:uid="{E2FC6097-A72B-43D0-A933-9B63568D03A4}"/>
    <cellStyle name="Ввод  2 7 2 3" xfId="2302" xr:uid="{00000000-0005-0000-0000-00006F110000}"/>
    <cellStyle name="Ввод  2 7 2 3 2" xfId="6199" xr:uid="{00000000-0005-0000-0000-000070110000}"/>
    <cellStyle name="Ввод  2 7 2 3 3" xfId="10208" xr:uid="{FAC60731-5EDB-42F4-922B-3D1D90CEC3D9}"/>
    <cellStyle name="Ввод  2 7 2 4" xfId="3359" xr:uid="{00000000-0005-0000-0000-000071110000}"/>
    <cellStyle name="Ввод  2 7 2 4 2" xfId="7253" xr:uid="{00000000-0005-0000-0000-000072110000}"/>
    <cellStyle name="Ввод  2 7 2 4 3" xfId="11262" xr:uid="{785DC39F-849B-495A-9B54-BA4C0EF1DFB1}"/>
    <cellStyle name="Ввод  2 7 2 5" xfId="4537" xr:uid="{00000000-0005-0000-0000-000073110000}"/>
    <cellStyle name="Ввод  2 7 2 6" xfId="8546" xr:uid="{F4FA7727-4647-4CA4-9373-1904F152C8B9}"/>
    <cellStyle name="Ввод  2 7 2 7" xfId="12437" xr:uid="{96B9D6C4-2BB4-4FEB-ACCD-24AFD4FD6FC3}"/>
    <cellStyle name="Ввод  2 7 3" xfId="1093" xr:uid="{00000000-0005-0000-0000-000074110000}"/>
    <cellStyle name="Ввод  2 7 3 2" xfId="2304" xr:uid="{00000000-0005-0000-0000-000075110000}"/>
    <cellStyle name="Ввод  2 7 3 2 2" xfId="6201" xr:uid="{00000000-0005-0000-0000-000076110000}"/>
    <cellStyle name="Ввод  2 7 3 2 3" xfId="10210" xr:uid="{EA076DBD-1751-43AE-AFF4-E76072033C28}"/>
    <cellStyle name="Ввод  2 7 3 3" xfId="3614" xr:uid="{00000000-0005-0000-0000-000077110000}"/>
    <cellStyle name="Ввод  2 7 3 3 2" xfId="7508" xr:uid="{00000000-0005-0000-0000-000078110000}"/>
    <cellStyle name="Ввод  2 7 3 3 3" xfId="11517" xr:uid="{18616E98-880A-4E78-B50F-B0C75416CBB3}"/>
    <cellStyle name="Ввод  2 7 3 4" xfId="4994" xr:uid="{00000000-0005-0000-0000-000079110000}"/>
    <cellStyle name="Ввод  2 7 3 5" xfId="9003" xr:uid="{879E47A1-37A6-42A7-A8A7-5ED668C67014}"/>
    <cellStyle name="Ввод  2 7 3 6" xfId="12894" xr:uid="{013EEADC-63A3-42D6-971B-E83E8CFE22DE}"/>
    <cellStyle name="Ввод  2 7 4" xfId="2301" xr:uid="{00000000-0005-0000-0000-00007A110000}"/>
    <cellStyle name="Ввод  2 7 4 2" xfId="6198" xr:uid="{00000000-0005-0000-0000-00007B110000}"/>
    <cellStyle name="Ввод  2 7 4 3" xfId="10207" xr:uid="{9491260A-83F4-40E3-B6C4-63CD47E4F9E9}"/>
    <cellStyle name="Ввод  2 7 5" xfId="3038" xr:uid="{00000000-0005-0000-0000-00007C110000}"/>
    <cellStyle name="Ввод  2 7 5 2" xfId="6932" xr:uid="{00000000-0005-0000-0000-00007D110000}"/>
    <cellStyle name="Ввод  2 7 5 3" xfId="10941" xr:uid="{76AC9764-B805-4C3C-91A4-99298CCBABA5}"/>
    <cellStyle name="Ввод  2 7 6" xfId="4216" xr:uid="{00000000-0005-0000-0000-00007E110000}"/>
    <cellStyle name="Ввод  2 7 7" xfId="8225" xr:uid="{BDEA098A-51CF-4BEC-9262-F80D45F06230}"/>
    <cellStyle name="Ввод  2 7 8" xfId="12116" xr:uid="{D3788A61-54A2-45A1-B079-53085BA1C1BF}"/>
    <cellStyle name="Ввод  2 8" xfId="464" xr:uid="{00000000-0005-0000-0000-00007F110000}"/>
    <cellStyle name="Ввод  2 8 2" xfId="1249" xr:uid="{00000000-0005-0000-0000-000080110000}"/>
    <cellStyle name="Ввод  2 8 2 2" xfId="2306" xr:uid="{00000000-0005-0000-0000-000081110000}"/>
    <cellStyle name="Ввод  2 8 2 2 2" xfId="6203" xr:uid="{00000000-0005-0000-0000-000082110000}"/>
    <cellStyle name="Ввод  2 8 2 2 3" xfId="10212" xr:uid="{BFF507F3-ADE5-4893-BEFF-B9F554783876}"/>
    <cellStyle name="Ввод  2 8 2 3" xfId="3713" xr:uid="{00000000-0005-0000-0000-000083110000}"/>
    <cellStyle name="Ввод  2 8 2 3 2" xfId="7607" xr:uid="{00000000-0005-0000-0000-000084110000}"/>
    <cellStyle name="Ввод  2 8 2 3 3" xfId="11616" xr:uid="{4FF32BA8-DC52-4411-8338-F22A729E0F32}"/>
    <cellStyle name="Ввод  2 8 2 4" xfId="5150" xr:uid="{00000000-0005-0000-0000-000085110000}"/>
    <cellStyle name="Ввод  2 8 2 5" xfId="9159" xr:uid="{E6DEA9A2-3317-4A1B-A722-D55E08F93A5C}"/>
    <cellStyle name="Ввод  2 8 2 6" xfId="13050" xr:uid="{A104E646-DC43-40A7-B173-67E3D7C0B9DD}"/>
    <cellStyle name="Ввод  2 8 3" xfId="2305" xr:uid="{00000000-0005-0000-0000-000086110000}"/>
    <cellStyle name="Ввод  2 8 3 2" xfId="6202" xr:uid="{00000000-0005-0000-0000-000087110000}"/>
    <cellStyle name="Ввод  2 8 3 3" xfId="10211" xr:uid="{CCDAD2A8-4DEC-4689-9F0C-68755F3E0E89}"/>
    <cellStyle name="Ввод  2 8 4" xfId="3194" xr:uid="{00000000-0005-0000-0000-000088110000}"/>
    <cellStyle name="Ввод  2 8 4 2" xfId="7088" xr:uid="{00000000-0005-0000-0000-000089110000}"/>
    <cellStyle name="Ввод  2 8 4 3" xfId="11097" xr:uid="{A27F8B0B-C490-49DE-B44B-87471C16074C}"/>
    <cellStyle name="Ввод  2 8 5" xfId="4372" xr:uid="{00000000-0005-0000-0000-00008A110000}"/>
    <cellStyle name="Ввод  2 8 6" xfId="8381" xr:uid="{6BF9A4C5-9EA0-4096-A3B9-7BFAF7CE3E4B}"/>
    <cellStyle name="Ввод  2 8 7" xfId="12272" xr:uid="{DC352779-80FF-4075-AADE-3A89F232880C}"/>
    <cellStyle name="Ввод  2 9" xfId="928" xr:uid="{00000000-0005-0000-0000-00008B110000}"/>
    <cellStyle name="Ввод  2 9 2" xfId="2307" xr:uid="{00000000-0005-0000-0000-00008C110000}"/>
    <cellStyle name="Ввод  2 9 2 2" xfId="6204" xr:uid="{00000000-0005-0000-0000-00008D110000}"/>
    <cellStyle name="Ввод  2 9 2 3" xfId="10213" xr:uid="{B17F6D27-7E45-45FF-B90F-C196D0E170DA}"/>
    <cellStyle name="Ввод  2 9 3" xfId="3515" xr:uid="{00000000-0005-0000-0000-00008E110000}"/>
    <cellStyle name="Ввод  2 9 3 2" xfId="7409" xr:uid="{00000000-0005-0000-0000-00008F110000}"/>
    <cellStyle name="Ввод  2 9 3 3" xfId="11418" xr:uid="{C3D192A5-7F0F-457F-814F-E1D4B857C210}"/>
    <cellStyle name="Ввод  2 9 4" xfId="4829" xr:uid="{00000000-0005-0000-0000-000090110000}"/>
    <cellStyle name="Ввод  2 9 5" xfId="8838" xr:uid="{E8E313BA-7DD3-4B1C-A238-D7118420A527}"/>
    <cellStyle name="Ввод  2 9 6" xfId="12729" xr:uid="{FF0FB39E-B3A7-4484-A8DF-A8C3499D9E4E}"/>
    <cellStyle name="Вывод 2" xfId="46" xr:uid="{00000000-0005-0000-0000-000091110000}"/>
    <cellStyle name="Вывод 2 10" xfId="2308" xr:uid="{00000000-0005-0000-0000-000092110000}"/>
    <cellStyle name="Вывод 2 10 2" xfId="6205" xr:uid="{00000000-0005-0000-0000-000093110000}"/>
    <cellStyle name="Вывод 2 10 3" xfId="10214" xr:uid="{4352CDF5-FF92-4BB5-B503-71C42399BFB5}"/>
    <cellStyle name="Вывод 2 11" xfId="2874" xr:uid="{00000000-0005-0000-0000-000094110000}"/>
    <cellStyle name="Вывод 2 11 2" xfId="6768" xr:uid="{00000000-0005-0000-0000-000095110000}"/>
    <cellStyle name="Вывод 2 11 3" xfId="10777" xr:uid="{EE7986CC-34C0-45B7-B1DC-3FF793FAD57C}"/>
    <cellStyle name="Вывод 2 12" xfId="4052" xr:uid="{00000000-0005-0000-0000-000096110000}"/>
    <cellStyle name="Вывод 2 13" xfId="8061" xr:uid="{CC87A069-0CC0-49E4-B644-4F705AEAD1EB}"/>
    <cellStyle name="Вывод 2 14" xfId="11952" xr:uid="{ED738279-9748-4DEB-B87A-FA95DF4FE58B}"/>
    <cellStyle name="Вывод 2 15" xfId="13388" xr:uid="{99B2A33B-F9A8-40F4-ACC3-843F0B1D6C22}"/>
    <cellStyle name="Вывод 2 2" xfId="108" xr:uid="{00000000-0005-0000-0000-000097110000}"/>
    <cellStyle name="Вывод 2 2 10" xfId="4062" xr:uid="{00000000-0005-0000-0000-000098110000}"/>
    <cellStyle name="Вывод 2 2 11" xfId="8071" xr:uid="{4D6211E5-D598-4FF5-A23D-EEE9FE67E0C4}"/>
    <cellStyle name="Вывод 2 2 12" xfId="11962" xr:uid="{8ED338B4-4D15-4BC0-A01C-5874180A1F8C}"/>
    <cellStyle name="Вывод 2 2 13" xfId="13398" xr:uid="{F4CBC0B3-29AC-4BA3-B2AB-9167511DF47A}"/>
    <cellStyle name="Вывод 2 2 2" xfId="182" xr:uid="{00000000-0005-0000-0000-000099110000}"/>
    <cellStyle name="Вывод 2 2 2 10" xfId="8107" xr:uid="{97F8E311-E25C-4491-A9F5-EBA900B61A67}"/>
    <cellStyle name="Вывод 2 2 2 11" xfId="11998" xr:uid="{C272D69B-174E-44E1-B2E1-DD6B029C9BC4}"/>
    <cellStyle name="Вывод 2 2 2 12" xfId="13434" xr:uid="{DC7FC008-E284-4B25-BED8-7F73E0BBD673}"/>
    <cellStyle name="Вывод 2 2 2 2" xfId="283" xr:uid="{00000000-0005-0000-0000-00009A110000}"/>
    <cellStyle name="Вывод 2 2 2 2 10" xfId="13532" xr:uid="{D5B08808-D637-473D-9EF5-F27048D24D66}"/>
    <cellStyle name="Вывод 2 2 2 2 2" xfId="439" xr:uid="{00000000-0005-0000-0000-00009B110000}"/>
    <cellStyle name="Вывод 2 2 2 2 2 2" xfId="769" xr:uid="{00000000-0005-0000-0000-00009C110000}"/>
    <cellStyle name="Вывод 2 2 2 2 2 2 2" xfId="1550" xr:uid="{00000000-0005-0000-0000-00009D110000}"/>
    <cellStyle name="Вывод 2 2 2 2 2 2 2 2" xfId="2314" xr:uid="{00000000-0005-0000-0000-00009E110000}"/>
    <cellStyle name="Вывод 2 2 2 2 2 2 2 2 2" xfId="6211" xr:uid="{00000000-0005-0000-0000-00009F110000}"/>
    <cellStyle name="Вывод 2 2 2 2 2 2 2 2 3" xfId="10220" xr:uid="{B6A513D4-ADA4-48E4-A9D1-3A19A48205C2}"/>
    <cellStyle name="Вывод 2 2 2 2 2 2 2 3" xfId="5451" xr:uid="{00000000-0005-0000-0000-0000A0110000}"/>
    <cellStyle name="Вывод 2 2 2 2 2 2 2 4" xfId="9460" xr:uid="{7E613664-7167-4A9B-8714-A8FE5A476C22}"/>
    <cellStyle name="Вывод 2 2 2 2 2 2 2 5" xfId="13351" xr:uid="{A19AA695-A5CD-42CF-9E82-C0D6E1B8A58F}"/>
    <cellStyle name="Вывод 2 2 2 2 2 2 3" xfId="2313" xr:uid="{00000000-0005-0000-0000-0000A1110000}"/>
    <cellStyle name="Вывод 2 2 2 2 2 2 3 2" xfId="6210" xr:uid="{00000000-0005-0000-0000-0000A2110000}"/>
    <cellStyle name="Вывод 2 2 2 2 2 2 3 3" xfId="10219" xr:uid="{77907350-C15E-4CC3-9436-E81211BFEE69}"/>
    <cellStyle name="Вывод 2 2 2 2 2 2 4" xfId="3495" xr:uid="{00000000-0005-0000-0000-0000A3110000}"/>
    <cellStyle name="Вывод 2 2 2 2 2 2 4 2" xfId="7389" xr:uid="{00000000-0005-0000-0000-0000A4110000}"/>
    <cellStyle name="Вывод 2 2 2 2 2 2 4 3" xfId="11398" xr:uid="{BD89EA21-3C2D-4B5D-B38E-B89CB70C6156}"/>
    <cellStyle name="Вывод 2 2 2 2 2 2 5" xfId="4673" xr:uid="{00000000-0005-0000-0000-0000A5110000}"/>
    <cellStyle name="Вывод 2 2 2 2 2 2 6" xfId="8682" xr:uid="{D87C5F76-2C33-44FB-B9F6-32771F271119}"/>
    <cellStyle name="Вывод 2 2 2 2 2 2 7" xfId="12573" xr:uid="{6C3B6163-8BE2-4BB9-A508-21461DA472E8}"/>
    <cellStyle name="Вывод 2 2 2 2 2 3" xfId="1229" xr:uid="{00000000-0005-0000-0000-0000A6110000}"/>
    <cellStyle name="Вывод 2 2 2 2 2 3 2" xfId="2315" xr:uid="{00000000-0005-0000-0000-0000A7110000}"/>
    <cellStyle name="Вывод 2 2 2 2 2 3 2 2" xfId="6212" xr:uid="{00000000-0005-0000-0000-0000A8110000}"/>
    <cellStyle name="Вывод 2 2 2 2 2 3 2 3" xfId="10221" xr:uid="{160B1686-1C4D-42BB-9166-E8D418158A49}"/>
    <cellStyle name="Вывод 2 2 2 2 2 3 3" xfId="5130" xr:uid="{00000000-0005-0000-0000-0000A9110000}"/>
    <cellStyle name="Вывод 2 2 2 2 2 3 4" xfId="9139" xr:uid="{8C4E029A-6871-4462-A412-8999BCD5487B}"/>
    <cellStyle name="Вывод 2 2 2 2 2 3 5" xfId="13030" xr:uid="{157E813E-D100-4641-AFEE-569C178F0620}"/>
    <cellStyle name="Вывод 2 2 2 2 2 4" xfId="2312" xr:uid="{00000000-0005-0000-0000-0000AA110000}"/>
    <cellStyle name="Вывод 2 2 2 2 2 4 2" xfId="6209" xr:uid="{00000000-0005-0000-0000-0000AB110000}"/>
    <cellStyle name="Вывод 2 2 2 2 2 4 3" xfId="10218" xr:uid="{8C9058D1-1CA2-439E-A50A-A94719FF3D6F}"/>
    <cellStyle name="Вывод 2 2 2 2 2 5" xfId="3174" xr:uid="{00000000-0005-0000-0000-0000AC110000}"/>
    <cellStyle name="Вывод 2 2 2 2 2 5 2" xfId="7068" xr:uid="{00000000-0005-0000-0000-0000AD110000}"/>
    <cellStyle name="Вывод 2 2 2 2 2 5 3" xfId="11077" xr:uid="{B4A8B97C-CD22-45AF-BD4F-49B0D4B5E6BF}"/>
    <cellStyle name="Вывод 2 2 2 2 2 6" xfId="4352" xr:uid="{00000000-0005-0000-0000-0000AE110000}"/>
    <cellStyle name="Вывод 2 2 2 2 2 7" xfId="8361" xr:uid="{829BA43B-145E-44E1-AE6A-AB6575C1F424}"/>
    <cellStyle name="Вывод 2 2 2 2 2 8" xfId="12252" xr:uid="{9C35C665-126A-4B3E-8ED0-373AF2ADFF6E}"/>
    <cellStyle name="Вывод 2 2 2 2 3" xfId="613" xr:uid="{00000000-0005-0000-0000-0000AF110000}"/>
    <cellStyle name="Вывод 2 2 2 2 3 2" xfId="1394" xr:uid="{00000000-0005-0000-0000-0000B0110000}"/>
    <cellStyle name="Вывод 2 2 2 2 3 2 2" xfId="2317" xr:uid="{00000000-0005-0000-0000-0000B1110000}"/>
    <cellStyle name="Вывод 2 2 2 2 3 2 2 2" xfId="6214" xr:uid="{00000000-0005-0000-0000-0000B2110000}"/>
    <cellStyle name="Вывод 2 2 2 2 3 2 2 3" xfId="10223" xr:uid="{259A4D7E-CD85-4531-8AF3-7F387BBCAB91}"/>
    <cellStyle name="Вывод 2 2 2 2 3 2 3" xfId="5295" xr:uid="{00000000-0005-0000-0000-0000B3110000}"/>
    <cellStyle name="Вывод 2 2 2 2 3 2 4" xfId="9304" xr:uid="{2CE281B2-F67A-4C79-9DB6-9F4D3EF40AB7}"/>
    <cellStyle name="Вывод 2 2 2 2 3 2 5" xfId="13195" xr:uid="{B2FA149A-4679-44B8-92ED-D0B54ADE4E0E}"/>
    <cellStyle name="Вывод 2 2 2 2 3 3" xfId="2316" xr:uid="{00000000-0005-0000-0000-0000B4110000}"/>
    <cellStyle name="Вывод 2 2 2 2 3 3 2" xfId="6213" xr:uid="{00000000-0005-0000-0000-0000B5110000}"/>
    <cellStyle name="Вывод 2 2 2 2 3 3 3" xfId="10222" xr:uid="{763F8E76-36EC-4369-82F1-91E11EAF1C89}"/>
    <cellStyle name="Вывод 2 2 2 2 3 4" xfId="3339" xr:uid="{00000000-0005-0000-0000-0000B6110000}"/>
    <cellStyle name="Вывод 2 2 2 2 3 4 2" xfId="7233" xr:uid="{00000000-0005-0000-0000-0000B7110000}"/>
    <cellStyle name="Вывод 2 2 2 2 3 4 3" xfId="11242" xr:uid="{12A9B411-C935-4FF4-B616-BBCC9F2A857A}"/>
    <cellStyle name="Вывод 2 2 2 2 3 5" xfId="4517" xr:uid="{00000000-0005-0000-0000-0000B8110000}"/>
    <cellStyle name="Вывод 2 2 2 2 3 6" xfId="8526" xr:uid="{18C63024-FAD9-494E-8C96-CA1AE7638215}"/>
    <cellStyle name="Вывод 2 2 2 2 3 7" xfId="12417" xr:uid="{9FB449A3-876D-4112-9611-76D0E7B7D080}"/>
    <cellStyle name="Вывод 2 2 2 2 4" xfId="1073" xr:uid="{00000000-0005-0000-0000-0000B9110000}"/>
    <cellStyle name="Вывод 2 2 2 2 4 2" xfId="2318" xr:uid="{00000000-0005-0000-0000-0000BA110000}"/>
    <cellStyle name="Вывод 2 2 2 2 4 2 2" xfId="6215" xr:uid="{00000000-0005-0000-0000-0000BB110000}"/>
    <cellStyle name="Вывод 2 2 2 2 4 2 3" xfId="10224" xr:uid="{6406098E-022E-4104-80BB-15E425E089AA}"/>
    <cellStyle name="Вывод 2 2 2 2 4 3" xfId="4974" xr:uid="{00000000-0005-0000-0000-0000BC110000}"/>
    <cellStyle name="Вывод 2 2 2 2 4 4" xfId="8983" xr:uid="{89E8460A-244D-4009-B13A-62F43DC64C6C}"/>
    <cellStyle name="Вывод 2 2 2 2 4 5" xfId="12874" xr:uid="{078D5A04-77BD-41B0-BB8D-94D670DDF194}"/>
    <cellStyle name="Вывод 2 2 2 2 5" xfId="2311" xr:uid="{00000000-0005-0000-0000-0000BD110000}"/>
    <cellStyle name="Вывод 2 2 2 2 5 2" xfId="6208" xr:uid="{00000000-0005-0000-0000-0000BE110000}"/>
    <cellStyle name="Вывод 2 2 2 2 5 3" xfId="10217" xr:uid="{46EADC59-7928-479E-AE57-2A7E3D47C059}"/>
    <cellStyle name="Вывод 2 2 2 2 6" xfId="3018" xr:uid="{00000000-0005-0000-0000-0000BF110000}"/>
    <cellStyle name="Вывод 2 2 2 2 6 2" xfId="6912" xr:uid="{00000000-0005-0000-0000-0000C0110000}"/>
    <cellStyle name="Вывод 2 2 2 2 6 3" xfId="10921" xr:uid="{5454BC0B-2116-4853-AB39-462A8E4B4BCD}"/>
    <cellStyle name="Вывод 2 2 2 2 7" xfId="4196" xr:uid="{00000000-0005-0000-0000-0000C1110000}"/>
    <cellStyle name="Вывод 2 2 2 2 8" xfId="8205" xr:uid="{7AE31C0A-5AB2-4684-8FCA-B8A16083E1B5}"/>
    <cellStyle name="Вывод 2 2 2 2 9" xfId="12096" xr:uid="{FD82E989-D9CD-4D03-B5DD-D995289C53EE}"/>
    <cellStyle name="Вывод 2 2 2 3" xfId="267" xr:uid="{00000000-0005-0000-0000-0000C2110000}"/>
    <cellStyle name="Вывод 2 2 2 3 2" xfId="597" xr:uid="{00000000-0005-0000-0000-0000C3110000}"/>
    <cellStyle name="Вывод 2 2 2 3 2 2" xfId="1378" xr:uid="{00000000-0005-0000-0000-0000C4110000}"/>
    <cellStyle name="Вывод 2 2 2 3 2 2 2" xfId="2321" xr:uid="{00000000-0005-0000-0000-0000C5110000}"/>
    <cellStyle name="Вывод 2 2 2 3 2 2 2 2" xfId="6218" xr:uid="{00000000-0005-0000-0000-0000C6110000}"/>
    <cellStyle name="Вывод 2 2 2 3 2 2 2 3" xfId="10227" xr:uid="{2A036153-D5BC-48B2-8826-F00D020B76E7}"/>
    <cellStyle name="Вывод 2 2 2 3 2 2 3" xfId="5279" xr:uid="{00000000-0005-0000-0000-0000C7110000}"/>
    <cellStyle name="Вывод 2 2 2 3 2 2 4" xfId="9288" xr:uid="{11C5823C-703C-4B0C-9FB0-D03D5E5EE691}"/>
    <cellStyle name="Вывод 2 2 2 3 2 2 5" xfId="13179" xr:uid="{0B6D8A85-E2A8-42E6-8BFB-8F79B885B26F}"/>
    <cellStyle name="Вывод 2 2 2 3 2 3" xfId="2320" xr:uid="{00000000-0005-0000-0000-0000C8110000}"/>
    <cellStyle name="Вывод 2 2 2 3 2 3 2" xfId="6217" xr:uid="{00000000-0005-0000-0000-0000C9110000}"/>
    <cellStyle name="Вывод 2 2 2 3 2 3 3" xfId="10226" xr:uid="{BDF0EAB6-812B-4491-B2A2-920EB2C8EBE2}"/>
    <cellStyle name="Вывод 2 2 2 3 2 4" xfId="3323" xr:uid="{00000000-0005-0000-0000-0000CA110000}"/>
    <cellStyle name="Вывод 2 2 2 3 2 4 2" xfId="7217" xr:uid="{00000000-0005-0000-0000-0000CB110000}"/>
    <cellStyle name="Вывод 2 2 2 3 2 4 3" xfId="11226" xr:uid="{E28DB55E-4B10-40F1-9B14-94B4DC0FD528}"/>
    <cellStyle name="Вывод 2 2 2 3 2 5" xfId="4501" xr:uid="{00000000-0005-0000-0000-0000CC110000}"/>
    <cellStyle name="Вывод 2 2 2 3 2 6" xfId="8510" xr:uid="{30F8BB72-B0CA-4203-8AB9-A7E2CFC072DD}"/>
    <cellStyle name="Вывод 2 2 2 3 2 7" xfId="12401" xr:uid="{52E26C21-24A9-4927-944E-435032C956CA}"/>
    <cellStyle name="Вывод 2 2 2 3 3" xfId="1057" xr:uid="{00000000-0005-0000-0000-0000CD110000}"/>
    <cellStyle name="Вывод 2 2 2 3 3 2" xfId="2322" xr:uid="{00000000-0005-0000-0000-0000CE110000}"/>
    <cellStyle name="Вывод 2 2 2 3 3 2 2" xfId="6219" xr:uid="{00000000-0005-0000-0000-0000CF110000}"/>
    <cellStyle name="Вывод 2 2 2 3 3 2 3" xfId="10228" xr:uid="{837CFF8D-5835-4A7E-A256-09E57AB455FF}"/>
    <cellStyle name="Вывод 2 2 2 3 3 3" xfId="4958" xr:uid="{00000000-0005-0000-0000-0000D0110000}"/>
    <cellStyle name="Вывод 2 2 2 3 3 4" xfId="8967" xr:uid="{F7B92BEB-6716-4E05-88D5-68A9AE4CEDF4}"/>
    <cellStyle name="Вывод 2 2 2 3 3 5" xfId="12858" xr:uid="{FD46F14B-7C61-429A-B5AC-032B21FB1F0C}"/>
    <cellStyle name="Вывод 2 2 2 3 4" xfId="2319" xr:uid="{00000000-0005-0000-0000-0000D1110000}"/>
    <cellStyle name="Вывод 2 2 2 3 4 2" xfId="6216" xr:uid="{00000000-0005-0000-0000-0000D2110000}"/>
    <cellStyle name="Вывод 2 2 2 3 4 3" xfId="10225" xr:uid="{18B6F335-57B1-4669-90CE-29292033DCFB}"/>
    <cellStyle name="Вывод 2 2 2 3 5" xfId="3002" xr:uid="{00000000-0005-0000-0000-0000D3110000}"/>
    <cellStyle name="Вывод 2 2 2 3 5 2" xfId="6896" xr:uid="{00000000-0005-0000-0000-0000D4110000}"/>
    <cellStyle name="Вывод 2 2 2 3 5 3" xfId="10905" xr:uid="{023F460A-F214-4C93-8A8B-DD41B28AB02C}"/>
    <cellStyle name="Вывод 2 2 2 3 6" xfId="4180" xr:uid="{00000000-0005-0000-0000-0000D5110000}"/>
    <cellStyle name="Вывод 2 2 2 3 7" xfId="8189" xr:uid="{1D6A08C9-7090-4D9D-AE18-A4BA4220D4E0}"/>
    <cellStyle name="Вывод 2 2 2 3 8" xfId="12080" xr:uid="{D45206FF-225B-4486-800A-BA9869486351}"/>
    <cellStyle name="Вывод 2 2 2 3 9" xfId="13516" xr:uid="{D8091CBC-C5CB-4B40-9141-F746379BE49B}"/>
    <cellStyle name="Вывод 2 2 2 4" xfId="350" xr:uid="{00000000-0005-0000-0000-0000D6110000}"/>
    <cellStyle name="Вывод 2 2 2 4 2" xfId="680" xr:uid="{00000000-0005-0000-0000-0000D7110000}"/>
    <cellStyle name="Вывод 2 2 2 4 2 2" xfId="1461" xr:uid="{00000000-0005-0000-0000-0000D8110000}"/>
    <cellStyle name="Вывод 2 2 2 4 2 2 2" xfId="2325" xr:uid="{00000000-0005-0000-0000-0000D9110000}"/>
    <cellStyle name="Вывод 2 2 2 4 2 2 2 2" xfId="6222" xr:uid="{00000000-0005-0000-0000-0000DA110000}"/>
    <cellStyle name="Вывод 2 2 2 4 2 2 2 3" xfId="10231" xr:uid="{382C234C-0974-4DA6-907B-968E3E1B71D0}"/>
    <cellStyle name="Вывод 2 2 2 4 2 2 3" xfId="5362" xr:uid="{00000000-0005-0000-0000-0000DB110000}"/>
    <cellStyle name="Вывод 2 2 2 4 2 2 4" xfId="9371" xr:uid="{8005FDFF-923F-49BA-B8AA-B64CA67412BD}"/>
    <cellStyle name="Вывод 2 2 2 4 2 2 5" xfId="13262" xr:uid="{6A8C700F-EEDE-4D98-9FD0-0DB58D809C0E}"/>
    <cellStyle name="Вывод 2 2 2 4 2 3" xfId="2324" xr:uid="{00000000-0005-0000-0000-0000DC110000}"/>
    <cellStyle name="Вывод 2 2 2 4 2 3 2" xfId="6221" xr:uid="{00000000-0005-0000-0000-0000DD110000}"/>
    <cellStyle name="Вывод 2 2 2 4 2 3 3" xfId="10230" xr:uid="{33B58FFE-D2FD-40BC-B518-0BCDC58C6FD1}"/>
    <cellStyle name="Вывод 2 2 2 4 2 4" xfId="3406" xr:uid="{00000000-0005-0000-0000-0000DE110000}"/>
    <cellStyle name="Вывод 2 2 2 4 2 4 2" xfId="7300" xr:uid="{00000000-0005-0000-0000-0000DF110000}"/>
    <cellStyle name="Вывод 2 2 2 4 2 4 3" xfId="11309" xr:uid="{5F53F81B-0E1B-4E9A-A3B2-EADFBCB661BC}"/>
    <cellStyle name="Вывод 2 2 2 4 2 5" xfId="4584" xr:uid="{00000000-0005-0000-0000-0000E0110000}"/>
    <cellStyle name="Вывод 2 2 2 4 2 6" xfId="8593" xr:uid="{E10A01F1-D6BB-4FB7-9BD8-3FC9C251F5B3}"/>
    <cellStyle name="Вывод 2 2 2 4 2 7" xfId="12484" xr:uid="{9AA7376A-033F-471A-AD4F-E5448602F1AD}"/>
    <cellStyle name="Вывод 2 2 2 4 3" xfId="1140" xr:uid="{00000000-0005-0000-0000-0000E1110000}"/>
    <cellStyle name="Вывод 2 2 2 4 3 2" xfId="2326" xr:uid="{00000000-0005-0000-0000-0000E2110000}"/>
    <cellStyle name="Вывод 2 2 2 4 3 2 2" xfId="6223" xr:uid="{00000000-0005-0000-0000-0000E3110000}"/>
    <cellStyle name="Вывод 2 2 2 4 3 2 3" xfId="10232" xr:uid="{DB967232-602B-4F6D-B9F1-10321F4B2E1E}"/>
    <cellStyle name="Вывод 2 2 2 4 3 3" xfId="5041" xr:uid="{00000000-0005-0000-0000-0000E4110000}"/>
    <cellStyle name="Вывод 2 2 2 4 3 4" xfId="9050" xr:uid="{90B05A7C-DE4F-4885-994E-911AC9384CB9}"/>
    <cellStyle name="Вывод 2 2 2 4 3 5" xfId="12941" xr:uid="{FA64CCB9-5AC3-4D02-8C7A-11FA9C9E6E5E}"/>
    <cellStyle name="Вывод 2 2 2 4 4" xfId="2323" xr:uid="{00000000-0005-0000-0000-0000E5110000}"/>
    <cellStyle name="Вывод 2 2 2 4 4 2" xfId="6220" xr:uid="{00000000-0005-0000-0000-0000E6110000}"/>
    <cellStyle name="Вывод 2 2 2 4 4 3" xfId="10229" xr:uid="{A74C6B0A-0FE4-4578-ABC3-4BF8826EB3C3}"/>
    <cellStyle name="Вывод 2 2 2 4 5" xfId="3085" xr:uid="{00000000-0005-0000-0000-0000E7110000}"/>
    <cellStyle name="Вывод 2 2 2 4 5 2" xfId="6979" xr:uid="{00000000-0005-0000-0000-0000E8110000}"/>
    <cellStyle name="Вывод 2 2 2 4 5 3" xfId="10988" xr:uid="{BC9C73B7-21CE-427B-BD98-F22755068C2D}"/>
    <cellStyle name="Вывод 2 2 2 4 6" xfId="4263" xr:uid="{00000000-0005-0000-0000-0000E9110000}"/>
    <cellStyle name="Вывод 2 2 2 4 7" xfId="8272" xr:uid="{944632D2-8CFE-4863-8117-2599523940E9}"/>
    <cellStyle name="Вывод 2 2 2 4 8" xfId="12163" xr:uid="{ED1F3824-5499-40FE-9B01-D8E9B5A3B672}"/>
    <cellStyle name="Вывод 2 2 2 5" xfId="515" xr:uid="{00000000-0005-0000-0000-0000EA110000}"/>
    <cellStyle name="Вывод 2 2 2 5 2" xfId="1296" xr:uid="{00000000-0005-0000-0000-0000EB110000}"/>
    <cellStyle name="Вывод 2 2 2 5 2 2" xfId="2328" xr:uid="{00000000-0005-0000-0000-0000EC110000}"/>
    <cellStyle name="Вывод 2 2 2 5 2 2 2" xfId="6225" xr:uid="{00000000-0005-0000-0000-0000ED110000}"/>
    <cellStyle name="Вывод 2 2 2 5 2 2 3" xfId="10234" xr:uid="{15FB8684-1FCD-42BD-B5C6-338BF5FD4E0F}"/>
    <cellStyle name="Вывод 2 2 2 5 2 3" xfId="5197" xr:uid="{00000000-0005-0000-0000-0000EE110000}"/>
    <cellStyle name="Вывод 2 2 2 5 2 4" xfId="9206" xr:uid="{50F5C401-8CB0-4FA2-816E-6B8F6703CB9B}"/>
    <cellStyle name="Вывод 2 2 2 5 2 5" xfId="13097" xr:uid="{E0D54D2E-E35F-4F43-907A-E60B84C2EB2F}"/>
    <cellStyle name="Вывод 2 2 2 5 3" xfId="2327" xr:uid="{00000000-0005-0000-0000-0000EF110000}"/>
    <cellStyle name="Вывод 2 2 2 5 3 2" xfId="6224" xr:uid="{00000000-0005-0000-0000-0000F0110000}"/>
    <cellStyle name="Вывод 2 2 2 5 3 3" xfId="10233" xr:uid="{16E42652-90A7-42B2-AA51-EA6A1A2AF2B2}"/>
    <cellStyle name="Вывод 2 2 2 5 4" xfId="3241" xr:uid="{00000000-0005-0000-0000-0000F1110000}"/>
    <cellStyle name="Вывод 2 2 2 5 4 2" xfId="7135" xr:uid="{00000000-0005-0000-0000-0000F2110000}"/>
    <cellStyle name="Вывод 2 2 2 5 4 3" xfId="11144" xr:uid="{9D07290F-7640-47FD-9601-C56E626175F7}"/>
    <cellStyle name="Вывод 2 2 2 5 5" xfId="4419" xr:uid="{00000000-0005-0000-0000-0000F3110000}"/>
    <cellStyle name="Вывод 2 2 2 5 6" xfId="8428" xr:uid="{ACF5D8DF-00C2-4074-B92E-548E78C80F59}"/>
    <cellStyle name="Вывод 2 2 2 5 7" xfId="12319" xr:uid="{5EE2DB77-AAF8-416D-A2C4-5831B31E3105}"/>
    <cellStyle name="Вывод 2 2 2 6" xfId="975" xr:uid="{00000000-0005-0000-0000-0000F4110000}"/>
    <cellStyle name="Вывод 2 2 2 6 2" xfId="2329" xr:uid="{00000000-0005-0000-0000-0000F5110000}"/>
    <cellStyle name="Вывод 2 2 2 6 2 2" xfId="6226" xr:uid="{00000000-0005-0000-0000-0000F6110000}"/>
    <cellStyle name="Вывод 2 2 2 6 2 3" xfId="10235" xr:uid="{A6C10AF8-E371-459C-9620-0E91F73B5E1A}"/>
    <cellStyle name="Вывод 2 2 2 6 3" xfId="4876" xr:uid="{00000000-0005-0000-0000-0000F7110000}"/>
    <cellStyle name="Вывод 2 2 2 6 4" xfId="8885" xr:uid="{64B9C760-62D4-4D0C-80C8-863661E9FEA1}"/>
    <cellStyle name="Вывод 2 2 2 6 5" xfId="12776" xr:uid="{B4442A94-4C86-4A55-A1AF-6E53F8B8C3D5}"/>
    <cellStyle name="Вывод 2 2 2 7" xfId="2310" xr:uid="{00000000-0005-0000-0000-0000F8110000}"/>
    <cellStyle name="Вывод 2 2 2 7 2" xfId="6207" xr:uid="{00000000-0005-0000-0000-0000F9110000}"/>
    <cellStyle name="Вывод 2 2 2 7 3" xfId="10216" xr:uid="{78D64AAB-3F45-499C-973B-41DB83695F03}"/>
    <cellStyle name="Вывод 2 2 2 8" xfId="2920" xr:uid="{00000000-0005-0000-0000-0000FA110000}"/>
    <cellStyle name="Вывод 2 2 2 8 2" xfId="6814" xr:uid="{00000000-0005-0000-0000-0000FB110000}"/>
    <cellStyle name="Вывод 2 2 2 8 3" xfId="10823" xr:uid="{FE6B2A66-16E2-4AEB-B988-9D3A07B521C8}"/>
    <cellStyle name="Вывод 2 2 2 9" xfId="4098" xr:uid="{00000000-0005-0000-0000-0000FC110000}"/>
    <cellStyle name="Вывод 2 2 3" xfId="234" xr:uid="{00000000-0005-0000-0000-0000FD110000}"/>
    <cellStyle name="Вывод 2 2 3 10" xfId="13483" xr:uid="{6682D109-B284-4693-ACE5-B117EA335418}"/>
    <cellStyle name="Вывод 2 2 3 2" xfId="393" xr:uid="{00000000-0005-0000-0000-0000FE110000}"/>
    <cellStyle name="Вывод 2 2 3 2 2" xfId="723" xr:uid="{00000000-0005-0000-0000-0000FF110000}"/>
    <cellStyle name="Вывод 2 2 3 2 2 2" xfId="1504" xr:uid="{00000000-0005-0000-0000-000000120000}"/>
    <cellStyle name="Вывод 2 2 3 2 2 2 2" xfId="2333" xr:uid="{00000000-0005-0000-0000-000001120000}"/>
    <cellStyle name="Вывод 2 2 3 2 2 2 2 2" xfId="6230" xr:uid="{00000000-0005-0000-0000-000002120000}"/>
    <cellStyle name="Вывод 2 2 3 2 2 2 2 3" xfId="10239" xr:uid="{BF6D3C68-EFEE-4995-BFEB-E5D987AAF3D1}"/>
    <cellStyle name="Вывод 2 2 3 2 2 2 3" xfId="5405" xr:uid="{00000000-0005-0000-0000-000003120000}"/>
    <cellStyle name="Вывод 2 2 3 2 2 2 4" xfId="9414" xr:uid="{5D0C124C-9679-4A60-AB63-821459C937CA}"/>
    <cellStyle name="Вывод 2 2 3 2 2 2 5" xfId="13305" xr:uid="{E25BC92D-6AC0-4F7E-92F6-308725037FBC}"/>
    <cellStyle name="Вывод 2 2 3 2 2 3" xfId="2332" xr:uid="{00000000-0005-0000-0000-000004120000}"/>
    <cellStyle name="Вывод 2 2 3 2 2 3 2" xfId="6229" xr:uid="{00000000-0005-0000-0000-000005120000}"/>
    <cellStyle name="Вывод 2 2 3 2 2 3 3" xfId="10238" xr:uid="{774F7815-BA67-4EEA-8011-8DBEBB987F5A}"/>
    <cellStyle name="Вывод 2 2 3 2 2 4" xfId="3449" xr:uid="{00000000-0005-0000-0000-000006120000}"/>
    <cellStyle name="Вывод 2 2 3 2 2 4 2" xfId="7343" xr:uid="{00000000-0005-0000-0000-000007120000}"/>
    <cellStyle name="Вывод 2 2 3 2 2 4 3" xfId="11352" xr:uid="{F5B1C36D-1D4B-4152-9366-5899A30559E5}"/>
    <cellStyle name="Вывод 2 2 3 2 2 5" xfId="4627" xr:uid="{00000000-0005-0000-0000-000008120000}"/>
    <cellStyle name="Вывод 2 2 3 2 2 6" xfId="8636" xr:uid="{5CCE75C9-0D29-4BE1-8505-EA812362E2D0}"/>
    <cellStyle name="Вывод 2 2 3 2 2 7" xfId="12527" xr:uid="{1E9A9EBB-DB02-4D1D-803E-146F680F49B4}"/>
    <cellStyle name="Вывод 2 2 3 2 3" xfId="1183" xr:uid="{00000000-0005-0000-0000-000009120000}"/>
    <cellStyle name="Вывод 2 2 3 2 3 2" xfId="2334" xr:uid="{00000000-0005-0000-0000-00000A120000}"/>
    <cellStyle name="Вывод 2 2 3 2 3 2 2" xfId="6231" xr:uid="{00000000-0005-0000-0000-00000B120000}"/>
    <cellStyle name="Вывод 2 2 3 2 3 2 3" xfId="10240" xr:uid="{F6DB336C-A3E8-4CF5-9A81-D5DCB9A7784B}"/>
    <cellStyle name="Вывод 2 2 3 2 3 3" xfId="5084" xr:uid="{00000000-0005-0000-0000-00000C120000}"/>
    <cellStyle name="Вывод 2 2 3 2 3 4" xfId="9093" xr:uid="{A1A5EDB3-7D7B-4434-94F3-1878E73C9E69}"/>
    <cellStyle name="Вывод 2 2 3 2 3 5" xfId="12984" xr:uid="{34C749CA-43EC-482C-831E-5AB45D1DA083}"/>
    <cellStyle name="Вывод 2 2 3 2 4" xfId="2331" xr:uid="{00000000-0005-0000-0000-00000D120000}"/>
    <cellStyle name="Вывод 2 2 3 2 4 2" xfId="6228" xr:uid="{00000000-0005-0000-0000-00000E120000}"/>
    <cellStyle name="Вывод 2 2 3 2 4 3" xfId="10237" xr:uid="{0960DE67-2F9C-422D-BF4D-1392C19677C6}"/>
    <cellStyle name="Вывод 2 2 3 2 5" xfId="3128" xr:uid="{00000000-0005-0000-0000-00000F120000}"/>
    <cellStyle name="Вывод 2 2 3 2 5 2" xfId="7022" xr:uid="{00000000-0005-0000-0000-000010120000}"/>
    <cellStyle name="Вывод 2 2 3 2 5 3" xfId="11031" xr:uid="{9597CBDA-23B9-4915-8099-7CE3419DAE08}"/>
    <cellStyle name="Вывод 2 2 3 2 6" xfId="4306" xr:uid="{00000000-0005-0000-0000-000011120000}"/>
    <cellStyle name="Вывод 2 2 3 2 7" xfId="8315" xr:uid="{85DCB634-B093-41B8-A75B-B51A16B92702}"/>
    <cellStyle name="Вывод 2 2 3 2 8" xfId="12206" xr:uid="{CF06F7B6-5249-4CF6-AAC5-74D4D3CC2559}"/>
    <cellStyle name="Вывод 2 2 3 3" xfId="564" xr:uid="{00000000-0005-0000-0000-000012120000}"/>
    <cellStyle name="Вывод 2 2 3 3 2" xfId="1345" xr:uid="{00000000-0005-0000-0000-000013120000}"/>
    <cellStyle name="Вывод 2 2 3 3 2 2" xfId="2336" xr:uid="{00000000-0005-0000-0000-000014120000}"/>
    <cellStyle name="Вывод 2 2 3 3 2 2 2" xfId="6233" xr:uid="{00000000-0005-0000-0000-000015120000}"/>
    <cellStyle name="Вывод 2 2 3 3 2 2 3" xfId="10242" xr:uid="{8838FA4B-5992-4B62-B13D-77201D5C33D3}"/>
    <cellStyle name="Вывод 2 2 3 3 2 3" xfId="5246" xr:uid="{00000000-0005-0000-0000-000016120000}"/>
    <cellStyle name="Вывод 2 2 3 3 2 4" xfId="9255" xr:uid="{B3A7EE22-1474-4650-A8E8-19EED62C9BF0}"/>
    <cellStyle name="Вывод 2 2 3 3 2 5" xfId="13146" xr:uid="{9EB7144E-3056-480B-B9FF-D244A007279C}"/>
    <cellStyle name="Вывод 2 2 3 3 3" xfId="2335" xr:uid="{00000000-0005-0000-0000-000017120000}"/>
    <cellStyle name="Вывод 2 2 3 3 3 2" xfId="6232" xr:uid="{00000000-0005-0000-0000-000018120000}"/>
    <cellStyle name="Вывод 2 2 3 3 3 3" xfId="10241" xr:uid="{12B7FD68-8F2F-489F-9185-384BE7C35C98}"/>
    <cellStyle name="Вывод 2 2 3 3 4" xfId="3290" xr:uid="{00000000-0005-0000-0000-000019120000}"/>
    <cellStyle name="Вывод 2 2 3 3 4 2" xfId="7184" xr:uid="{00000000-0005-0000-0000-00001A120000}"/>
    <cellStyle name="Вывод 2 2 3 3 4 3" xfId="11193" xr:uid="{5DB9D640-8C19-4667-8898-AB9AB1ED9D68}"/>
    <cellStyle name="Вывод 2 2 3 3 5" xfId="4468" xr:uid="{00000000-0005-0000-0000-00001B120000}"/>
    <cellStyle name="Вывод 2 2 3 3 6" xfId="8477" xr:uid="{E52DFEE7-694C-45B7-95CE-873E25C0821F}"/>
    <cellStyle name="Вывод 2 2 3 3 7" xfId="12368" xr:uid="{1C3897CA-2D51-49C7-9A16-F6F3D7D01226}"/>
    <cellStyle name="Вывод 2 2 3 4" xfId="1024" xr:uid="{00000000-0005-0000-0000-00001C120000}"/>
    <cellStyle name="Вывод 2 2 3 4 2" xfId="2337" xr:uid="{00000000-0005-0000-0000-00001D120000}"/>
    <cellStyle name="Вывод 2 2 3 4 2 2" xfId="6234" xr:uid="{00000000-0005-0000-0000-00001E120000}"/>
    <cellStyle name="Вывод 2 2 3 4 2 3" xfId="10243" xr:uid="{89A60CC4-35F1-4330-BC0F-510EEEEDBF33}"/>
    <cellStyle name="Вывод 2 2 3 4 3" xfId="4925" xr:uid="{00000000-0005-0000-0000-00001F120000}"/>
    <cellStyle name="Вывод 2 2 3 4 4" xfId="8934" xr:uid="{4DFD1542-42EA-4C0F-9A3A-D7CFEE9C3510}"/>
    <cellStyle name="Вывод 2 2 3 4 5" xfId="12825" xr:uid="{412F3490-8A98-42CF-A387-9849686A7410}"/>
    <cellStyle name="Вывод 2 2 3 5" xfId="2330" xr:uid="{00000000-0005-0000-0000-000020120000}"/>
    <cellStyle name="Вывод 2 2 3 5 2" xfId="6227" xr:uid="{00000000-0005-0000-0000-000021120000}"/>
    <cellStyle name="Вывод 2 2 3 5 3" xfId="10236" xr:uid="{95695E99-0230-4C4A-ACDA-70ADE0CED8D0}"/>
    <cellStyle name="Вывод 2 2 3 6" xfId="2969" xr:uid="{00000000-0005-0000-0000-000022120000}"/>
    <cellStyle name="Вывод 2 2 3 6 2" xfId="6863" xr:uid="{00000000-0005-0000-0000-000023120000}"/>
    <cellStyle name="Вывод 2 2 3 6 3" xfId="10872" xr:uid="{634C3DB0-A756-4ADE-8A97-5EF890C73281}"/>
    <cellStyle name="Вывод 2 2 3 7" xfId="4147" xr:uid="{00000000-0005-0000-0000-000024120000}"/>
    <cellStyle name="Вывод 2 2 3 8" xfId="8156" xr:uid="{02D20A10-52A3-4B21-84BE-2911BF06C771}"/>
    <cellStyle name="Вывод 2 2 3 9" xfId="12047" xr:uid="{866C934C-F7E6-456A-ADB1-4E3549F9BABF}"/>
    <cellStyle name="Вывод 2 2 4" xfId="300" xr:uid="{00000000-0005-0000-0000-000025120000}"/>
    <cellStyle name="Вывод 2 2 4 2" xfId="630" xr:uid="{00000000-0005-0000-0000-000026120000}"/>
    <cellStyle name="Вывод 2 2 4 2 2" xfId="1411" xr:uid="{00000000-0005-0000-0000-000027120000}"/>
    <cellStyle name="Вывод 2 2 4 2 2 2" xfId="2340" xr:uid="{00000000-0005-0000-0000-000028120000}"/>
    <cellStyle name="Вывод 2 2 4 2 2 2 2" xfId="6237" xr:uid="{00000000-0005-0000-0000-000029120000}"/>
    <cellStyle name="Вывод 2 2 4 2 2 2 3" xfId="10246" xr:uid="{5A590BE8-F779-4493-B43B-4BA0AE06000F}"/>
    <cellStyle name="Вывод 2 2 4 2 2 3" xfId="5312" xr:uid="{00000000-0005-0000-0000-00002A120000}"/>
    <cellStyle name="Вывод 2 2 4 2 2 4" xfId="9321" xr:uid="{E3823FCD-47C2-414A-B25E-54E51AE2ED99}"/>
    <cellStyle name="Вывод 2 2 4 2 2 5" xfId="13212" xr:uid="{6ECFF0E9-B773-4C5F-AEC8-A3E9A85E53E8}"/>
    <cellStyle name="Вывод 2 2 4 2 3" xfId="2339" xr:uid="{00000000-0005-0000-0000-00002B120000}"/>
    <cellStyle name="Вывод 2 2 4 2 3 2" xfId="6236" xr:uid="{00000000-0005-0000-0000-00002C120000}"/>
    <cellStyle name="Вывод 2 2 4 2 3 3" xfId="10245" xr:uid="{C4AC086F-6624-4F45-88F4-9AF0E31865A7}"/>
    <cellStyle name="Вывод 2 2 4 2 4" xfId="3356" xr:uid="{00000000-0005-0000-0000-00002D120000}"/>
    <cellStyle name="Вывод 2 2 4 2 4 2" xfId="7250" xr:uid="{00000000-0005-0000-0000-00002E120000}"/>
    <cellStyle name="Вывод 2 2 4 2 4 3" xfId="11259" xr:uid="{B3F0B6AC-FD45-4B16-BD67-68F6201639FC}"/>
    <cellStyle name="Вывод 2 2 4 2 5" xfId="4534" xr:uid="{00000000-0005-0000-0000-00002F120000}"/>
    <cellStyle name="Вывод 2 2 4 2 6" xfId="8543" xr:uid="{CABB8C2F-99F3-4C81-A885-88D3BA44BD29}"/>
    <cellStyle name="Вывод 2 2 4 2 7" xfId="12434" xr:uid="{84A9B80E-89AF-4AFA-8FC1-59E236E14EFB}"/>
    <cellStyle name="Вывод 2 2 4 3" xfId="1090" xr:uid="{00000000-0005-0000-0000-000030120000}"/>
    <cellStyle name="Вывод 2 2 4 3 2" xfId="2341" xr:uid="{00000000-0005-0000-0000-000031120000}"/>
    <cellStyle name="Вывод 2 2 4 3 2 2" xfId="6238" xr:uid="{00000000-0005-0000-0000-000032120000}"/>
    <cellStyle name="Вывод 2 2 4 3 2 3" xfId="10247" xr:uid="{6D0CE7F5-07FE-4107-A6A2-AB18AADA3D50}"/>
    <cellStyle name="Вывод 2 2 4 3 3" xfId="4991" xr:uid="{00000000-0005-0000-0000-000033120000}"/>
    <cellStyle name="Вывод 2 2 4 3 4" xfId="9000" xr:uid="{71A9A7F6-F2FE-42B4-A7B8-4AA25D5D92D2}"/>
    <cellStyle name="Вывод 2 2 4 3 5" xfId="12891" xr:uid="{18FC4660-14D9-4B73-BFD4-C6F89F4E4D38}"/>
    <cellStyle name="Вывод 2 2 4 4" xfId="2338" xr:uid="{00000000-0005-0000-0000-000034120000}"/>
    <cellStyle name="Вывод 2 2 4 4 2" xfId="6235" xr:uid="{00000000-0005-0000-0000-000035120000}"/>
    <cellStyle name="Вывод 2 2 4 4 3" xfId="10244" xr:uid="{ED188D5A-5D1C-4640-8E43-C355DCE2FAC1}"/>
    <cellStyle name="Вывод 2 2 4 5" xfId="3035" xr:uid="{00000000-0005-0000-0000-000036120000}"/>
    <cellStyle name="Вывод 2 2 4 5 2" xfId="6929" xr:uid="{00000000-0005-0000-0000-000037120000}"/>
    <cellStyle name="Вывод 2 2 4 5 3" xfId="10938" xr:uid="{E8E5F4FB-F323-47BB-A84C-383F8A8778BD}"/>
    <cellStyle name="Вывод 2 2 4 6" xfId="4213" xr:uid="{00000000-0005-0000-0000-000038120000}"/>
    <cellStyle name="Вывод 2 2 4 7" xfId="8222" xr:uid="{13AC08CA-74EA-44D4-9B75-554397B5CFFB}"/>
    <cellStyle name="Вывод 2 2 4 8" xfId="12113" xr:uid="{1377335B-1FC7-44EF-BBB3-D692854ECFFC}"/>
    <cellStyle name="Вывод 2 2 4 9" xfId="13549" xr:uid="{5FC1DCD7-C30C-46B2-A502-D888E06EDA38}"/>
    <cellStyle name="Вывод 2 2 5" xfId="314" xr:uid="{00000000-0005-0000-0000-000039120000}"/>
    <cellStyle name="Вывод 2 2 5 2" xfId="644" xr:uid="{00000000-0005-0000-0000-00003A120000}"/>
    <cellStyle name="Вывод 2 2 5 2 2" xfId="1425" xr:uid="{00000000-0005-0000-0000-00003B120000}"/>
    <cellStyle name="Вывод 2 2 5 2 2 2" xfId="2344" xr:uid="{00000000-0005-0000-0000-00003C120000}"/>
    <cellStyle name="Вывод 2 2 5 2 2 2 2" xfId="6241" xr:uid="{00000000-0005-0000-0000-00003D120000}"/>
    <cellStyle name="Вывод 2 2 5 2 2 2 3" xfId="10250" xr:uid="{6229861D-B7DD-4E7F-A80C-B55DC41E478B}"/>
    <cellStyle name="Вывод 2 2 5 2 2 3" xfId="5326" xr:uid="{00000000-0005-0000-0000-00003E120000}"/>
    <cellStyle name="Вывод 2 2 5 2 2 4" xfId="9335" xr:uid="{59394B2F-4F42-4A16-974C-073A598B6979}"/>
    <cellStyle name="Вывод 2 2 5 2 2 5" xfId="13226" xr:uid="{2A8E9C4C-CBE1-4C0B-89A7-23C2C0595180}"/>
    <cellStyle name="Вывод 2 2 5 2 3" xfId="2343" xr:uid="{00000000-0005-0000-0000-00003F120000}"/>
    <cellStyle name="Вывод 2 2 5 2 3 2" xfId="6240" xr:uid="{00000000-0005-0000-0000-000040120000}"/>
    <cellStyle name="Вывод 2 2 5 2 3 3" xfId="10249" xr:uid="{457C8C71-99A6-43A1-9DCA-42D31F4565A0}"/>
    <cellStyle name="Вывод 2 2 5 2 4" xfId="3370" xr:uid="{00000000-0005-0000-0000-000041120000}"/>
    <cellStyle name="Вывод 2 2 5 2 4 2" xfId="7264" xr:uid="{00000000-0005-0000-0000-000042120000}"/>
    <cellStyle name="Вывод 2 2 5 2 4 3" xfId="11273" xr:uid="{D7BF2E6E-80FF-4CFC-A002-D4A1EDC4CA23}"/>
    <cellStyle name="Вывод 2 2 5 2 5" xfId="4548" xr:uid="{00000000-0005-0000-0000-000043120000}"/>
    <cellStyle name="Вывод 2 2 5 2 6" xfId="8557" xr:uid="{4FF1298D-C591-46FB-A887-49435A75A53B}"/>
    <cellStyle name="Вывод 2 2 5 2 7" xfId="12448" xr:uid="{5AD1B5BE-62D5-488A-BDB0-E8BA8EEA570F}"/>
    <cellStyle name="Вывод 2 2 5 3" xfId="1104" xr:uid="{00000000-0005-0000-0000-000044120000}"/>
    <cellStyle name="Вывод 2 2 5 3 2" xfId="2345" xr:uid="{00000000-0005-0000-0000-000045120000}"/>
    <cellStyle name="Вывод 2 2 5 3 2 2" xfId="6242" xr:uid="{00000000-0005-0000-0000-000046120000}"/>
    <cellStyle name="Вывод 2 2 5 3 2 3" xfId="10251" xr:uid="{51390E9D-08EE-456F-B637-31301D62DD76}"/>
    <cellStyle name="Вывод 2 2 5 3 3" xfId="5005" xr:uid="{00000000-0005-0000-0000-000047120000}"/>
    <cellStyle name="Вывод 2 2 5 3 4" xfId="9014" xr:uid="{2E7CB9DF-6395-4C69-AF8C-279095B04A1B}"/>
    <cellStyle name="Вывод 2 2 5 3 5" xfId="12905" xr:uid="{841C5A34-BA63-405B-964B-908944423AD5}"/>
    <cellStyle name="Вывод 2 2 5 4" xfId="2342" xr:uid="{00000000-0005-0000-0000-000048120000}"/>
    <cellStyle name="Вывод 2 2 5 4 2" xfId="6239" xr:uid="{00000000-0005-0000-0000-000049120000}"/>
    <cellStyle name="Вывод 2 2 5 4 3" xfId="10248" xr:uid="{19F930DB-3827-40EC-AB2C-561961440A22}"/>
    <cellStyle name="Вывод 2 2 5 5" xfId="3049" xr:uid="{00000000-0005-0000-0000-00004A120000}"/>
    <cellStyle name="Вывод 2 2 5 5 2" xfId="6943" xr:uid="{00000000-0005-0000-0000-00004B120000}"/>
    <cellStyle name="Вывод 2 2 5 5 3" xfId="10952" xr:uid="{4472BEB1-4812-44D7-8CB6-9A24F7157BF1}"/>
    <cellStyle name="Вывод 2 2 5 6" xfId="4227" xr:uid="{00000000-0005-0000-0000-00004C120000}"/>
    <cellStyle name="Вывод 2 2 5 7" xfId="8236" xr:uid="{9363401B-5707-491E-A399-63BE367124D6}"/>
    <cellStyle name="Вывод 2 2 5 8" xfId="12127" xr:uid="{FBA20A66-4F84-4725-90C2-86570A73DC39}"/>
    <cellStyle name="Вывод 2 2 6" xfId="476" xr:uid="{00000000-0005-0000-0000-00004D120000}"/>
    <cellStyle name="Вывод 2 2 6 2" xfId="1260" xr:uid="{00000000-0005-0000-0000-00004E120000}"/>
    <cellStyle name="Вывод 2 2 6 2 2" xfId="2347" xr:uid="{00000000-0005-0000-0000-00004F120000}"/>
    <cellStyle name="Вывод 2 2 6 2 2 2" xfId="6244" xr:uid="{00000000-0005-0000-0000-000050120000}"/>
    <cellStyle name="Вывод 2 2 6 2 2 3" xfId="10253" xr:uid="{DC218D0B-E70F-4F46-9A53-B15D201A2113}"/>
    <cellStyle name="Вывод 2 2 6 2 3" xfId="5161" xr:uid="{00000000-0005-0000-0000-000051120000}"/>
    <cellStyle name="Вывод 2 2 6 2 4" xfId="9170" xr:uid="{9DAFD905-55D8-4BB1-95CB-5EDC1D1BCCAC}"/>
    <cellStyle name="Вывод 2 2 6 2 5" xfId="13061" xr:uid="{B3CD304E-508D-4E35-AF0B-4FE70E6B1A76}"/>
    <cellStyle name="Вывод 2 2 6 3" xfId="2346" xr:uid="{00000000-0005-0000-0000-000052120000}"/>
    <cellStyle name="Вывод 2 2 6 3 2" xfId="6243" xr:uid="{00000000-0005-0000-0000-000053120000}"/>
    <cellStyle name="Вывод 2 2 6 3 3" xfId="10252" xr:uid="{284BE0C5-987A-41F7-B553-3ADE395E335A}"/>
    <cellStyle name="Вывод 2 2 6 4" xfId="3205" xr:uid="{00000000-0005-0000-0000-000054120000}"/>
    <cellStyle name="Вывод 2 2 6 4 2" xfId="7099" xr:uid="{00000000-0005-0000-0000-000055120000}"/>
    <cellStyle name="Вывод 2 2 6 4 3" xfId="11108" xr:uid="{EFE48CD4-EBB7-40AD-916A-A3400A3048B0}"/>
    <cellStyle name="Вывод 2 2 6 5" xfId="4383" xr:uid="{00000000-0005-0000-0000-000056120000}"/>
    <cellStyle name="Вывод 2 2 6 6" xfId="8392" xr:uid="{F4B7E14F-09ED-43CF-9273-030E2E9A2431}"/>
    <cellStyle name="Вывод 2 2 6 7" xfId="12283" xr:uid="{3F12B9E7-D6E5-459B-87D1-6BBA1DE3CBA7}"/>
    <cellStyle name="Вывод 2 2 7" xfId="939" xr:uid="{00000000-0005-0000-0000-000057120000}"/>
    <cellStyle name="Вывод 2 2 7 2" xfId="2348" xr:uid="{00000000-0005-0000-0000-000058120000}"/>
    <cellStyle name="Вывод 2 2 7 2 2" xfId="6245" xr:uid="{00000000-0005-0000-0000-000059120000}"/>
    <cellStyle name="Вывод 2 2 7 2 3" xfId="10254" xr:uid="{C0A755A0-23D0-4746-ABA4-307D913325CA}"/>
    <cellStyle name="Вывод 2 2 7 3" xfId="4840" xr:uid="{00000000-0005-0000-0000-00005A120000}"/>
    <cellStyle name="Вывод 2 2 7 4" xfId="8849" xr:uid="{ACC27325-E861-4AAA-BD5D-7A4D33E751F5}"/>
    <cellStyle name="Вывод 2 2 7 5" xfId="12740" xr:uid="{4B426DDA-183A-4C02-AD69-29FB024BCED7}"/>
    <cellStyle name="Вывод 2 2 8" xfId="2309" xr:uid="{00000000-0005-0000-0000-00005B120000}"/>
    <cellStyle name="Вывод 2 2 8 2" xfId="6206" xr:uid="{00000000-0005-0000-0000-00005C120000}"/>
    <cellStyle name="Вывод 2 2 8 3" xfId="10215" xr:uid="{75B6F88F-78B0-454B-A464-8CDBAA46E693}"/>
    <cellStyle name="Вывод 2 2 9" xfId="2884" xr:uid="{00000000-0005-0000-0000-00005D120000}"/>
    <cellStyle name="Вывод 2 2 9 2" xfId="6778" xr:uid="{00000000-0005-0000-0000-00005E120000}"/>
    <cellStyle name="Вывод 2 2 9 3" xfId="10787" xr:uid="{030759ED-B406-4DE1-A80D-8645BE375096}"/>
    <cellStyle name="Вывод 2 3" xfId="148" xr:uid="{00000000-0005-0000-0000-00005F120000}"/>
    <cellStyle name="Вывод 2 3 10" xfId="8089" xr:uid="{F2E95D2A-BA60-447F-9042-9628C669CB58}"/>
    <cellStyle name="Вывод 2 3 11" xfId="11980" xr:uid="{CF6CEE2F-2B27-47E2-85D2-ED993FF64E89}"/>
    <cellStyle name="Вывод 2 3 12" xfId="13416" xr:uid="{904BEC84-02E2-47EC-9508-1FAE93A5E262}"/>
    <cellStyle name="Вывод 2 3 2" xfId="258" xr:uid="{00000000-0005-0000-0000-000060120000}"/>
    <cellStyle name="Вывод 2 3 2 10" xfId="13507" xr:uid="{3A1E2D7C-D49B-4700-B88B-7C0DD33CD0AE}"/>
    <cellStyle name="Вывод 2 3 2 2" xfId="415" xr:uid="{00000000-0005-0000-0000-000061120000}"/>
    <cellStyle name="Вывод 2 3 2 2 2" xfId="745" xr:uid="{00000000-0005-0000-0000-000062120000}"/>
    <cellStyle name="Вывод 2 3 2 2 2 2" xfId="1526" xr:uid="{00000000-0005-0000-0000-000063120000}"/>
    <cellStyle name="Вывод 2 3 2 2 2 2 2" xfId="2353" xr:uid="{00000000-0005-0000-0000-000064120000}"/>
    <cellStyle name="Вывод 2 3 2 2 2 2 2 2" xfId="6250" xr:uid="{00000000-0005-0000-0000-000065120000}"/>
    <cellStyle name="Вывод 2 3 2 2 2 2 2 3" xfId="10259" xr:uid="{1EB0F225-FE3C-4CA6-8EA3-E13D26BC1CEE}"/>
    <cellStyle name="Вывод 2 3 2 2 2 2 3" xfId="5427" xr:uid="{00000000-0005-0000-0000-000066120000}"/>
    <cellStyle name="Вывод 2 3 2 2 2 2 4" xfId="9436" xr:uid="{B6350B91-A95A-4303-90C7-F49D2B66766F}"/>
    <cellStyle name="Вывод 2 3 2 2 2 2 5" xfId="13327" xr:uid="{1275E19D-2569-4B8C-A090-FC91D76837AB}"/>
    <cellStyle name="Вывод 2 3 2 2 2 3" xfId="2352" xr:uid="{00000000-0005-0000-0000-000067120000}"/>
    <cellStyle name="Вывод 2 3 2 2 2 3 2" xfId="6249" xr:uid="{00000000-0005-0000-0000-000068120000}"/>
    <cellStyle name="Вывод 2 3 2 2 2 3 3" xfId="10258" xr:uid="{3734838B-1230-4472-82FD-ABF2674BF13D}"/>
    <cellStyle name="Вывод 2 3 2 2 2 4" xfId="3471" xr:uid="{00000000-0005-0000-0000-000069120000}"/>
    <cellStyle name="Вывод 2 3 2 2 2 4 2" xfId="7365" xr:uid="{00000000-0005-0000-0000-00006A120000}"/>
    <cellStyle name="Вывод 2 3 2 2 2 4 3" xfId="11374" xr:uid="{0392824B-6BC3-4993-B34A-8A478B8E5E4C}"/>
    <cellStyle name="Вывод 2 3 2 2 2 5" xfId="4649" xr:uid="{00000000-0005-0000-0000-00006B120000}"/>
    <cellStyle name="Вывод 2 3 2 2 2 6" xfId="8658" xr:uid="{606C10D3-1F2C-4681-A19E-62CB0EE58E90}"/>
    <cellStyle name="Вывод 2 3 2 2 2 7" xfId="12549" xr:uid="{38074B03-4114-401E-80D5-6D9158BC2014}"/>
    <cellStyle name="Вывод 2 3 2 2 3" xfId="1205" xr:uid="{00000000-0005-0000-0000-00006C120000}"/>
    <cellStyle name="Вывод 2 3 2 2 3 2" xfId="2354" xr:uid="{00000000-0005-0000-0000-00006D120000}"/>
    <cellStyle name="Вывод 2 3 2 2 3 2 2" xfId="6251" xr:uid="{00000000-0005-0000-0000-00006E120000}"/>
    <cellStyle name="Вывод 2 3 2 2 3 2 3" xfId="10260" xr:uid="{E60186DB-FE5B-45F0-8FA4-D85675990299}"/>
    <cellStyle name="Вывод 2 3 2 2 3 3" xfId="5106" xr:uid="{00000000-0005-0000-0000-00006F120000}"/>
    <cellStyle name="Вывод 2 3 2 2 3 4" xfId="9115" xr:uid="{51B31099-A7BB-4440-8370-289FBC65F797}"/>
    <cellStyle name="Вывод 2 3 2 2 3 5" xfId="13006" xr:uid="{AC80F8B8-4E8D-4022-98A1-FE617C46C3F7}"/>
    <cellStyle name="Вывод 2 3 2 2 4" xfId="2351" xr:uid="{00000000-0005-0000-0000-000070120000}"/>
    <cellStyle name="Вывод 2 3 2 2 4 2" xfId="6248" xr:uid="{00000000-0005-0000-0000-000071120000}"/>
    <cellStyle name="Вывод 2 3 2 2 4 3" xfId="10257" xr:uid="{DBEAA217-36F6-4910-BB6B-2BD9E5DB18B0}"/>
    <cellStyle name="Вывод 2 3 2 2 5" xfId="3150" xr:uid="{00000000-0005-0000-0000-000072120000}"/>
    <cellStyle name="Вывод 2 3 2 2 5 2" xfId="7044" xr:uid="{00000000-0005-0000-0000-000073120000}"/>
    <cellStyle name="Вывод 2 3 2 2 5 3" xfId="11053" xr:uid="{0C1E419B-C65D-4224-8054-58FC81A5A232}"/>
    <cellStyle name="Вывод 2 3 2 2 6" xfId="4328" xr:uid="{00000000-0005-0000-0000-000074120000}"/>
    <cellStyle name="Вывод 2 3 2 2 7" xfId="8337" xr:uid="{8FA36C68-AE6A-4F00-95F9-8FB7895D95F6}"/>
    <cellStyle name="Вывод 2 3 2 2 8" xfId="12228" xr:uid="{5CE89BA3-0959-40CE-ADC4-31D257CE9C18}"/>
    <cellStyle name="Вывод 2 3 2 3" xfId="588" xr:uid="{00000000-0005-0000-0000-000075120000}"/>
    <cellStyle name="Вывод 2 3 2 3 2" xfId="1369" xr:uid="{00000000-0005-0000-0000-000076120000}"/>
    <cellStyle name="Вывод 2 3 2 3 2 2" xfId="2356" xr:uid="{00000000-0005-0000-0000-000077120000}"/>
    <cellStyle name="Вывод 2 3 2 3 2 2 2" xfId="6253" xr:uid="{00000000-0005-0000-0000-000078120000}"/>
    <cellStyle name="Вывод 2 3 2 3 2 2 3" xfId="10262" xr:uid="{505D403A-5BD1-4A13-B5F5-F386BE0A65B5}"/>
    <cellStyle name="Вывод 2 3 2 3 2 3" xfId="5270" xr:uid="{00000000-0005-0000-0000-000079120000}"/>
    <cellStyle name="Вывод 2 3 2 3 2 4" xfId="9279" xr:uid="{7EA22EEE-0609-4A66-908E-5C9ED4EB566E}"/>
    <cellStyle name="Вывод 2 3 2 3 2 5" xfId="13170" xr:uid="{5215572A-1B67-40BA-A84B-17D0AE5196B1}"/>
    <cellStyle name="Вывод 2 3 2 3 3" xfId="2355" xr:uid="{00000000-0005-0000-0000-00007A120000}"/>
    <cellStyle name="Вывод 2 3 2 3 3 2" xfId="6252" xr:uid="{00000000-0005-0000-0000-00007B120000}"/>
    <cellStyle name="Вывод 2 3 2 3 3 3" xfId="10261" xr:uid="{95D2A47C-79F4-449C-9F58-877528631E43}"/>
    <cellStyle name="Вывод 2 3 2 3 4" xfId="3314" xr:uid="{00000000-0005-0000-0000-00007C120000}"/>
    <cellStyle name="Вывод 2 3 2 3 4 2" xfId="7208" xr:uid="{00000000-0005-0000-0000-00007D120000}"/>
    <cellStyle name="Вывод 2 3 2 3 4 3" xfId="11217" xr:uid="{3E654BB5-1DCE-4CF6-8341-94CC1565911E}"/>
    <cellStyle name="Вывод 2 3 2 3 5" xfId="4492" xr:uid="{00000000-0005-0000-0000-00007E120000}"/>
    <cellStyle name="Вывод 2 3 2 3 6" xfId="8501" xr:uid="{79DF4952-E36E-4ADA-86E5-8FAE951FFC39}"/>
    <cellStyle name="Вывод 2 3 2 3 7" xfId="12392" xr:uid="{83A78208-39C7-4120-8A14-D8B6BFB6D69F}"/>
    <cellStyle name="Вывод 2 3 2 4" xfId="1048" xr:uid="{00000000-0005-0000-0000-00007F120000}"/>
    <cellStyle name="Вывод 2 3 2 4 2" xfId="2357" xr:uid="{00000000-0005-0000-0000-000080120000}"/>
    <cellStyle name="Вывод 2 3 2 4 2 2" xfId="6254" xr:uid="{00000000-0005-0000-0000-000081120000}"/>
    <cellStyle name="Вывод 2 3 2 4 2 3" xfId="10263" xr:uid="{47901BDB-375C-4A09-9502-99E3F5C163B6}"/>
    <cellStyle name="Вывод 2 3 2 4 3" xfId="4949" xr:uid="{00000000-0005-0000-0000-000082120000}"/>
    <cellStyle name="Вывод 2 3 2 4 4" xfId="8958" xr:uid="{335374AC-06FC-41B2-9D8E-0EAB02D79F51}"/>
    <cellStyle name="Вывод 2 3 2 4 5" xfId="12849" xr:uid="{68D8C80A-E0A1-4223-A9C5-721178D503AB}"/>
    <cellStyle name="Вывод 2 3 2 5" xfId="2350" xr:uid="{00000000-0005-0000-0000-000083120000}"/>
    <cellStyle name="Вывод 2 3 2 5 2" xfId="6247" xr:uid="{00000000-0005-0000-0000-000084120000}"/>
    <cellStyle name="Вывод 2 3 2 5 3" xfId="10256" xr:uid="{CD20A5CD-8823-4D74-A9DF-C21F87DC7AED}"/>
    <cellStyle name="Вывод 2 3 2 6" xfId="2993" xr:uid="{00000000-0005-0000-0000-000085120000}"/>
    <cellStyle name="Вывод 2 3 2 6 2" xfId="6887" xr:uid="{00000000-0005-0000-0000-000086120000}"/>
    <cellStyle name="Вывод 2 3 2 6 3" xfId="10896" xr:uid="{B3A5853E-0DA3-4740-A900-2760F1F51F3B}"/>
    <cellStyle name="Вывод 2 3 2 7" xfId="4171" xr:uid="{00000000-0005-0000-0000-000087120000}"/>
    <cellStyle name="Вывод 2 3 2 8" xfId="8180" xr:uid="{E0B48EF6-C50F-4027-9DD8-546B70F4A2AA}"/>
    <cellStyle name="Вывод 2 3 2 9" xfId="12071" xr:uid="{8BF7B289-9700-41CE-93FC-8A36FE9CCD36}"/>
    <cellStyle name="Вывод 2 3 3" xfId="193" xr:uid="{00000000-0005-0000-0000-000088120000}"/>
    <cellStyle name="Вывод 2 3 3 2" xfId="523" xr:uid="{00000000-0005-0000-0000-000089120000}"/>
    <cellStyle name="Вывод 2 3 3 2 2" xfId="1304" xr:uid="{00000000-0005-0000-0000-00008A120000}"/>
    <cellStyle name="Вывод 2 3 3 2 2 2" xfId="2360" xr:uid="{00000000-0005-0000-0000-00008B120000}"/>
    <cellStyle name="Вывод 2 3 3 2 2 2 2" xfId="6257" xr:uid="{00000000-0005-0000-0000-00008C120000}"/>
    <cellStyle name="Вывод 2 3 3 2 2 2 3" xfId="10266" xr:uid="{E742F481-8EFC-4603-8B9E-ED2B9948B037}"/>
    <cellStyle name="Вывод 2 3 3 2 2 3" xfId="5205" xr:uid="{00000000-0005-0000-0000-00008D120000}"/>
    <cellStyle name="Вывод 2 3 3 2 2 4" xfId="9214" xr:uid="{0322E776-91A0-4EFD-B74D-F58017F75B4F}"/>
    <cellStyle name="Вывод 2 3 3 2 2 5" xfId="13105" xr:uid="{5C418350-0B9F-458C-83D0-7C5784A8E126}"/>
    <cellStyle name="Вывод 2 3 3 2 3" xfId="2359" xr:uid="{00000000-0005-0000-0000-00008E120000}"/>
    <cellStyle name="Вывод 2 3 3 2 3 2" xfId="6256" xr:uid="{00000000-0005-0000-0000-00008F120000}"/>
    <cellStyle name="Вывод 2 3 3 2 3 3" xfId="10265" xr:uid="{97063649-0F32-4A42-8A94-0C5A1FD2556E}"/>
    <cellStyle name="Вывод 2 3 3 2 4" xfId="3249" xr:uid="{00000000-0005-0000-0000-000090120000}"/>
    <cellStyle name="Вывод 2 3 3 2 4 2" xfId="7143" xr:uid="{00000000-0005-0000-0000-000091120000}"/>
    <cellStyle name="Вывод 2 3 3 2 4 3" xfId="11152" xr:uid="{5A5800EF-A837-4D96-938E-212C8CCC9EBE}"/>
    <cellStyle name="Вывод 2 3 3 2 5" xfId="4427" xr:uid="{00000000-0005-0000-0000-000092120000}"/>
    <cellStyle name="Вывод 2 3 3 2 6" xfId="8436" xr:uid="{AE6C9332-CC0C-47F8-ADC3-FC5074DC223F}"/>
    <cellStyle name="Вывод 2 3 3 2 7" xfId="12327" xr:uid="{CAEE5056-A3A4-4EFB-9A44-56A64F4B9241}"/>
    <cellStyle name="Вывод 2 3 3 3" xfId="983" xr:uid="{00000000-0005-0000-0000-000093120000}"/>
    <cellStyle name="Вывод 2 3 3 3 2" xfId="2361" xr:uid="{00000000-0005-0000-0000-000094120000}"/>
    <cellStyle name="Вывод 2 3 3 3 2 2" xfId="6258" xr:uid="{00000000-0005-0000-0000-000095120000}"/>
    <cellStyle name="Вывод 2 3 3 3 2 3" xfId="10267" xr:uid="{4DEDDD39-8177-44C2-AE27-188ECD660196}"/>
    <cellStyle name="Вывод 2 3 3 3 3" xfId="4884" xr:uid="{00000000-0005-0000-0000-000096120000}"/>
    <cellStyle name="Вывод 2 3 3 3 4" xfId="8893" xr:uid="{946FC49E-EC3B-4749-A11C-7ACCAD87DCD4}"/>
    <cellStyle name="Вывод 2 3 3 3 5" xfId="12784" xr:uid="{4AD21F5A-EFAD-47E5-B365-38082371F52E}"/>
    <cellStyle name="Вывод 2 3 3 4" xfId="2358" xr:uid="{00000000-0005-0000-0000-000097120000}"/>
    <cellStyle name="Вывод 2 3 3 4 2" xfId="6255" xr:uid="{00000000-0005-0000-0000-000098120000}"/>
    <cellStyle name="Вывод 2 3 3 4 3" xfId="10264" xr:uid="{D33FFD1A-3B88-40D4-8C71-E4CAE9C5EF65}"/>
    <cellStyle name="Вывод 2 3 3 5" xfId="2928" xr:uid="{00000000-0005-0000-0000-000099120000}"/>
    <cellStyle name="Вывод 2 3 3 5 2" xfId="6822" xr:uid="{00000000-0005-0000-0000-00009A120000}"/>
    <cellStyle name="Вывод 2 3 3 5 3" xfId="10831" xr:uid="{30AF027A-2C81-4CB7-920A-576719C726E1}"/>
    <cellStyle name="Вывод 2 3 3 6" xfId="4106" xr:uid="{00000000-0005-0000-0000-00009B120000}"/>
    <cellStyle name="Вывод 2 3 3 7" xfId="8115" xr:uid="{6E1DD376-EF44-4BAA-A876-F57BC3B28966}"/>
    <cellStyle name="Вывод 2 3 3 8" xfId="12006" xr:uid="{3697166C-9F5F-42F5-9A5A-9703F8925CB0}"/>
    <cellStyle name="Вывод 2 3 3 9" xfId="13442" xr:uid="{2B7DD6FC-E611-42B5-893D-75FFCF822EF9}"/>
    <cellStyle name="Вывод 2 3 4" xfId="332" xr:uid="{00000000-0005-0000-0000-00009C120000}"/>
    <cellStyle name="Вывод 2 3 4 2" xfId="662" xr:uid="{00000000-0005-0000-0000-00009D120000}"/>
    <cellStyle name="Вывод 2 3 4 2 2" xfId="1443" xr:uid="{00000000-0005-0000-0000-00009E120000}"/>
    <cellStyle name="Вывод 2 3 4 2 2 2" xfId="2364" xr:uid="{00000000-0005-0000-0000-00009F120000}"/>
    <cellStyle name="Вывод 2 3 4 2 2 2 2" xfId="6261" xr:uid="{00000000-0005-0000-0000-0000A0120000}"/>
    <cellStyle name="Вывод 2 3 4 2 2 2 3" xfId="10270" xr:uid="{F3DC7292-B53E-4734-95C1-68DA7919437C}"/>
    <cellStyle name="Вывод 2 3 4 2 2 3" xfId="5344" xr:uid="{00000000-0005-0000-0000-0000A1120000}"/>
    <cellStyle name="Вывод 2 3 4 2 2 4" xfId="9353" xr:uid="{790C36AC-C512-40A5-99BA-577B1DF22A8B}"/>
    <cellStyle name="Вывод 2 3 4 2 2 5" xfId="13244" xr:uid="{C82DE376-2568-498B-9DBC-75339EA93A31}"/>
    <cellStyle name="Вывод 2 3 4 2 3" xfId="2363" xr:uid="{00000000-0005-0000-0000-0000A2120000}"/>
    <cellStyle name="Вывод 2 3 4 2 3 2" xfId="6260" xr:uid="{00000000-0005-0000-0000-0000A3120000}"/>
    <cellStyle name="Вывод 2 3 4 2 3 3" xfId="10269" xr:uid="{D6943320-5797-4D66-8AE6-F2C5452E5BDA}"/>
    <cellStyle name="Вывод 2 3 4 2 4" xfId="3388" xr:uid="{00000000-0005-0000-0000-0000A4120000}"/>
    <cellStyle name="Вывод 2 3 4 2 4 2" xfId="7282" xr:uid="{00000000-0005-0000-0000-0000A5120000}"/>
    <cellStyle name="Вывод 2 3 4 2 4 3" xfId="11291" xr:uid="{6A11AE46-80B6-465E-862F-789728AFF4CC}"/>
    <cellStyle name="Вывод 2 3 4 2 5" xfId="4566" xr:uid="{00000000-0005-0000-0000-0000A6120000}"/>
    <cellStyle name="Вывод 2 3 4 2 6" xfId="8575" xr:uid="{3EFAA416-B4EB-46BE-83CD-9F9AB1CC805D}"/>
    <cellStyle name="Вывод 2 3 4 2 7" xfId="12466" xr:uid="{B8B3F022-45AE-4D42-9D24-FC8DD973AD60}"/>
    <cellStyle name="Вывод 2 3 4 3" xfId="1122" xr:uid="{00000000-0005-0000-0000-0000A7120000}"/>
    <cellStyle name="Вывод 2 3 4 3 2" xfId="2365" xr:uid="{00000000-0005-0000-0000-0000A8120000}"/>
    <cellStyle name="Вывод 2 3 4 3 2 2" xfId="6262" xr:uid="{00000000-0005-0000-0000-0000A9120000}"/>
    <cellStyle name="Вывод 2 3 4 3 2 3" xfId="10271" xr:uid="{31337B4B-0FCE-4115-A067-30DEA763949B}"/>
    <cellStyle name="Вывод 2 3 4 3 3" xfId="5023" xr:uid="{00000000-0005-0000-0000-0000AA120000}"/>
    <cellStyle name="Вывод 2 3 4 3 4" xfId="9032" xr:uid="{24BE526E-CE1D-4477-8FE2-E801ACC8CBA2}"/>
    <cellStyle name="Вывод 2 3 4 3 5" xfId="12923" xr:uid="{EEF05977-D177-4D2A-B54F-35E7F327C84F}"/>
    <cellStyle name="Вывод 2 3 4 4" xfId="2362" xr:uid="{00000000-0005-0000-0000-0000AB120000}"/>
    <cellStyle name="Вывод 2 3 4 4 2" xfId="6259" xr:uid="{00000000-0005-0000-0000-0000AC120000}"/>
    <cellStyle name="Вывод 2 3 4 4 3" xfId="10268" xr:uid="{45F2AB00-0C21-414F-9CF0-884BB3CE37B5}"/>
    <cellStyle name="Вывод 2 3 4 5" xfId="3067" xr:uid="{00000000-0005-0000-0000-0000AD120000}"/>
    <cellStyle name="Вывод 2 3 4 5 2" xfId="6961" xr:uid="{00000000-0005-0000-0000-0000AE120000}"/>
    <cellStyle name="Вывод 2 3 4 5 3" xfId="10970" xr:uid="{8F7926B1-C652-4B34-BF20-67A9876CE848}"/>
    <cellStyle name="Вывод 2 3 4 6" xfId="4245" xr:uid="{00000000-0005-0000-0000-0000AF120000}"/>
    <cellStyle name="Вывод 2 3 4 7" xfId="8254" xr:uid="{1E357C0F-C368-47D2-81FB-9CCE7594A4CA}"/>
    <cellStyle name="Вывод 2 3 4 8" xfId="12145" xr:uid="{E73E17E5-A44C-460B-A583-F567D8F72087}"/>
    <cellStyle name="Вывод 2 3 5" xfId="494" xr:uid="{00000000-0005-0000-0000-0000B0120000}"/>
    <cellStyle name="Вывод 2 3 5 2" xfId="1278" xr:uid="{00000000-0005-0000-0000-0000B1120000}"/>
    <cellStyle name="Вывод 2 3 5 2 2" xfId="2367" xr:uid="{00000000-0005-0000-0000-0000B2120000}"/>
    <cellStyle name="Вывод 2 3 5 2 2 2" xfId="6264" xr:uid="{00000000-0005-0000-0000-0000B3120000}"/>
    <cellStyle name="Вывод 2 3 5 2 2 3" xfId="10273" xr:uid="{E4CD1206-5884-4B86-AFDC-B028CC413796}"/>
    <cellStyle name="Вывод 2 3 5 2 3" xfId="5179" xr:uid="{00000000-0005-0000-0000-0000B4120000}"/>
    <cellStyle name="Вывод 2 3 5 2 4" xfId="9188" xr:uid="{2394564F-96DA-480D-9D05-4197EC74BFF2}"/>
    <cellStyle name="Вывод 2 3 5 2 5" xfId="13079" xr:uid="{4FE29B9B-C74E-4F88-AF0E-243C86DCAA95}"/>
    <cellStyle name="Вывод 2 3 5 3" xfId="2366" xr:uid="{00000000-0005-0000-0000-0000B5120000}"/>
    <cellStyle name="Вывод 2 3 5 3 2" xfId="6263" xr:uid="{00000000-0005-0000-0000-0000B6120000}"/>
    <cellStyle name="Вывод 2 3 5 3 3" xfId="10272" xr:uid="{52E49615-39B0-401E-9E70-D7E688C45BFE}"/>
    <cellStyle name="Вывод 2 3 5 4" xfId="3223" xr:uid="{00000000-0005-0000-0000-0000B7120000}"/>
    <cellStyle name="Вывод 2 3 5 4 2" xfId="7117" xr:uid="{00000000-0005-0000-0000-0000B8120000}"/>
    <cellStyle name="Вывод 2 3 5 4 3" xfId="11126" xr:uid="{D0102EB6-71F1-4CBB-AAC3-8D7F415DFEAE}"/>
    <cellStyle name="Вывод 2 3 5 5" xfId="4401" xr:uid="{00000000-0005-0000-0000-0000B9120000}"/>
    <cellStyle name="Вывод 2 3 5 6" xfId="8410" xr:uid="{1CCABC2F-E9B5-4111-AF18-C81C641A7864}"/>
    <cellStyle name="Вывод 2 3 5 7" xfId="12301" xr:uid="{95087A4D-DD11-4FAB-B7CE-996E6EFF9731}"/>
    <cellStyle name="Вывод 2 3 6" xfId="957" xr:uid="{00000000-0005-0000-0000-0000BA120000}"/>
    <cellStyle name="Вывод 2 3 6 2" xfId="2368" xr:uid="{00000000-0005-0000-0000-0000BB120000}"/>
    <cellStyle name="Вывод 2 3 6 2 2" xfId="6265" xr:uid="{00000000-0005-0000-0000-0000BC120000}"/>
    <cellStyle name="Вывод 2 3 6 2 3" xfId="10274" xr:uid="{9E811B19-5034-40E3-BF41-CF9FBA31EAF1}"/>
    <cellStyle name="Вывод 2 3 6 3" xfId="4858" xr:uid="{00000000-0005-0000-0000-0000BD120000}"/>
    <cellStyle name="Вывод 2 3 6 4" xfId="8867" xr:uid="{78807B63-309A-4A16-A9C7-F41B76D39983}"/>
    <cellStyle name="Вывод 2 3 6 5" xfId="12758" xr:uid="{9E245842-61C5-4CF7-8162-BA02B7B7E6F5}"/>
    <cellStyle name="Вывод 2 3 7" xfId="2349" xr:uid="{00000000-0005-0000-0000-0000BE120000}"/>
    <cellStyle name="Вывод 2 3 7 2" xfId="6246" xr:uid="{00000000-0005-0000-0000-0000BF120000}"/>
    <cellStyle name="Вывод 2 3 7 3" xfId="10255" xr:uid="{A71E7915-2251-4D26-AE19-F9420B947A1F}"/>
    <cellStyle name="Вывод 2 3 8" xfId="2902" xr:uid="{00000000-0005-0000-0000-0000C0120000}"/>
    <cellStyle name="Вывод 2 3 8 2" xfId="6796" xr:uid="{00000000-0005-0000-0000-0000C1120000}"/>
    <cellStyle name="Вывод 2 3 8 3" xfId="10805" xr:uid="{C1D4B406-AB29-4795-8D2D-654909202A25}"/>
    <cellStyle name="Вывод 2 3 9" xfId="4080" xr:uid="{00000000-0005-0000-0000-0000C2120000}"/>
    <cellStyle name="Вывод 2 4" xfId="136" xr:uid="{00000000-0005-0000-0000-0000C3120000}"/>
    <cellStyle name="Вывод 2 4 10" xfId="4074" xr:uid="{00000000-0005-0000-0000-0000C4120000}"/>
    <cellStyle name="Вывод 2 4 11" xfId="8083" xr:uid="{D77AFE31-4D2F-403D-836B-E36162518935}"/>
    <cellStyle name="Вывод 2 4 12" xfId="11974" xr:uid="{4E6C814D-6449-4475-9506-301D4180F18F}"/>
    <cellStyle name="Вывод 2 4 13" xfId="13410" xr:uid="{362D4C54-19E1-4941-87D0-0E0A7C694239}"/>
    <cellStyle name="Вывод 2 4 2" xfId="183" xr:uid="{00000000-0005-0000-0000-0000C5120000}"/>
    <cellStyle name="Вывод 2 4 2 10" xfId="8108" xr:uid="{E2E193C4-4EC1-4CB0-BF20-242245080FC5}"/>
    <cellStyle name="Вывод 2 4 2 11" xfId="11999" xr:uid="{B6254E14-0CB0-4614-AC0A-BE9140D7E44B}"/>
    <cellStyle name="Вывод 2 4 2 12" xfId="13435" xr:uid="{1E520B2C-72E2-469B-B70C-8372B7C67499}"/>
    <cellStyle name="Вывод 2 4 2 2" xfId="284" xr:uid="{00000000-0005-0000-0000-0000C6120000}"/>
    <cellStyle name="Вывод 2 4 2 2 10" xfId="13533" xr:uid="{C631109D-7C04-465E-851B-824F938404C8}"/>
    <cellStyle name="Вывод 2 4 2 2 2" xfId="440" xr:uid="{00000000-0005-0000-0000-0000C7120000}"/>
    <cellStyle name="Вывод 2 4 2 2 2 2" xfId="770" xr:uid="{00000000-0005-0000-0000-0000C8120000}"/>
    <cellStyle name="Вывод 2 4 2 2 2 2 2" xfId="1551" xr:uid="{00000000-0005-0000-0000-0000C9120000}"/>
    <cellStyle name="Вывод 2 4 2 2 2 2 2 2" xfId="2374" xr:uid="{00000000-0005-0000-0000-0000CA120000}"/>
    <cellStyle name="Вывод 2 4 2 2 2 2 2 2 2" xfId="6271" xr:uid="{00000000-0005-0000-0000-0000CB120000}"/>
    <cellStyle name="Вывод 2 4 2 2 2 2 2 2 3" xfId="10280" xr:uid="{F8369284-F5E2-495F-B2AA-A8588AA095CC}"/>
    <cellStyle name="Вывод 2 4 2 2 2 2 2 3" xfId="5452" xr:uid="{00000000-0005-0000-0000-0000CC120000}"/>
    <cellStyle name="Вывод 2 4 2 2 2 2 2 4" xfId="9461" xr:uid="{EAFEFBFC-1189-4C9E-8853-753A5DBF8D91}"/>
    <cellStyle name="Вывод 2 4 2 2 2 2 2 5" xfId="13352" xr:uid="{2C303790-FCA4-4FCE-9EE3-D89C6B145588}"/>
    <cellStyle name="Вывод 2 4 2 2 2 2 3" xfId="2373" xr:uid="{00000000-0005-0000-0000-0000CD120000}"/>
    <cellStyle name="Вывод 2 4 2 2 2 2 3 2" xfId="6270" xr:uid="{00000000-0005-0000-0000-0000CE120000}"/>
    <cellStyle name="Вывод 2 4 2 2 2 2 3 3" xfId="10279" xr:uid="{89EC1999-ECC4-41C7-96DB-187DE0F837A1}"/>
    <cellStyle name="Вывод 2 4 2 2 2 2 4" xfId="3496" xr:uid="{00000000-0005-0000-0000-0000CF120000}"/>
    <cellStyle name="Вывод 2 4 2 2 2 2 4 2" xfId="7390" xr:uid="{00000000-0005-0000-0000-0000D0120000}"/>
    <cellStyle name="Вывод 2 4 2 2 2 2 4 3" xfId="11399" xr:uid="{C5F3495F-1AEE-41F6-A218-D390A6C6E527}"/>
    <cellStyle name="Вывод 2 4 2 2 2 2 5" xfId="4674" xr:uid="{00000000-0005-0000-0000-0000D1120000}"/>
    <cellStyle name="Вывод 2 4 2 2 2 2 6" xfId="8683" xr:uid="{8B562160-AEE6-457E-AABC-B5E21C2E13EF}"/>
    <cellStyle name="Вывод 2 4 2 2 2 2 7" xfId="12574" xr:uid="{85A4523F-00CA-492D-84CC-BB68F41F065B}"/>
    <cellStyle name="Вывод 2 4 2 2 2 3" xfId="1230" xr:uid="{00000000-0005-0000-0000-0000D2120000}"/>
    <cellStyle name="Вывод 2 4 2 2 2 3 2" xfId="2375" xr:uid="{00000000-0005-0000-0000-0000D3120000}"/>
    <cellStyle name="Вывод 2 4 2 2 2 3 2 2" xfId="6272" xr:uid="{00000000-0005-0000-0000-0000D4120000}"/>
    <cellStyle name="Вывод 2 4 2 2 2 3 2 3" xfId="10281" xr:uid="{B5037A41-C945-4F99-9805-45A5C575006C}"/>
    <cellStyle name="Вывод 2 4 2 2 2 3 3" xfId="5131" xr:uid="{00000000-0005-0000-0000-0000D5120000}"/>
    <cellStyle name="Вывод 2 4 2 2 2 3 4" xfId="9140" xr:uid="{F6D6BC30-CE72-49D8-8892-491E0BFDD00C}"/>
    <cellStyle name="Вывод 2 4 2 2 2 3 5" xfId="13031" xr:uid="{2F291B52-32E8-4D9C-AFA9-6A0B2F9362E4}"/>
    <cellStyle name="Вывод 2 4 2 2 2 4" xfId="2372" xr:uid="{00000000-0005-0000-0000-0000D6120000}"/>
    <cellStyle name="Вывод 2 4 2 2 2 4 2" xfId="6269" xr:uid="{00000000-0005-0000-0000-0000D7120000}"/>
    <cellStyle name="Вывод 2 4 2 2 2 4 3" xfId="10278" xr:uid="{E50A37B3-2ABE-4615-9D7E-88E9A9861E9F}"/>
    <cellStyle name="Вывод 2 4 2 2 2 5" xfId="3175" xr:uid="{00000000-0005-0000-0000-0000D8120000}"/>
    <cellStyle name="Вывод 2 4 2 2 2 5 2" xfId="7069" xr:uid="{00000000-0005-0000-0000-0000D9120000}"/>
    <cellStyle name="Вывод 2 4 2 2 2 5 3" xfId="11078" xr:uid="{22C57186-E817-4CA2-9B76-1257BECCDEA4}"/>
    <cellStyle name="Вывод 2 4 2 2 2 6" xfId="4353" xr:uid="{00000000-0005-0000-0000-0000DA120000}"/>
    <cellStyle name="Вывод 2 4 2 2 2 7" xfId="8362" xr:uid="{F9848E06-7667-4AD8-9C84-800B74A4A1DC}"/>
    <cellStyle name="Вывод 2 4 2 2 2 8" xfId="12253" xr:uid="{5F6A36EE-755B-471D-97D6-6452036DE005}"/>
    <cellStyle name="Вывод 2 4 2 2 3" xfId="614" xr:uid="{00000000-0005-0000-0000-0000DB120000}"/>
    <cellStyle name="Вывод 2 4 2 2 3 2" xfId="1395" xr:uid="{00000000-0005-0000-0000-0000DC120000}"/>
    <cellStyle name="Вывод 2 4 2 2 3 2 2" xfId="2377" xr:uid="{00000000-0005-0000-0000-0000DD120000}"/>
    <cellStyle name="Вывод 2 4 2 2 3 2 2 2" xfId="6274" xr:uid="{00000000-0005-0000-0000-0000DE120000}"/>
    <cellStyle name="Вывод 2 4 2 2 3 2 2 3" xfId="10283" xr:uid="{2B05AC76-61BC-4583-9AB9-7A944C7724B9}"/>
    <cellStyle name="Вывод 2 4 2 2 3 2 3" xfId="5296" xr:uid="{00000000-0005-0000-0000-0000DF120000}"/>
    <cellStyle name="Вывод 2 4 2 2 3 2 4" xfId="9305" xr:uid="{C79C8295-6119-4E0C-B9D6-65351B7A3C75}"/>
    <cellStyle name="Вывод 2 4 2 2 3 2 5" xfId="13196" xr:uid="{6E0440A2-B0A7-4EFC-9D3E-7C2EDDBBB4D6}"/>
    <cellStyle name="Вывод 2 4 2 2 3 3" xfId="2376" xr:uid="{00000000-0005-0000-0000-0000E0120000}"/>
    <cellStyle name="Вывод 2 4 2 2 3 3 2" xfId="6273" xr:uid="{00000000-0005-0000-0000-0000E1120000}"/>
    <cellStyle name="Вывод 2 4 2 2 3 3 3" xfId="10282" xr:uid="{D17897D3-9159-408D-91C4-8FDE00527171}"/>
    <cellStyle name="Вывод 2 4 2 2 3 4" xfId="3340" xr:uid="{00000000-0005-0000-0000-0000E2120000}"/>
    <cellStyle name="Вывод 2 4 2 2 3 4 2" xfId="7234" xr:uid="{00000000-0005-0000-0000-0000E3120000}"/>
    <cellStyle name="Вывод 2 4 2 2 3 4 3" xfId="11243" xr:uid="{260A0D02-103F-44C1-A0F1-E99DA6C2D9E5}"/>
    <cellStyle name="Вывод 2 4 2 2 3 5" xfId="4518" xr:uid="{00000000-0005-0000-0000-0000E4120000}"/>
    <cellStyle name="Вывод 2 4 2 2 3 6" xfId="8527" xr:uid="{2465AB2E-6C71-4110-982D-0E1B561DA409}"/>
    <cellStyle name="Вывод 2 4 2 2 3 7" xfId="12418" xr:uid="{8BD2339D-40D2-4CF2-A85A-D3763E82DC9A}"/>
    <cellStyle name="Вывод 2 4 2 2 4" xfId="1074" xr:uid="{00000000-0005-0000-0000-0000E5120000}"/>
    <cellStyle name="Вывод 2 4 2 2 4 2" xfId="2378" xr:uid="{00000000-0005-0000-0000-0000E6120000}"/>
    <cellStyle name="Вывод 2 4 2 2 4 2 2" xfId="6275" xr:uid="{00000000-0005-0000-0000-0000E7120000}"/>
    <cellStyle name="Вывод 2 4 2 2 4 2 3" xfId="10284" xr:uid="{57E024FB-5072-4FA7-BE74-7D7DE33E73F5}"/>
    <cellStyle name="Вывод 2 4 2 2 4 3" xfId="4975" xr:uid="{00000000-0005-0000-0000-0000E8120000}"/>
    <cellStyle name="Вывод 2 4 2 2 4 4" xfId="8984" xr:uid="{D878E69D-522C-47BB-9C08-D92044271B34}"/>
    <cellStyle name="Вывод 2 4 2 2 4 5" xfId="12875" xr:uid="{9F14CF0A-9919-459A-99BD-A8C5F4999420}"/>
    <cellStyle name="Вывод 2 4 2 2 5" xfId="2371" xr:uid="{00000000-0005-0000-0000-0000E9120000}"/>
    <cellStyle name="Вывод 2 4 2 2 5 2" xfId="6268" xr:uid="{00000000-0005-0000-0000-0000EA120000}"/>
    <cellStyle name="Вывод 2 4 2 2 5 3" xfId="10277" xr:uid="{1C4286AE-C028-487A-964E-3C25F4AA69DC}"/>
    <cellStyle name="Вывод 2 4 2 2 6" xfId="3019" xr:uid="{00000000-0005-0000-0000-0000EB120000}"/>
    <cellStyle name="Вывод 2 4 2 2 6 2" xfId="6913" xr:uid="{00000000-0005-0000-0000-0000EC120000}"/>
    <cellStyle name="Вывод 2 4 2 2 6 3" xfId="10922" xr:uid="{67E94BB3-CE5D-4115-8BA4-B5BD8FFD5D79}"/>
    <cellStyle name="Вывод 2 4 2 2 7" xfId="4197" xr:uid="{00000000-0005-0000-0000-0000ED120000}"/>
    <cellStyle name="Вывод 2 4 2 2 8" xfId="8206" xr:uid="{D47948F9-8A1F-4296-B0E0-874ED3C350A1}"/>
    <cellStyle name="Вывод 2 4 2 2 9" xfId="12097" xr:uid="{612F6F50-5013-49D4-91F8-0EB96C815A7C}"/>
    <cellStyle name="Вывод 2 4 2 3" xfId="246" xr:uid="{00000000-0005-0000-0000-0000EE120000}"/>
    <cellStyle name="Вывод 2 4 2 3 2" xfId="576" xr:uid="{00000000-0005-0000-0000-0000EF120000}"/>
    <cellStyle name="Вывод 2 4 2 3 2 2" xfId="1357" xr:uid="{00000000-0005-0000-0000-0000F0120000}"/>
    <cellStyle name="Вывод 2 4 2 3 2 2 2" xfId="2381" xr:uid="{00000000-0005-0000-0000-0000F1120000}"/>
    <cellStyle name="Вывод 2 4 2 3 2 2 2 2" xfId="6278" xr:uid="{00000000-0005-0000-0000-0000F2120000}"/>
    <cellStyle name="Вывод 2 4 2 3 2 2 2 3" xfId="10287" xr:uid="{225E0A47-AC09-40F8-9435-8B820ABA1A3E}"/>
    <cellStyle name="Вывод 2 4 2 3 2 2 3" xfId="5258" xr:uid="{00000000-0005-0000-0000-0000F3120000}"/>
    <cellStyle name="Вывод 2 4 2 3 2 2 4" xfId="9267" xr:uid="{FB6100C7-9979-4859-B624-84BDF399D108}"/>
    <cellStyle name="Вывод 2 4 2 3 2 2 5" xfId="13158" xr:uid="{C3878029-615A-4511-9452-C96A3AE697C5}"/>
    <cellStyle name="Вывод 2 4 2 3 2 3" xfId="2380" xr:uid="{00000000-0005-0000-0000-0000F4120000}"/>
    <cellStyle name="Вывод 2 4 2 3 2 3 2" xfId="6277" xr:uid="{00000000-0005-0000-0000-0000F5120000}"/>
    <cellStyle name="Вывод 2 4 2 3 2 3 3" xfId="10286" xr:uid="{4F0AA540-CE20-42CB-BA5D-AB3840F0F71D}"/>
    <cellStyle name="Вывод 2 4 2 3 2 4" xfId="3302" xr:uid="{00000000-0005-0000-0000-0000F6120000}"/>
    <cellStyle name="Вывод 2 4 2 3 2 4 2" xfId="7196" xr:uid="{00000000-0005-0000-0000-0000F7120000}"/>
    <cellStyle name="Вывод 2 4 2 3 2 4 3" xfId="11205" xr:uid="{90360F94-0656-4C37-981F-FC887F42D7C3}"/>
    <cellStyle name="Вывод 2 4 2 3 2 5" xfId="4480" xr:uid="{00000000-0005-0000-0000-0000F8120000}"/>
    <cellStyle name="Вывод 2 4 2 3 2 6" xfId="8489" xr:uid="{6B21224D-9774-401C-8C1F-EA6646521A00}"/>
    <cellStyle name="Вывод 2 4 2 3 2 7" xfId="12380" xr:uid="{53504AA7-5162-4117-BCE1-DE2F312BB21A}"/>
    <cellStyle name="Вывод 2 4 2 3 3" xfId="1036" xr:uid="{00000000-0005-0000-0000-0000F9120000}"/>
    <cellStyle name="Вывод 2 4 2 3 3 2" xfId="2382" xr:uid="{00000000-0005-0000-0000-0000FA120000}"/>
    <cellStyle name="Вывод 2 4 2 3 3 2 2" xfId="6279" xr:uid="{00000000-0005-0000-0000-0000FB120000}"/>
    <cellStyle name="Вывод 2 4 2 3 3 2 3" xfId="10288" xr:uid="{6F741D25-1DA6-40C5-A63B-67A9548406E5}"/>
    <cellStyle name="Вывод 2 4 2 3 3 3" xfId="4937" xr:uid="{00000000-0005-0000-0000-0000FC120000}"/>
    <cellStyle name="Вывод 2 4 2 3 3 4" xfId="8946" xr:uid="{78D82075-9232-4F1D-9334-5AC90D121A14}"/>
    <cellStyle name="Вывод 2 4 2 3 3 5" xfId="12837" xr:uid="{D9AFCBFB-1EEF-4A31-B67D-1B0C783C5140}"/>
    <cellStyle name="Вывод 2 4 2 3 4" xfId="2379" xr:uid="{00000000-0005-0000-0000-0000FD120000}"/>
    <cellStyle name="Вывод 2 4 2 3 4 2" xfId="6276" xr:uid="{00000000-0005-0000-0000-0000FE120000}"/>
    <cellStyle name="Вывод 2 4 2 3 4 3" xfId="10285" xr:uid="{5832182E-310E-4C91-9DA2-17B1E13C29D0}"/>
    <cellStyle name="Вывод 2 4 2 3 5" xfId="2981" xr:uid="{00000000-0005-0000-0000-0000FF120000}"/>
    <cellStyle name="Вывод 2 4 2 3 5 2" xfId="6875" xr:uid="{00000000-0005-0000-0000-000000130000}"/>
    <cellStyle name="Вывод 2 4 2 3 5 3" xfId="10884" xr:uid="{0AC280B2-8191-4FE0-8690-CCCEACDA9841}"/>
    <cellStyle name="Вывод 2 4 2 3 6" xfId="4159" xr:uid="{00000000-0005-0000-0000-000001130000}"/>
    <cellStyle name="Вывод 2 4 2 3 7" xfId="8168" xr:uid="{E890A1CD-51C5-4979-B69A-DB2D313DF867}"/>
    <cellStyle name="Вывод 2 4 2 3 8" xfId="12059" xr:uid="{0C78FF2A-382C-44E7-94DE-B528CE6F3649}"/>
    <cellStyle name="Вывод 2 4 2 3 9" xfId="13495" xr:uid="{A3F765BB-DB1B-4B1A-A3AD-BFA290745314}"/>
    <cellStyle name="Вывод 2 4 2 4" xfId="351" xr:uid="{00000000-0005-0000-0000-000002130000}"/>
    <cellStyle name="Вывод 2 4 2 4 2" xfId="681" xr:uid="{00000000-0005-0000-0000-000003130000}"/>
    <cellStyle name="Вывод 2 4 2 4 2 2" xfId="1462" xr:uid="{00000000-0005-0000-0000-000004130000}"/>
    <cellStyle name="Вывод 2 4 2 4 2 2 2" xfId="2385" xr:uid="{00000000-0005-0000-0000-000005130000}"/>
    <cellStyle name="Вывод 2 4 2 4 2 2 2 2" xfId="6282" xr:uid="{00000000-0005-0000-0000-000006130000}"/>
    <cellStyle name="Вывод 2 4 2 4 2 2 2 3" xfId="10291" xr:uid="{01B2BBF2-8485-4FFD-A91D-AE08A74C0708}"/>
    <cellStyle name="Вывод 2 4 2 4 2 2 3" xfId="5363" xr:uid="{00000000-0005-0000-0000-000007130000}"/>
    <cellStyle name="Вывод 2 4 2 4 2 2 4" xfId="9372" xr:uid="{BC12EB20-E469-4769-BD26-8ECC03AB5594}"/>
    <cellStyle name="Вывод 2 4 2 4 2 2 5" xfId="13263" xr:uid="{7421FE6B-ADED-48E3-BF17-83BFD8F4A551}"/>
    <cellStyle name="Вывод 2 4 2 4 2 3" xfId="2384" xr:uid="{00000000-0005-0000-0000-000008130000}"/>
    <cellStyle name="Вывод 2 4 2 4 2 3 2" xfId="6281" xr:uid="{00000000-0005-0000-0000-000009130000}"/>
    <cellStyle name="Вывод 2 4 2 4 2 3 3" xfId="10290" xr:uid="{631F5574-DAF5-4B64-AA11-DA236B26AC23}"/>
    <cellStyle name="Вывод 2 4 2 4 2 4" xfId="3407" xr:uid="{00000000-0005-0000-0000-00000A130000}"/>
    <cellStyle name="Вывод 2 4 2 4 2 4 2" xfId="7301" xr:uid="{00000000-0005-0000-0000-00000B130000}"/>
    <cellStyle name="Вывод 2 4 2 4 2 4 3" xfId="11310" xr:uid="{DCECF29E-B935-4893-A0DE-BE692EBFCCBC}"/>
    <cellStyle name="Вывод 2 4 2 4 2 5" xfId="4585" xr:uid="{00000000-0005-0000-0000-00000C130000}"/>
    <cellStyle name="Вывод 2 4 2 4 2 6" xfId="8594" xr:uid="{931F9ACF-10A8-4709-88C4-C6DCC4C6FCAA}"/>
    <cellStyle name="Вывод 2 4 2 4 2 7" xfId="12485" xr:uid="{4221E77E-86A7-4390-96B1-4907D1FA9AB9}"/>
    <cellStyle name="Вывод 2 4 2 4 3" xfId="1141" xr:uid="{00000000-0005-0000-0000-00000D130000}"/>
    <cellStyle name="Вывод 2 4 2 4 3 2" xfId="2386" xr:uid="{00000000-0005-0000-0000-00000E130000}"/>
    <cellStyle name="Вывод 2 4 2 4 3 2 2" xfId="6283" xr:uid="{00000000-0005-0000-0000-00000F130000}"/>
    <cellStyle name="Вывод 2 4 2 4 3 2 3" xfId="10292" xr:uid="{023D4440-0418-40F5-9DDD-D23F642F4F30}"/>
    <cellStyle name="Вывод 2 4 2 4 3 3" xfId="5042" xr:uid="{00000000-0005-0000-0000-000010130000}"/>
    <cellStyle name="Вывод 2 4 2 4 3 4" xfId="9051" xr:uid="{97D04654-5CF8-4F1A-8F97-C82EBF524B37}"/>
    <cellStyle name="Вывод 2 4 2 4 3 5" xfId="12942" xr:uid="{2FF4A890-97B1-4366-AF50-06142A98469F}"/>
    <cellStyle name="Вывод 2 4 2 4 4" xfId="2383" xr:uid="{00000000-0005-0000-0000-000011130000}"/>
    <cellStyle name="Вывод 2 4 2 4 4 2" xfId="6280" xr:uid="{00000000-0005-0000-0000-000012130000}"/>
    <cellStyle name="Вывод 2 4 2 4 4 3" xfId="10289" xr:uid="{14983DD0-FD23-4950-ACBD-9C3AC212761E}"/>
    <cellStyle name="Вывод 2 4 2 4 5" xfId="3086" xr:uid="{00000000-0005-0000-0000-000013130000}"/>
    <cellStyle name="Вывод 2 4 2 4 5 2" xfId="6980" xr:uid="{00000000-0005-0000-0000-000014130000}"/>
    <cellStyle name="Вывод 2 4 2 4 5 3" xfId="10989" xr:uid="{B59FDC5A-D10D-409C-BC3D-EACA029D602D}"/>
    <cellStyle name="Вывод 2 4 2 4 6" xfId="4264" xr:uid="{00000000-0005-0000-0000-000015130000}"/>
    <cellStyle name="Вывод 2 4 2 4 7" xfId="8273" xr:uid="{D3CD50BA-7619-496F-A2B4-2CDC6A638515}"/>
    <cellStyle name="Вывод 2 4 2 4 8" xfId="12164" xr:uid="{C639CEA1-7CEA-4566-92A6-912A6F98FE0E}"/>
    <cellStyle name="Вывод 2 4 2 5" xfId="516" xr:uid="{00000000-0005-0000-0000-000016130000}"/>
    <cellStyle name="Вывод 2 4 2 5 2" xfId="1297" xr:uid="{00000000-0005-0000-0000-000017130000}"/>
    <cellStyle name="Вывод 2 4 2 5 2 2" xfId="2388" xr:uid="{00000000-0005-0000-0000-000018130000}"/>
    <cellStyle name="Вывод 2 4 2 5 2 2 2" xfId="6285" xr:uid="{00000000-0005-0000-0000-000019130000}"/>
    <cellStyle name="Вывод 2 4 2 5 2 2 3" xfId="10294" xr:uid="{30E2328F-3489-4922-8DE1-26B8DBD827D0}"/>
    <cellStyle name="Вывод 2 4 2 5 2 3" xfId="5198" xr:uid="{00000000-0005-0000-0000-00001A130000}"/>
    <cellStyle name="Вывод 2 4 2 5 2 4" xfId="9207" xr:uid="{0B214250-960C-4661-8B43-FEE560A3F04E}"/>
    <cellStyle name="Вывод 2 4 2 5 2 5" xfId="13098" xr:uid="{C4BCB0D9-D1C6-48DD-B380-E9829CA08920}"/>
    <cellStyle name="Вывод 2 4 2 5 3" xfId="2387" xr:uid="{00000000-0005-0000-0000-00001B130000}"/>
    <cellStyle name="Вывод 2 4 2 5 3 2" xfId="6284" xr:uid="{00000000-0005-0000-0000-00001C130000}"/>
    <cellStyle name="Вывод 2 4 2 5 3 3" xfId="10293" xr:uid="{D3B351B1-6A9F-477F-BC81-A3D5424A663B}"/>
    <cellStyle name="Вывод 2 4 2 5 4" xfId="3242" xr:uid="{00000000-0005-0000-0000-00001D130000}"/>
    <cellStyle name="Вывод 2 4 2 5 4 2" xfId="7136" xr:uid="{00000000-0005-0000-0000-00001E130000}"/>
    <cellStyle name="Вывод 2 4 2 5 4 3" xfId="11145" xr:uid="{ECAC4515-C8BC-42F8-8EA5-06949C016039}"/>
    <cellStyle name="Вывод 2 4 2 5 5" xfId="4420" xr:uid="{00000000-0005-0000-0000-00001F130000}"/>
    <cellStyle name="Вывод 2 4 2 5 6" xfId="8429" xr:uid="{96DA61DF-D17C-4870-BD27-2D4E75A327A4}"/>
    <cellStyle name="Вывод 2 4 2 5 7" xfId="12320" xr:uid="{FA82D25C-2916-485E-9587-29DF6A6A7A0E}"/>
    <cellStyle name="Вывод 2 4 2 6" xfId="976" xr:uid="{00000000-0005-0000-0000-000020130000}"/>
    <cellStyle name="Вывод 2 4 2 6 2" xfId="2389" xr:uid="{00000000-0005-0000-0000-000021130000}"/>
    <cellStyle name="Вывод 2 4 2 6 2 2" xfId="6286" xr:uid="{00000000-0005-0000-0000-000022130000}"/>
    <cellStyle name="Вывод 2 4 2 6 2 3" xfId="10295" xr:uid="{6E76CA77-EC1B-439F-B599-16E1233D675F}"/>
    <cellStyle name="Вывод 2 4 2 6 3" xfId="4877" xr:uid="{00000000-0005-0000-0000-000023130000}"/>
    <cellStyle name="Вывод 2 4 2 6 4" xfId="8886" xr:uid="{6E24333D-2013-4FE1-9585-42F1DD4849E9}"/>
    <cellStyle name="Вывод 2 4 2 6 5" xfId="12777" xr:uid="{223777F9-B0FF-4F4B-9DCF-6AE8640F2EF2}"/>
    <cellStyle name="Вывод 2 4 2 7" xfId="2370" xr:uid="{00000000-0005-0000-0000-000024130000}"/>
    <cellStyle name="Вывод 2 4 2 7 2" xfId="6267" xr:uid="{00000000-0005-0000-0000-000025130000}"/>
    <cellStyle name="Вывод 2 4 2 7 3" xfId="10276" xr:uid="{4EB5A26A-1716-4BCE-8382-4113DB4B6BA6}"/>
    <cellStyle name="Вывод 2 4 2 8" xfId="2921" xr:uid="{00000000-0005-0000-0000-000026130000}"/>
    <cellStyle name="Вывод 2 4 2 8 2" xfId="6815" xr:uid="{00000000-0005-0000-0000-000027130000}"/>
    <cellStyle name="Вывод 2 4 2 8 3" xfId="10824" xr:uid="{297C530C-6446-40E8-B4B8-4895C3629652}"/>
    <cellStyle name="Вывод 2 4 2 9" xfId="4099" xr:uid="{00000000-0005-0000-0000-000028130000}"/>
    <cellStyle name="Вывод 2 4 3" xfId="252" xr:uid="{00000000-0005-0000-0000-000029130000}"/>
    <cellStyle name="Вывод 2 4 3 10" xfId="13501" xr:uid="{77EF6EDE-5ADE-48C5-8FFD-C7AB12221515}"/>
    <cellStyle name="Вывод 2 4 3 2" xfId="409" xr:uid="{00000000-0005-0000-0000-00002A130000}"/>
    <cellStyle name="Вывод 2 4 3 2 2" xfId="739" xr:uid="{00000000-0005-0000-0000-00002B130000}"/>
    <cellStyle name="Вывод 2 4 3 2 2 2" xfId="1520" xr:uid="{00000000-0005-0000-0000-00002C130000}"/>
    <cellStyle name="Вывод 2 4 3 2 2 2 2" xfId="2393" xr:uid="{00000000-0005-0000-0000-00002D130000}"/>
    <cellStyle name="Вывод 2 4 3 2 2 2 2 2" xfId="6290" xr:uid="{00000000-0005-0000-0000-00002E130000}"/>
    <cellStyle name="Вывод 2 4 3 2 2 2 2 3" xfId="10299" xr:uid="{8289D005-3622-4C5D-AA4C-4AE43D2CBB8E}"/>
    <cellStyle name="Вывод 2 4 3 2 2 2 3" xfId="5421" xr:uid="{00000000-0005-0000-0000-00002F130000}"/>
    <cellStyle name="Вывод 2 4 3 2 2 2 4" xfId="9430" xr:uid="{DAF5EEAD-8CF3-4522-974F-B531C576C587}"/>
    <cellStyle name="Вывод 2 4 3 2 2 2 5" xfId="13321" xr:uid="{3BB806D1-D9F2-4114-925F-32F0C9D71135}"/>
    <cellStyle name="Вывод 2 4 3 2 2 3" xfId="2392" xr:uid="{00000000-0005-0000-0000-000030130000}"/>
    <cellStyle name="Вывод 2 4 3 2 2 3 2" xfId="6289" xr:uid="{00000000-0005-0000-0000-000031130000}"/>
    <cellStyle name="Вывод 2 4 3 2 2 3 3" xfId="10298" xr:uid="{130AA256-3710-438C-A141-E8507ECABFCB}"/>
    <cellStyle name="Вывод 2 4 3 2 2 4" xfId="3465" xr:uid="{00000000-0005-0000-0000-000032130000}"/>
    <cellStyle name="Вывод 2 4 3 2 2 4 2" xfId="7359" xr:uid="{00000000-0005-0000-0000-000033130000}"/>
    <cellStyle name="Вывод 2 4 3 2 2 4 3" xfId="11368" xr:uid="{E5CF0D02-3CF7-4316-82C1-0D3CC29D9106}"/>
    <cellStyle name="Вывод 2 4 3 2 2 5" xfId="4643" xr:uid="{00000000-0005-0000-0000-000034130000}"/>
    <cellStyle name="Вывод 2 4 3 2 2 6" xfId="8652" xr:uid="{A24A13F1-EAA8-4C4C-B38B-FF2F7526E8BA}"/>
    <cellStyle name="Вывод 2 4 3 2 2 7" xfId="12543" xr:uid="{28DAEBE7-32B5-49D4-8645-C80E92A56124}"/>
    <cellStyle name="Вывод 2 4 3 2 3" xfId="1199" xr:uid="{00000000-0005-0000-0000-000035130000}"/>
    <cellStyle name="Вывод 2 4 3 2 3 2" xfId="2394" xr:uid="{00000000-0005-0000-0000-000036130000}"/>
    <cellStyle name="Вывод 2 4 3 2 3 2 2" xfId="6291" xr:uid="{00000000-0005-0000-0000-000037130000}"/>
    <cellStyle name="Вывод 2 4 3 2 3 2 3" xfId="10300" xr:uid="{297A958B-37A1-4057-AAE6-B67A5FB3393E}"/>
    <cellStyle name="Вывод 2 4 3 2 3 3" xfId="5100" xr:uid="{00000000-0005-0000-0000-000038130000}"/>
    <cellStyle name="Вывод 2 4 3 2 3 4" xfId="9109" xr:uid="{8B141663-7AF5-46EF-91E1-380DFF667B9F}"/>
    <cellStyle name="Вывод 2 4 3 2 3 5" xfId="13000" xr:uid="{8F3A7FAB-ECD4-49C2-8987-4450E1F1385F}"/>
    <cellStyle name="Вывод 2 4 3 2 4" xfId="2391" xr:uid="{00000000-0005-0000-0000-000039130000}"/>
    <cellStyle name="Вывод 2 4 3 2 4 2" xfId="6288" xr:uid="{00000000-0005-0000-0000-00003A130000}"/>
    <cellStyle name="Вывод 2 4 3 2 4 3" xfId="10297" xr:uid="{76B0D321-C135-4C2F-8AAF-4F66637D8C3D}"/>
    <cellStyle name="Вывод 2 4 3 2 5" xfId="3144" xr:uid="{00000000-0005-0000-0000-00003B130000}"/>
    <cellStyle name="Вывод 2 4 3 2 5 2" xfId="7038" xr:uid="{00000000-0005-0000-0000-00003C130000}"/>
    <cellStyle name="Вывод 2 4 3 2 5 3" xfId="11047" xr:uid="{20DADAC8-55EB-4CC9-B2AC-6B62C922DEE1}"/>
    <cellStyle name="Вывод 2 4 3 2 6" xfId="4322" xr:uid="{00000000-0005-0000-0000-00003D130000}"/>
    <cellStyle name="Вывод 2 4 3 2 7" xfId="8331" xr:uid="{765CD1F3-7B53-4DD8-A315-7E56B7DC0EDE}"/>
    <cellStyle name="Вывод 2 4 3 2 8" xfId="12222" xr:uid="{F82452B5-EDDB-427E-AC11-42010713E67E}"/>
    <cellStyle name="Вывод 2 4 3 3" xfId="582" xr:uid="{00000000-0005-0000-0000-00003E130000}"/>
    <cellStyle name="Вывод 2 4 3 3 2" xfId="1363" xr:uid="{00000000-0005-0000-0000-00003F130000}"/>
    <cellStyle name="Вывод 2 4 3 3 2 2" xfId="2396" xr:uid="{00000000-0005-0000-0000-000040130000}"/>
    <cellStyle name="Вывод 2 4 3 3 2 2 2" xfId="6293" xr:uid="{00000000-0005-0000-0000-000041130000}"/>
    <cellStyle name="Вывод 2 4 3 3 2 2 3" xfId="10302" xr:uid="{2F80F491-D7A1-4320-ABE1-9D1507D44992}"/>
    <cellStyle name="Вывод 2 4 3 3 2 3" xfId="5264" xr:uid="{00000000-0005-0000-0000-000042130000}"/>
    <cellStyle name="Вывод 2 4 3 3 2 4" xfId="9273" xr:uid="{3BF97665-54C7-47B7-AAD6-6222A2DB44CE}"/>
    <cellStyle name="Вывод 2 4 3 3 2 5" xfId="13164" xr:uid="{0776B47C-40CB-4525-8EF4-AA46BF822250}"/>
    <cellStyle name="Вывод 2 4 3 3 3" xfId="2395" xr:uid="{00000000-0005-0000-0000-000043130000}"/>
    <cellStyle name="Вывод 2 4 3 3 3 2" xfId="6292" xr:uid="{00000000-0005-0000-0000-000044130000}"/>
    <cellStyle name="Вывод 2 4 3 3 3 3" xfId="10301" xr:uid="{18992530-D4C7-4850-B2FD-6A78E214EB7D}"/>
    <cellStyle name="Вывод 2 4 3 3 4" xfId="3308" xr:uid="{00000000-0005-0000-0000-000045130000}"/>
    <cellStyle name="Вывод 2 4 3 3 4 2" xfId="7202" xr:uid="{00000000-0005-0000-0000-000046130000}"/>
    <cellStyle name="Вывод 2 4 3 3 4 3" xfId="11211" xr:uid="{BA7D9A81-EC13-4F28-90B4-88333440C83D}"/>
    <cellStyle name="Вывод 2 4 3 3 5" xfId="4486" xr:uid="{00000000-0005-0000-0000-000047130000}"/>
    <cellStyle name="Вывод 2 4 3 3 6" xfId="8495" xr:uid="{78A52972-9F84-4852-BC93-080D6215D785}"/>
    <cellStyle name="Вывод 2 4 3 3 7" xfId="12386" xr:uid="{AF0811EE-D2EF-412B-9F38-E9AF3F7BF5DD}"/>
    <cellStyle name="Вывод 2 4 3 4" xfId="1042" xr:uid="{00000000-0005-0000-0000-000048130000}"/>
    <cellStyle name="Вывод 2 4 3 4 2" xfId="2397" xr:uid="{00000000-0005-0000-0000-000049130000}"/>
    <cellStyle name="Вывод 2 4 3 4 2 2" xfId="6294" xr:uid="{00000000-0005-0000-0000-00004A130000}"/>
    <cellStyle name="Вывод 2 4 3 4 2 3" xfId="10303" xr:uid="{A6D86936-99F5-4096-BE64-4FB5867E1CDD}"/>
    <cellStyle name="Вывод 2 4 3 4 3" xfId="4943" xr:uid="{00000000-0005-0000-0000-00004B130000}"/>
    <cellStyle name="Вывод 2 4 3 4 4" xfId="8952" xr:uid="{19805133-1C08-4A1A-BFFF-56A112D3F15E}"/>
    <cellStyle name="Вывод 2 4 3 4 5" xfId="12843" xr:uid="{8E29782D-3EDF-412F-95EB-9167E99EF967}"/>
    <cellStyle name="Вывод 2 4 3 5" xfId="2390" xr:uid="{00000000-0005-0000-0000-00004C130000}"/>
    <cellStyle name="Вывод 2 4 3 5 2" xfId="6287" xr:uid="{00000000-0005-0000-0000-00004D130000}"/>
    <cellStyle name="Вывод 2 4 3 5 3" xfId="10296" xr:uid="{5755F9AA-CB13-4BFB-9E55-B3C4BB1BB3A9}"/>
    <cellStyle name="Вывод 2 4 3 6" xfId="2987" xr:uid="{00000000-0005-0000-0000-00004E130000}"/>
    <cellStyle name="Вывод 2 4 3 6 2" xfId="6881" xr:uid="{00000000-0005-0000-0000-00004F130000}"/>
    <cellStyle name="Вывод 2 4 3 6 3" xfId="10890" xr:uid="{031147DD-3F49-46C9-B1E4-0D555730592A}"/>
    <cellStyle name="Вывод 2 4 3 7" xfId="4165" xr:uid="{00000000-0005-0000-0000-000050130000}"/>
    <cellStyle name="Вывод 2 4 3 8" xfId="8174" xr:uid="{51FBD2BC-5CDF-4EBD-82F4-599D5716741F}"/>
    <cellStyle name="Вывод 2 4 3 9" xfId="12065" xr:uid="{1C0DAB6C-D0EE-4B0F-82A2-B59E649B930B}"/>
    <cellStyle name="Вывод 2 4 4" xfId="250" xr:uid="{00000000-0005-0000-0000-000051130000}"/>
    <cellStyle name="Вывод 2 4 4 2" xfId="580" xr:uid="{00000000-0005-0000-0000-000052130000}"/>
    <cellStyle name="Вывод 2 4 4 2 2" xfId="1361" xr:uid="{00000000-0005-0000-0000-000053130000}"/>
    <cellStyle name="Вывод 2 4 4 2 2 2" xfId="2400" xr:uid="{00000000-0005-0000-0000-000054130000}"/>
    <cellStyle name="Вывод 2 4 4 2 2 2 2" xfId="6297" xr:uid="{00000000-0005-0000-0000-000055130000}"/>
    <cellStyle name="Вывод 2 4 4 2 2 2 3" xfId="10306" xr:uid="{8FEFAA1D-EEE8-4FD7-A322-13FF70784A2F}"/>
    <cellStyle name="Вывод 2 4 4 2 2 3" xfId="5262" xr:uid="{00000000-0005-0000-0000-000056130000}"/>
    <cellStyle name="Вывод 2 4 4 2 2 4" xfId="9271" xr:uid="{F1BA156F-7762-4953-B854-FDAD1499A375}"/>
    <cellStyle name="Вывод 2 4 4 2 2 5" xfId="13162" xr:uid="{65BF0C9D-D10A-42FA-BA1B-343B8DE4872E}"/>
    <cellStyle name="Вывод 2 4 4 2 3" xfId="2399" xr:uid="{00000000-0005-0000-0000-000057130000}"/>
    <cellStyle name="Вывод 2 4 4 2 3 2" xfId="6296" xr:uid="{00000000-0005-0000-0000-000058130000}"/>
    <cellStyle name="Вывод 2 4 4 2 3 3" xfId="10305" xr:uid="{951F4978-076F-468A-95CA-BB40C505EBDF}"/>
    <cellStyle name="Вывод 2 4 4 2 4" xfId="3306" xr:uid="{00000000-0005-0000-0000-000059130000}"/>
    <cellStyle name="Вывод 2 4 4 2 4 2" xfId="7200" xr:uid="{00000000-0005-0000-0000-00005A130000}"/>
    <cellStyle name="Вывод 2 4 4 2 4 3" xfId="11209" xr:uid="{7AB44680-74BA-40F2-9122-CADEA8E71F6F}"/>
    <cellStyle name="Вывод 2 4 4 2 5" xfId="4484" xr:uid="{00000000-0005-0000-0000-00005B130000}"/>
    <cellStyle name="Вывод 2 4 4 2 6" xfId="8493" xr:uid="{558D8EE4-1E42-4E17-8918-92A9223FE55A}"/>
    <cellStyle name="Вывод 2 4 4 2 7" xfId="12384" xr:uid="{105DC679-07E4-4CFE-A70E-EC19770AE430}"/>
    <cellStyle name="Вывод 2 4 4 3" xfId="1040" xr:uid="{00000000-0005-0000-0000-00005C130000}"/>
    <cellStyle name="Вывод 2 4 4 3 2" xfId="2401" xr:uid="{00000000-0005-0000-0000-00005D130000}"/>
    <cellStyle name="Вывод 2 4 4 3 2 2" xfId="6298" xr:uid="{00000000-0005-0000-0000-00005E130000}"/>
    <cellStyle name="Вывод 2 4 4 3 2 3" xfId="10307" xr:uid="{8C5432ED-6B74-4FEE-AA71-A0ABA43DFFED}"/>
    <cellStyle name="Вывод 2 4 4 3 3" xfId="4941" xr:uid="{00000000-0005-0000-0000-00005F130000}"/>
    <cellStyle name="Вывод 2 4 4 3 4" xfId="8950" xr:uid="{5C4802B0-F942-46F9-BCAB-46C4A7385A96}"/>
    <cellStyle name="Вывод 2 4 4 3 5" xfId="12841" xr:uid="{1623A963-0D6C-49D1-A71D-4C1300D7B991}"/>
    <cellStyle name="Вывод 2 4 4 4" xfId="2398" xr:uid="{00000000-0005-0000-0000-000060130000}"/>
    <cellStyle name="Вывод 2 4 4 4 2" xfId="6295" xr:uid="{00000000-0005-0000-0000-000061130000}"/>
    <cellStyle name="Вывод 2 4 4 4 3" xfId="10304" xr:uid="{FDA217A3-0135-47D4-AAEE-2BEBA36BD59F}"/>
    <cellStyle name="Вывод 2 4 4 5" xfId="2985" xr:uid="{00000000-0005-0000-0000-000062130000}"/>
    <cellStyle name="Вывод 2 4 4 5 2" xfId="6879" xr:uid="{00000000-0005-0000-0000-000063130000}"/>
    <cellStyle name="Вывод 2 4 4 5 3" xfId="10888" xr:uid="{5DD14AEF-056E-4BBC-B037-E949149A9B49}"/>
    <cellStyle name="Вывод 2 4 4 6" xfId="4163" xr:uid="{00000000-0005-0000-0000-000064130000}"/>
    <cellStyle name="Вывод 2 4 4 7" xfId="8172" xr:uid="{CFBF14A0-724E-425A-853E-F5D766549F16}"/>
    <cellStyle name="Вывод 2 4 4 8" xfId="12063" xr:uid="{F0ED2780-1C2D-4B10-AE91-36F612C75845}"/>
    <cellStyle name="Вывод 2 4 4 9" xfId="13499" xr:uid="{CB61406E-7DE5-44CE-8ED4-8BDD87D3ED20}"/>
    <cellStyle name="Вывод 2 4 5" xfId="326" xr:uid="{00000000-0005-0000-0000-000065130000}"/>
    <cellStyle name="Вывод 2 4 5 2" xfId="656" xr:uid="{00000000-0005-0000-0000-000066130000}"/>
    <cellStyle name="Вывод 2 4 5 2 2" xfId="1437" xr:uid="{00000000-0005-0000-0000-000067130000}"/>
    <cellStyle name="Вывод 2 4 5 2 2 2" xfId="2404" xr:uid="{00000000-0005-0000-0000-000068130000}"/>
    <cellStyle name="Вывод 2 4 5 2 2 2 2" xfId="6301" xr:uid="{00000000-0005-0000-0000-000069130000}"/>
    <cellStyle name="Вывод 2 4 5 2 2 2 3" xfId="10310" xr:uid="{E51DD251-45E4-4A88-B233-F9B172113F1D}"/>
    <cellStyle name="Вывод 2 4 5 2 2 3" xfId="5338" xr:uid="{00000000-0005-0000-0000-00006A130000}"/>
    <cellStyle name="Вывод 2 4 5 2 2 4" xfId="9347" xr:uid="{9DCA41D2-503B-4B9F-92AC-FCC303541BC0}"/>
    <cellStyle name="Вывод 2 4 5 2 2 5" xfId="13238" xr:uid="{FDEE7FE0-46C8-4908-8912-089FBA4186B4}"/>
    <cellStyle name="Вывод 2 4 5 2 3" xfId="2403" xr:uid="{00000000-0005-0000-0000-00006B130000}"/>
    <cellStyle name="Вывод 2 4 5 2 3 2" xfId="6300" xr:uid="{00000000-0005-0000-0000-00006C130000}"/>
    <cellStyle name="Вывод 2 4 5 2 3 3" xfId="10309" xr:uid="{6C72F003-AB01-4CE3-B868-DFAEB06F33BB}"/>
    <cellStyle name="Вывод 2 4 5 2 4" xfId="3382" xr:uid="{00000000-0005-0000-0000-00006D130000}"/>
    <cellStyle name="Вывод 2 4 5 2 4 2" xfId="7276" xr:uid="{00000000-0005-0000-0000-00006E130000}"/>
    <cellStyle name="Вывод 2 4 5 2 4 3" xfId="11285" xr:uid="{13426FD3-2CF0-4D8F-963C-03FACA44CFA9}"/>
    <cellStyle name="Вывод 2 4 5 2 5" xfId="4560" xr:uid="{00000000-0005-0000-0000-00006F130000}"/>
    <cellStyle name="Вывод 2 4 5 2 6" xfId="8569" xr:uid="{BAED3E7A-E5D0-42C7-A00C-9B4FE8A50664}"/>
    <cellStyle name="Вывод 2 4 5 2 7" xfId="12460" xr:uid="{4CE424D3-9781-4FF8-B86C-B6AFAE106920}"/>
    <cellStyle name="Вывод 2 4 5 3" xfId="1116" xr:uid="{00000000-0005-0000-0000-000070130000}"/>
    <cellStyle name="Вывод 2 4 5 3 2" xfId="2405" xr:uid="{00000000-0005-0000-0000-000071130000}"/>
    <cellStyle name="Вывод 2 4 5 3 2 2" xfId="6302" xr:uid="{00000000-0005-0000-0000-000072130000}"/>
    <cellStyle name="Вывод 2 4 5 3 2 3" xfId="10311" xr:uid="{BDB98C10-E5EA-4CDA-8504-8D7C629A7E14}"/>
    <cellStyle name="Вывод 2 4 5 3 3" xfId="5017" xr:uid="{00000000-0005-0000-0000-000073130000}"/>
    <cellStyle name="Вывод 2 4 5 3 4" xfId="9026" xr:uid="{79BF0FDB-E13C-48C5-924F-474FA0FADD2D}"/>
    <cellStyle name="Вывод 2 4 5 3 5" xfId="12917" xr:uid="{D1C55132-1092-4C42-82E9-739AFDCE7839}"/>
    <cellStyle name="Вывод 2 4 5 4" xfId="2402" xr:uid="{00000000-0005-0000-0000-000074130000}"/>
    <cellStyle name="Вывод 2 4 5 4 2" xfId="6299" xr:uid="{00000000-0005-0000-0000-000075130000}"/>
    <cellStyle name="Вывод 2 4 5 4 3" xfId="10308" xr:uid="{ED4F171E-D014-44C0-AE0D-CBC1A2309CA0}"/>
    <cellStyle name="Вывод 2 4 5 5" xfId="3061" xr:uid="{00000000-0005-0000-0000-000076130000}"/>
    <cellStyle name="Вывод 2 4 5 5 2" xfId="6955" xr:uid="{00000000-0005-0000-0000-000077130000}"/>
    <cellStyle name="Вывод 2 4 5 5 3" xfId="10964" xr:uid="{C98E482F-302E-421A-9D39-9E6783E58A26}"/>
    <cellStyle name="Вывод 2 4 5 6" xfId="4239" xr:uid="{00000000-0005-0000-0000-000078130000}"/>
    <cellStyle name="Вывод 2 4 5 7" xfId="8248" xr:uid="{764F9EDB-9A3A-4D75-85FA-6C4297771713}"/>
    <cellStyle name="Вывод 2 4 5 8" xfId="12139" xr:uid="{0AA558EB-2ECD-44D7-BEA2-1E8F90420BB5}"/>
    <cellStyle name="Вывод 2 4 6" xfId="488" xr:uid="{00000000-0005-0000-0000-000079130000}"/>
    <cellStyle name="Вывод 2 4 6 2" xfId="1272" xr:uid="{00000000-0005-0000-0000-00007A130000}"/>
    <cellStyle name="Вывод 2 4 6 2 2" xfId="2407" xr:uid="{00000000-0005-0000-0000-00007B130000}"/>
    <cellStyle name="Вывод 2 4 6 2 2 2" xfId="6304" xr:uid="{00000000-0005-0000-0000-00007C130000}"/>
    <cellStyle name="Вывод 2 4 6 2 2 3" xfId="10313" xr:uid="{6F85CA38-0999-46C2-915E-BB289E1D4461}"/>
    <cellStyle name="Вывод 2 4 6 2 3" xfId="5173" xr:uid="{00000000-0005-0000-0000-00007D130000}"/>
    <cellStyle name="Вывод 2 4 6 2 4" xfId="9182" xr:uid="{AC8B0F14-684D-46B1-A550-A223F054EF30}"/>
    <cellStyle name="Вывод 2 4 6 2 5" xfId="13073" xr:uid="{27DD3E84-C1C0-49E7-9D09-9A8290DDD418}"/>
    <cellStyle name="Вывод 2 4 6 3" xfId="2406" xr:uid="{00000000-0005-0000-0000-00007E130000}"/>
    <cellStyle name="Вывод 2 4 6 3 2" xfId="6303" xr:uid="{00000000-0005-0000-0000-00007F130000}"/>
    <cellStyle name="Вывод 2 4 6 3 3" xfId="10312" xr:uid="{6815ACE4-AAF7-453F-8114-E0FABB35830C}"/>
    <cellStyle name="Вывод 2 4 6 4" xfId="3217" xr:uid="{00000000-0005-0000-0000-000080130000}"/>
    <cellStyle name="Вывод 2 4 6 4 2" xfId="7111" xr:uid="{00000000-0005-0000-0000-000081130000}"/>
    <cellStyle name="Вывод 2 4 6 4 3" xfId="11120" xr:uid="{C5A5D2E4-4F7A-41D6-B93E-CDCCD1618B29}"/>
    <cellStyle name="Вывод 2 4 6 5" xfId="4395" xr:uid="{00000000-0005-0000-0000-000082130000}"/>
    <cellStyle name="Вывод 2 4 6 6" xfId="8404" xr:uid="{03BB9BAE-7FC2-45CC-AE82-9015BD74DFD0}"/>
    <cellStyle name="Вывод 2 4 6 7" xfId="12295" xr:uid="{D14DC5F2-7EB1-4AF4-A130-9C2AEBD703E4}"/>
    <cellStyle name="Вывод 2 4 7" xfId="951" xr:uid="{00000000-0005-0000-0000-000083130000}"/>
    <cellStyle name="Вывод 2 4 7 2" xfId="2408" xr:uid="{00000000-0005-0000-0000-000084130000}"/>
    <cellStyle name="Вывод 2 4 7 2 2" xfId="6305" xr:uid="{00000000-0005-0000-0000-000085130000}"/>
    <cellStyle name="Вывод 2 4 7 2 3" xfId="10314" xr:uid="{E54DAAE3-0B06-4382-8AD4-D7E519A24A8B}"/>
    <cellStyle name="Вывод 2 4 7 3" xfId="4852" xr:uid="{00000000-0005-0000-0000-000086130000}"/>
    <cellStyle name="Вывод 2 4 7 4" xfId="8861" xr:uid="{2615CCEF-E92D-4DFF-86A0-7CC2ABE41729}"/>
    <cellStyle name="Вывод 2 4 7 5" xfId="12752" xr:uid="{9391378A-92F9-4477-9156-3BC3E6CFC7D3}"/>
    <cellStyle name="Вывод 2 4 8" xfId="2369" xr:uid="{00000000-0005-0000-0000-000087130000}"/>
    <cellStyle name="Вывод 2 4 8 2" xfId="6266" xr:uid="{00000000-0005-0000-0000-000088130000}"/>
    <cellStyle name="Вывод 2 4 8 3" xfId="10275" xr:uid="{885CC361-9BF6-4E53-9EF2-03F3806370D3}"/>
    <cellStyle name="Вывод 2 4 9" xfId="2896" xr:uid="{00000000-0005-0000-0000-000089130000}"/>
    <cellStyle name="Вывод 2 4 9 2" xfId="6790" xr:uid="{00000000-0005-0000-0000-00008A130000}"/>
    <cellStyle name="Вывод 2 4 9 3" xfId="10799" xr:uid="{48E7E721-5B69-4894-9327-2790F1304BF7}"/>
    <cellStyle name="Вывод 2 5" xfId="200" xr:uid="{00000000-0005-0000-0000-00008B130000}"/>
    <cellStyle name="Вывод 2 5 10" xfId="13449" xr:uid="{2BEAD873-B6A8-482A-BE7E-F901ECD087CD}"/>
    <cellStyle name="Вывод 2 5 2" xfId="364" xr:uid="{00000000-0005-0000-0000-00008C130000}"/>
    <cellStyle name="Вывод 2 5 2 2" xfId="694" xr:uid="{00000000-0005-0000-0000-00008D130000}"/>
    <cellStyle name="Вывод 2 5 2 2 2" xfId="1475" xr:uid="{00000000-0005-0000-0000-00008E130000}"/>
    <cellStyle name="Вывод 2 5 2 2 2 2" xfId="2412" xr:uid="{00000000-0005-0000-0000-00008F130000}"/>
    <cellStyle name="Вывод 2 5 2 2 2 2 2" xfId="6309" xr:uid="{00000000-0005-0000-0000-000090130000}"/>
    <cellStyle name="Вывод 2 5 2 2 2 2 3" xfId="10318" xr:uid="{86F3934E-3135-4782-9817-AC38C7669A2E}"/>
    <cellStyle name="Вывод 2 5 2 2 2 3" xfId="5376" xr:uid="{00000000-0005-0000-0000-000091130000}"/>
    <cellStyle name="Вывод 2 5 2 2 2 4" xfId="9385" xr:uid="{23959565-9C01-4F65-9C3C-76F96AB20296}"/>
    <cellStyle name="Вывод 2 5 2 2 2 5" xfId="13276" xr:uid="{170D1778-3926-42B1-ABD9-A985B8664992}"/>
    <cellStyle name="Вывод 2 5 2 2 3" xfId="2411" xr:uid="{00000000-0005-0000-0000-000092130000}"/>
    <cellStyle name="Вывод 2 5 2 2 3 2" xfId="6308" xr:uid="{00000000-0005-0000-0000-000093130000}"/>
    <cellStyle name="Вывод 2 5 2 2 3 3" xfId="10317" xr:uid="{6EA2A81B-5E47-489D-ABF6-202DB7B46E08}"/>
    <cellStyle name="Вывод 2 5 2 2 4" xfId="3420" xr:uid="{00000000-0005-0000-0000-000094130000}"/>
    <cellStyle name="Вывод 2 5 2 2 4 2" xfId="7314" xr:uid="{00000000-0005-0000-0000-000095130000}"/>
    <cellStyle name="Вывод 2 5 2 2 4 3" xfId="11323" xr:uid="{1BE60515-FA6E-486B-9DA5-FAD70EEB1DA2}"/>
    <cellStyle name="Вывод 2 5 2 2 5" xfId="4598" xr:uid="{00000000-0005-0000-0000-000096130000}"/>
    <cellStyle name="Вывод 2 5 2 2 6" xfId="8607" xr:uid="{8F367690-B071-440B-B79B-A8534BB51E86}"/>
    <cellStyle name="Вывод 2 5 2 2 7" xfId="12498" xr:uid="{566156BC-255E-4EC9-A978-8AAFCFAF0613}"/>
    <cellStyle name="Вывод 2 5 2 3" xfId="1154" xr:uid="{00000000-0005-0000-0000-000097130000}"/>
    <cellStyle name="Вывод 2 5 2 3 2" xfId="2413" xr:uid="{00000000-0005-0000-0000-000098130000}"/>
    <cellStyle name="Вывод 2 5 2 3 2 2" xfId="6310" xr:uid="{00000000-0005-0000-0000-000099130000}"/>
    <cellStyle name="Вывод 2 5 2 3 2 3" xfId="10319" xr:uid="{46A39C33-7BA5-483C-9875-8215432E22C8}"/>
    <cellStyle name="Вывод 2 5 2 3 3" xfId="5055" xr:uid="{00000000-0005-0000-0000-00009A130000}"/>
    <cellStyle name="Вывод 2 5 2 3 4" xfId="9064" xr:uid="{3835A276-8295-42BC-92A6-8AEA7AB23045}"/>
    <cellStyle name="Вывод 2 5 2 3 5" xfId="12955" xr:uid="{9155B539-0D94-4B4B-9A4C-0824067F4DF6}"/>
    <cellStyle name="Вывод 2 5 2 4" xfId="2410" xr:uid="{00000000-0005-0000-0000-00009B130000}"/>
    <cellStyle name="Вывод 2 5 2 4 2" xfId="6307" xr:uid="{00000000-0005-0000-0000-00009C130000}"/>
    <cellStyle name="Вывод 2 5 2 4 3" xfId="10316" xr:uid="{3B59F8F3-6BFA-4F77-9DE6-D54D708B9D4D}"/>
    <cellStyle name="Вывод 2 5 2 5" xfId="3099" xr:uid="{00000000-0005-0000-0000-00009D130000}"/>
    <cellStyle name="Вывод 2 5 2 5 2" xfId="6993" xr:uid="{00000000-0005-0000-0000-00009E130000}"/>
    <cellStyle name="Вывод 2 5 2 5 3" xfId="11002" xr:uid="{1758C54C-A0C1-4AD6-A319-300455C00EC8}"/>
    <cellStyle name="Вывод 2 5 2 6" xfId="4277" xr:uid="{00000000-0005-0000-0000-00009F130000}"/>
    <cellStyle name="Вывод 2 5 2 7" xfId="8286" xr:uid="{658D6F50-FA87-4182-A6FB-E97E90216ABD}"/>
    <cellStyle name="Вывод 2 5 2 8" xfId="12177" xr:uid="{A9B362A6-B6C2-4C97-80EA-A47D7BD85B67}"/>
    <cellStyle name="Вывод 2 5 3" xfId="530" xr:uid="{00000000-0005-0000-0000-0000A0130000}"/>
    <cellStyle name="Вывод 2 5 3 2" xfId="1311" xr:uid="{00000000-0005-0000-0000-0000A1130000}"/>
    <cellStyle name="Вывод 2 5 3 2 2" xfId="2415" xr:uid="{00000000-0005-0000-0000-0000A2130000}"/>
    <cellStyle name="Вывод 2 5 3 2 2 2" xfId="6312" xr:uid="{00000000-0005-0000-0000-0000A3130000}"/>
    <cellStyle name="Вывод 2 5 3 2 2 3" xfId="10321" xr:uid="{85342BDE-FB4F-47E1-BFB8-D4F1A8FB35AB}"/>
    <cellStyle name="Вывод 2 5 3 2 3" xfId="5212" xr:uid="{00000000-0005-0000-0000-0000A4130000}"/>
    <cellStyle name="Вывод 2 5 3 2 4" xfId="9221" xr:uid="{C26E06D9-EDA2-4F8B-AB81-F120BFD2B9D6}"/>
    <cellStyle name="Вывод 2 5 3 2 5" xfId="13112" xr:uid="{B228FB27-ABA6-44D9-8ED7-CE054E85E59D}"/>
    <cellStyle name="Вывод 2 5 3 3" xfId="2414" xr:uid="{00000000-0005-0000-0000-0000A5130000}"/>
    <cellStyle name="Вывод 2 5 3 3 2" xfId="6311" xr:uid="{00000000-0005-0000-0000-0000A6130000}"/>
    <cellStyle name="Вывод 2 5 3 3 3" xfId="10320" xr:uid="{7ADCFBE7-19A5-481D-9BF5-F5CD5FD5320D}"/>
    <cellStyle name="Вывод 2 5 3 4" xfId="3256" xr:uid="{00000000-0005-0000-0000-0000A7130000}"/>
    <cellStyle name="Вывод 2 5 3 4 2" xfId="7150" xr:uid="{00000000-0005-0000-0000-0000A8130000}"/>
    <cellStyle name="Вывод 2 5 3 4 3" xfId="11159" xr:uid="{A36F02B1-7756-43CF-9C8D-F6DE528E0F2D}"/>
    <cellStyle name="Вывод 2 5 3 5" xfId="4434" xr:uid="{00000000-0005-0000-0000-0000A9130000}"/>
    <cellStyle name="Вывод 2 5 3 6" xfId="8443" xr:uid="{ACC45735-E5C8-4273-ACF9-8D1472043076}"/>
    <cellStyle name="Вывод 2 5 3 7" xfId="12334" xr:uid="{416B8C78-9AF8-4FF1-8FD6-6143F501B63B}"/>
    <cellStyle name="Вывод 2 5 4" xfId="990" xr:uid="{00000000-0005-0000-0000-0000AA130000}"/>
    <cellStyle name="Вывод 2 5 4 2" xfId="2416" xr:uid="{00000000-0005-0000-0000-0000AB130000}"/>
    <cellStyle name="Вывод 2 5 4 2 2" xfId="6313" xr:uid="{00000000-0005-0000-0000-0000AC130000}"/>
    <cellStyle name="Вывод 2 5 4 2 3" xfId="10322" xr:uid="{55AF29C5-517F-452E-B07C-7AD728DF7C38}"/>
    <cellStyle name="Вывод 2 5 4 3" xfId="4891" xr:uid="{00000000-0005-0000-0000-0000AD130000}"/>
    <cellStyle name="Вывод 2 5 4 4" xfId="8900" xr:uid="{00484C32-D7EC-46A6-81FB-D79DF1AB85A7}"/>
    <cellStyle name="Вывод 2 5 4 5" xfId="12791" xr:uid="{9BA3CB39-5232-4C76-B6DA-50318A2E4641}"/>
    <cellStyle name="Вывод 2 5 5" xfId="2409" xr:uid="{00000000-0005-0000-0000-0000AE130000}"/>
    <cellStyle name="Вывод 2 5 5 2" xfId="6306" xr:uid="{00000000-0005-0000-0000-0000AF130000}"/>
    <cellStyle name="Вывод 2 5 5 3" xfId="10315" xr:uid="{0AAEC39F-85B7-4C2B-9B55-0F2F56A084E3}"/>
    <cellStyle name="Вывод 2 5 6" xfId="2935" xr:uid="{00000000-0005-0000-0000-0000B0130000}"/>
    <cellStyle name="Вывод 2 5 6 2" xfId="6829" xr:uid="{00000000-0005-0000-0000-0000B1130000}"/>
    <cellStyle name="Вывод 2 5 6 3" xfId="10838" xr:uid="{7FB66EA7-09D0-4D25-B18E-57862C115A94}"/>
    <cellStyle name="Вывод 2 5 7" xfId="4113" xr:uid="{00000000-0005-0000-0000-0000B2130000}"/>
    <cellStyle name="Вывод 2 5 8" xfId="8122" xr:uid="{7962A4AB-14C0-43F3-8D10-57375538E543}"/>
    <cellStyle name="Вывод 2 5 9" xfId="12013" xr:uid="{A664E76A-68E3-4C9A-BF8E-A9ACF422169A}"/>
    <cellStyle name="Вывод 2 6" xfId="296" xr:uid="{00000000-0005-0000-0000-0000B3130000}"/>
    <cellStyle name="Вывод 2 6 2" xfId="626" xr:uid="{00000000-0005-0000-0000-0000B4130000}"/>
    <cellStyle name="Вывод 2 6 2 2" xfId="1407" xr:uid="{00000000-0005-0000-0000-0000B5130000}"/>
    <cellStyle name="Вывод 2 6 2 2 2" xfId="2419" xr:uid="{00000000-0005-0000-0000-0000B6130000}"/>
    <cellStyle name="Вывод 2 6 2 2 2 2" xfId="6316" xr:uid="{00000000-0005-0000-0000-0000B7130000}"/>
    <cellStyle name="Вывод 2 6 2 2 2 3" xfId="10325" xr:uid="{F7CD468A-7B91-4F09-817E-97C24571777A}"/>
    <cellStyle name="Вывод 2 6 2 2 3" xfId="5308" xr:uid="{00000000-0005-0000-0000-0000B8130000}"/>
    <cellStyle name="Вывод 2 6 2 2 4" xfId="9317" xr:uid="{A8ACABE9-6257-4B4C-9D87-A84881838E69}"/>
    <cellStyle name="Вывод 2 6 2 2 5" xfId="13208" xr:uid="{69C1968B-F2B6-41D9-BD17-E0B2EBCC109B}"/>
    <cellStyle name="Вывод 2 6 2 3" xfId="2418" xr:uid="{00000000-0005-0000-0000-0000B9130000}"/>
    <cellStyle name="Вывод 2 6 2 3 2" xfId="6315" xr:uid="{00000000-0005-0000-0000-0000BA130000}"/>
    <cellStyle name="Вывод 2 6 2 3 3" xfId="10324" xr:uid="{61978950-4F55-4B5E-A62C-4559F46ECBFF}"/>
    <cellStyle name="Вывод 2 6 2 4" xfId="3352" xr:uid="{00000000-0005-0000-0000-0000BB130000}"/>
    <cellStyle name="Вывод 2 6 2 4 2" xfId="7246" xr:uid="{00000000-0005-0000-0000-0000BC130000}"/>
    <cellStyle name="Вывод 2 6 2 4 3" xfId="11255" xr:uid="{809721AB-1858-4A30-9DE4-B3BF44E41C5A}"/>
    <cellStyle name="Вывод 2 6 2 5" xfId="4530" xr:uid="{00000000-0005-0000-0000-0000BD130000}"/>
    <cellStyle name="Вывод 2 6 2 6" xfId="8539" xr:uid="{506F179F-4E3B-48D5-BFC0-EF4465B4D2A2}"/>
    <cellStyle name="Вывод 2 6 2 7" xfId="12430" xr:uid="{D692DFA3-977A-450C-924D-1064A29205A3}"/>
    <cellStyle name="Вывод 2 6 3" xfId="1086" xr:uid="{00000000-0005-0000-0000-0000BE130000}"/>
    <cellStyle name="Вывод 2 6 3 2" xfId="2420" xr:uid="{00000000-0005-0000-0000-0000BF130000}"/>
    <cellStyle name="Вывод 2 6 3 2 2" xfId="6317" xr:uid="{00000000-0005-0000-0000-0000C0130000}"/>
    <cellStyle name="Вывод 2 6 3 2 3" xfId="10326" xr:uid="{3BF0B20C-C06A-4AAB-A4F2-60DCC3C16923}"/>
    <cellStyle name="Вывод 2 6 3 3" xfId="4987" xr:uid="{00000000-0005-0000-0000-0000C1130000}"/>
    <cellStyle name="Вывод 2 6 3 4" xfId="8996" xr:uid="{C2C2C6A1-AC3D-43E4-8C4B-7DBFC76C1A2E}"/>
    <cellStyle name="Вывод 2 6 3 5" xfId="12887" xr:uid="{7237F78E-8787-400A-85A9-792B5597A501}"/>
    <cellStyle name="Вывод 2 6 4" xfId="2417" xr:uid="{00000000-0005-0000-0000-0000C2130000}"/>
    <cellStyle name="Вывод 2 6 4 2" xfId="6314" xr:uid="{00000000-0005-0000-0000-0000C3130000}"/>
    <cellStyle name="Вывод 2 6 4 3" xfId="10323" xr:uid="{C3549447-2263-4414-A4D5-1A8756A53D45}"/>
    <cellStyle name="Вывод 2 6 5" xfId="3031" xr:uid="{00000000-0005-0000-0000-0000C4130000}"/>
    <cellStyle name="Вывод 2 6 5 2" xfId="6925" xr:uid="{00000000-0005-0000-0000-0000C5130000}"/>
    <cellStyle name="Вывод 2 6 5 3" xfId="10934" xr:uid="{596C21B8-EC90-4504-945F-211C054AD4BA}"/>
    <cellStyle name="Вывод 2 6 6" xfId="4209" xr:uid="{00000000-0005-0000-0000-0000C6130000}"/>
    <cellStyle name="Вывод 2 6 7" xfId="8218" xr:uid="{FB009BD4-2E08-4837-BAD6-CD0115F63839}"/>
    <cellStyle name="Вывод 2 6 8" xfId="12109" xr:uid="{D7FA3644-EBFF-48B9-B7F5-276E2A740B47}"/>
    <cellStyle name="Вывод 2 6 9" xfId="13545" xr:uid="{DE66100E-4263-40DC-8896-F72A8DCD9A3C}"/>
    <cellStyle name="Вывод 2 7" xfId="304" xr:uid="{00000000-0005-0000-0000-0000C7130000}"/>
    <cellStyle name="Вывод 2 7 2" xfId="634" xr:uid="{00000000-0005-0000-0000-0000C8130000}"/>
    <cellStyle name="Вывод 2 7 2 2" xfId="1415" xr:uid="{00000000-0005-0000-0000-0000C9130000}"/>
    <cellStyle name="Вывод 2 7 2 2 2" xfId="2423" xr:uid="{00000000-0005-0000-0000-0000CA130000}"/>
    <cellStyle name="Вывод 2 7 2 2 2 2" xfId="6320" xr:uid="{00000000-0005-0000-0000-0000CB130000}"/>
    <cellStyle name="Вывод 2 7 2 2 2 3" xfId="10329" xr:uid="{399DC8E8-93A1-4303-A1F5-3248037FBBA8}"/>
    <cellStyle name="Вывод 2 7 2 2 3" xfId="5316" xr:uid="{00000000-0005-0000-0000-0000CC130000}"/>
    <cellStyle name="Вывод 2 7 2 2 4" xfId="9325" xr:uid="{D4A34976-50BC-483B-88A1-B84E7DDD7D0C}"/>
    <cellStyle name="Вывод 2 7 2 2 5" xfId="13216" xr:uid="{828DE560-11E7-4517-9962-B3E7947EB9EA}"/>
    <cellStyle name="Вывод 2 7 2 3" xfId="2422" xr:uid="{00000000-0005-0000-0000-0000CD130000}"/>
    <cellStyle name="Вывод 2 7 2 3 2" xfId="6319" xr:uid="{00000000-0005-0000-0000-0000CE130000}"/>
    <cellStyle name="Вывод 2 7 2 3 3" xfId="10328" xr:uid="{34DEFF36-5848-4436-B4ED-B4EA19591E10}"/>
    <cellStyle name="Вывод 2 7 2 4" xfId="3360" xr:uid="{00000000-0005-0000-0000-0000CF130000}"/>
    <cellStyle name="Вывод 2 7 2 4 2" xfId="7254" xr:uid="{00000000-0005-0000-0000-0000D0130000}"/>
    <cellStyle name="Вывод 2 7 2 4 3" xfId="11263" xr:uid="{C7A4CCA9-4C76-4B9D-9304-98F7394EFA2C}"/>
    <cellStyle name="Вывод 2 7 2 5" xfId="4538" xr:uid="{00000000-0005-0000-0000-0000D1130000}"/>
    <cellStyle name="Вывод 2 7 2 6" xfId="8547" xr:uid="{FC99AF45-7D3C-452E-A492-820602E19A93}"/>
    <cellStyle name="Вывод 2 7 2 7" xfId="12438" xr:uid="{873698CE-DA05-4497-8A1D-6E9A1FEFC04E}"/>
    <cellStyle name="Вывод 2 7 3" xfId="1094" xr:uid="{00000000-0005-0000-0000-0000D2130000}"/>
    <cellStyle name="Вывод 2 7 3 2" xfId="2424" xr:uid="{00000000-0005-0000-0000-0000D3130000}"/>
    <cellStyle name="Вывод 2 7 3 2 2" xfId="6321" xr:uid="{00000000-0005-0000-0000-0000D4130000}"/>
    <cellStyle name="Вывод 2 7 3 2 3" xfId="10330" xr:uid="{1ED0C3AD-6E0D-46EB-89BE-BA4B71870655}"/>
    <cellStyle name="Вывод 2 7 3 3" xfId="4995" xr:uid="{00000000-0005-0000-0000-0000D5130000}"/>
    <cellStyle name="Вывод 2 7 3 4" xfId="9004" xr:uid="{72CC852C-14F2-42AE-BF90-16C9BC802746}"/>
    <cellStyle name="Вывод 2 7 3 5" xfId="12895" xr:uid="{76CE637B-C078-4BF3-9A1D-ADB2E091F38F}"/>
    <cellStyle name="Вывод 2 7 4" xfId="2421" xr:uid="{00000000-0005-0000-0000-0000D6130000}"/>
    <cellStyle name="Вывод 2 7 4 2" xfId="6318" xr:uid="{00000000-0005-0000-0000-0000D7130000}"/>
    <cellStyle name="Вывод 2 7 4 3" xfId="10327" xr:uid="{3161D202-17CB-4412-B2C6-E0BD712D1E87}"/>
    <cellStyle name="Вывод 2 7 5" xfId="3039" xr:uid="{00000000-0005-0000-0000-0000D8130000}"/>
    <cellStyle name="Вывод 2 7 5 2" xfId="6933" xr:uid="{00000000-0005-0000-0000-0000D9130000}"/>
    <cellStyle name="Вывод 2 7 5 3" xfId="10942" xr:uid="{99374B3A-93D3-4FFC-BE36-195DFAF27F0F}"/>
    <cellStyle name="Вывод 2 7 6" xfId="4217" xr:uid="{00000000-0005-0000-0000-0000DA130000}"/>
    <cellStyle name="Вывод 2 7 7" xfId="8226" xr:uid="{7651EB3B-C242-4D4A-9AAA-BE1D7BCE7622}"/>
    <cellStyle name="Вывод 2 7 8" xfId="12117" xr:uid="{5E56F18F-3B21-4FCC-824C-C77C3E10CCD4}"/>
    <cellStyle name="Вывод 2 8" xfId="465" xr:uid="{00000000-0005-0000-0000-0000DB130000}"/>
    <cellStyle name="Вывод 2 8 2" xfId="1250" xr:uid="{00000000-0005-0000-0000-0000DC130000}"/>
    <cellStyle name="Вывод 2 8 2 2" xfId="2426" xr:uid="{00000000-0005-0000-0000-0000DD130000}"/>
    <cellStyle name="Вывод 2 8 2 2 2" xfId="6323" xr:uid="{00000000-0005-0000-0000-0000DE130000}"/>
    <cellStyle name="Вывод 2 8 2 2 3" xfId="10332" xr:uid="{BCCC8D31-F779-4391-BCAC-8D6487FD6C2D}"/>
    <cellStyle name="Вывод 2 8 2 3" xfId="5151" xr:uid="{00000000-0005-0000-0000-0000DF130000}"/>
    <cellStyle name="Вывод 2 8 2 4" xfId="9160" xr:uid="{22FFE415-A1AD-4938-8700-CD5B7C8FED79}"/>
    <cellStyle name="Вывод 2 8 2 5" xfId="13051" xr:uid="{E860F229-8CD3-4293-AB80-A669030E91EC}"/>
    <cellStyle name="Вывод 2 8 3" xfId="2425" xr:uid="{00000000-0005-0000-0000-0000E0130000}"/>
    <cellStyle name="Вывод 2 8 3 2" xfId="6322" xr:uid="{00000000-0005-0000-0000-0000E1130000}"/>
    <cellStyle name="Вывод 2 8 3 3" xfId="10331" xr:uid="{1402C174-F91C-4EC2-930A-E6FC81AF80C1}"/>
    <cellStyle name="Вывод 2 8 4" xfId="3195" xr:uid="{00000000-0005-0000-0000-0000E2130000}"/>
    <cellStyle name="Вывод 2 8 4 2" xfId="7089" xr:uid="{00000000-0005-0000-0000-0000E3130000}"/>
    <cellStyle name="Вывод 2 8 4 3" xfId="11098" xr:uid="{B7DFDDE2-4800-4042-9045-DCCEC81690C5}"/>
    <cellStyle name="Вывод 2 8 5" xfId="4373" xr:uid="{00000000-0005-0000-0000-0000E4130000}"/>
    <cellStyle name="Вывод 2 8 6" xfId="8382" xr:uid="{5A54DCC2-2A62-49E9-8707-5D454837849A}"/>
    <cellStyle name="Вывод 2 8 7" xfId="12273" xr:uid="{8BD87AC2-0FE5-4EB1-9A37-637C7763B2F4}"/>
    <cellStyle name="Вывод 2 9" xfId="929" xr:uid="{00000000-0005-0000-0000-0000E5130000}"/>
    <cellStyle name="Вывод 2 9 2" xfId="2427" xr:uid="{00000000-0005-0000-0000-0000E6130000}"/>
    <cellStyle name="Вывод 2 9 2 2" xfId="6324" xr:uid="{00000000-0005-0000-0000-0000E7130000}"/>
    <cellStyle name="Вывод 2 9 2 3" xfId="10333" xr:uid="{14557516-4B5A-4578-8335-8A31D62F74A1}"/>
    <cellStyle name="Вывод 2 9 3" xfId="4830" xr:uid="{00000000-0005-0000-0000-0000E8130000}"/>
    <cellStyle name="Вывод 2 9 4" xfId="8839" xr:uid="{CAED1985-CF76-4D2B-9A8A-B1808B7714AB}"/>
    <cellStyle name="Вывод 2 9 5" xfId="12730" xr:uid="{1AF7DBF5-4A7C-4162-A132-04E368AB3759}"/>
    <cellStyle name="Вычисление 2" xfId="47" xr:uid="{00000000-0005-0000-0000-0000E9130000}"/>
    <cellStyle name="Вычисление 2 10" xfId="2428" xr:uid="{00000000-0005-0000-0000-0000EA130000}"/>
    <cellStyle name="Вычисление 2 10 2" xfId="6325" xr:uid="{00000000-0005-0000-0000-0000EB130000}"/>
    <cellStyle name="Вычисление 2 10 3" xfId="10334" xr:uid="{FF61B329-27D0-4971-942A-59D868EEEDA7}"/>
    <cellStyle name="Вычисление 2 11" xfId="2875" xr:uid="{00000000-0005-0000-0000-0000EC130000}"/>
    <cellStyle name="Вычисление 2 11 2" xfId="6769" xr:uid="{00000000-0005-0000-0000-0000ED130000}"/>
    <cellStyle name="Вычисление 2 11 3" xfId="10778" xr:uid="{159067D6-677A-41E8-A170-7B482C38D72E}"/>
    <cellStyle name="Вычисление 2 12" xfId="4053" xr:uid="{00000000-0005-0000-0000-0000EE130000}"/>
    <cellStyle name="Вычисление 2 13" xfId="8036" xr:uid="{F87FAD1E-91AA-4C04-9689-2BBE35325896}"/>
    <cellStyle name="Вычисление 2 14" xfId="8062" xr:uid="{2864B593-D0DE-46AE-B473-16CF9876DE71}"/>
    <cellStyle name="Вычисление 2 15" xfId="11953" xr:uid="{25EA06CD-43A0-44D8-AB48-7902E3873352}"/>
    <cellStyle name="Вычисление 2 16" xfId="13389" xr:uid="{EEACE1CB-DEFD-4D10-9726-FCBBB14F3461}"/>
    <cellStyle name="Вычисление 2 2" xfId="109" xr:uid="{00000000-0005-0000-0000-0000EF130000}"/>
    <cellStyle name="Вычисление 2 2 10" xfId="4063" xr:uid="{00000000-0005-0000-0000-0000F0130000}"/>
    <cellStyle name="Вычисление 2 2 11" xfId="8072" xr:uid="{A0EEC5A4-EA3B-40D8-A361-1EA7D6C286A2}"/>
    <cellStyle name="Вычисление 2 2 12" xfId="11963" xr:uid="{1290AA23-4805-4A53-8E75-E4A1837CD341}"/>
    <cellStyle name="Вычисление 2 2 13" xfId="13399" xr:uid="{3CAE30CA-BECB-44F3-854A-4C49467C0839}"/>
    <cellStyle name="Вычисление 2 2 2" xfId="184" xr:uid="{00000000-0005-0000-0000-0000F1130000}"/>
    <cellStyle name="Вычисление 2 2 2 10" xfId="8109" xr:uid="{1C1FC78C-F4D8-45DE-AC27-30DE1AE97A33}"/>
    <cellStyle name="Вычисление 2 2 2 11" xfId="12000" xr:uid="{701E0DA8-B027-4D0E-8863-AA2CF932A426}"/>
    <cellStyle name="Вычисление 2 2 2 12" xfId="13436" xr:uid="{78AC209D-9D31-43EC-A48B-77FECBA54F5E}"/>
    <cellStyle name="Вычисление 2 2 2 2" xfId="285" xr:uid="{00000000-0005-0000-0000-0000F2130000}"/>
    <cellStyle name="Вычисление 2 2 2 2 10" xfId="13534" xr:uid="{66BAB084-EF39-4E6E-9514-BF36DC978E14}"/>
    <cellStyle name="Вычисление 2 2 2 2 2" xfId="441" xr:uid="{00000000-0005-0000-0000-0000F3130000}"/>
    <cellStyle name="Вычисление 2 2 2 2 2 2" xfId="771" xr:uid="{00000000-0005-0000-0000-0000F4130000}"/>
    <cellStyle name="Вычисление 2 2 2 2 2 2 2" xfId="1552" xr:uid="{00000000-0005-0000-0000-0000F5130000}"/>
    <cellStyle name="Вычисление 2 2 2 2 2 2 2 2" xfId="2434" xr:uid="{00000000-0005-0000-0000-0000F6130000}"/>
    <cellStyle name="Вычисление 2 2 2 2 2 2 2 2 2" xfId="6331" xr:uid="{00000000-0005-0000-0000-0000F7130000}"/>
    <cellStyle name="Вычисление 2 2 2 2 2 2 2 2 3" xfId="10340" xr:uid="{BE72291E-7C40-4C17-B08C-6343E4E144AD}"/>
    <cellStyle name="Вычисление 2 2 2 2 2 2 2 3" xfId="3900" xr:uid="{00000000-0005-0000-0000-0000F8130000}"/>
    <cellStyle name="Вычисление 2 2 2 2 2 2 2 3 2" xfId="7794" xr:uid="{00000000-0005-0000-0000-0000F9130000}"/>
    <cellStyle name="Вычисление 2 2 2 2 2 2 2 3 3" xfId="11803" xr:uid="{7D209108-8134-4DA7-988D-7994A3B4F98D}"/>
    <cellStyle name="Вычисление 2 2 2 2 2 2 2 4" xfId="5453" xr:uid="{00000000-0005-0000-0000-0000FA130000}"/>
    <cellStyle name="Вычисление 2 2 2 2 2 2 2 5" xfId="9462" xr:uid="{70D6C5F0-AE42-40AA-8C41-E1D780C476CB}"/>
    <cellStyle name="Вычисление 2 2 2 2 2 2 2 6" xfId="13353" xr:uid="{FD136B44-63D2-47FD-8CC3-05BFA881FB58}"/>
    <cellStyle name="Вычисление 2 2 2 2 2 2 3" xfId="2433" xr:uid="{00000000-0005-0000-0000-0000FB130000}"/>
    <cellStyle name="Вычисление 2 2 2 2 2 2 3 2" xfId="6330" xr:uid="{00000000-0005-0000-0000-0000FC130000}"/>
    <cellStyle name="Вычисление 2 2 2 2 2 2 3 3" xfId="10339" xr:uid="{84C9E86E-946D-47C6-8468-D832CB40FBD9}"/>
    <cellStyle name="Вычисление 2 2 2 2 2 2 4" xfId="3497" xr:uid="{00000000-0005-0000-0000-0000FD130000}"/>
    <cellStyle name="Вычисление 2 2 2 2 2 2 4 2" xfId="7391" xr:uid="{00000000-0005-0000-0000-0000FE130000}"/>
    <cellStyle name="Вычисление 2 2 2 2 2 2 4 3" xfId="11400" xr:uid="{A563D91A-F7EE-41C2-BBB5-ABA86AEC8762}"/>
    <cellStyle name="Вычисление 2 2 2 2 2 2 5" xfId="4675" xr:uid="{00000000-0005-0000-0000-0000FF130000}"/>
    <cellStyle name="Вычисление 2 2 2 2 2 2 6" xfId="8684" xr:uid="{57EFEA82-CDFB-4783-9EF6-2A6B1B093C47}"/>
    <cellStyle name="Вычисление 2 2 2 2 2 2 7" xfId="12575" xr:uid="{BF135BE5-0E6A-490C-BC97-808A57B8ACC7}"/>
    <cellStyle name="Вычисление 2 2 2 2 2 3" xfId="1231" xr:uid="{00000000-0005-0000-0000-000000140000}"/>
    <cellStyle name="Вычисление 2 2 2 2 2 3 2" xfId="2435" xr:uid="{00000000-0005-0000-0000-000001140000}"/>
    <cellStyle name="Вычисление 2 2 2 2 2 3 2 2" xfId="6332" xr:uid="{00000000-0005-0000-0000-000002140000}"/>
    <cellStyle name="Вычисление 2 2 2 2 2 3 2 3" xfId="10341" xr:uid="{91F16BD6-E4A1-4E14-80E6-94295803D6BE}"/>
    <cellStyle name="Вычисление 2 2 2 2 2 3 3" xfId="3702" xr:uid="{00000000-0005-0000-0000-000003140000}"/>
    <cellStyle name="Вычисление 2 2 2 2 2 3 3 2" xfId="7596" xr:uid="{00000000-0005-0000-0000-000004140000}"/>
    <cellStyle name="Вычисление 2 2 2 2 2 3 3 3" xfId="11605" xr:uid="{E45B86F2-289D-42DF-A22A-02F017E13649}"/>
    <cellStyle name="Вычисление 2 2 2 2 2 3 4" xfId="5132" xr:uid="{00000000-0005-0000-0000-000005140000}"/>
    <cellStyle name="Вычисление 2 2 2 2 2 3 5" xfId="9141" xr:uid="{66ED98B4-059B-44D6-A5BD-94407548454A}"/>
    <cellStyle name="Вычисление 2 2 2 2 2 3 6" xfId="13032" xr:uid="{F68ABA5B-424E-483F-9883-111FE29074DD}"/>
    <cellStyle name="Вычисление 2 2 2 2 2 4" xfId="2432" xr:uid="{00000000-0005-0000-0000-000006140000}"/>
    <cellStyle name="Вычисление 2 2 2 2 2 4 2" xfId="6329" xr:uid="{00000000-0005-0000-0000-000007140000}"/>
    <cellStyle name="Вычисление 2 2 2 2 2 4 3" xfId="10338" xr:uid="{19DF7B47-A174-47FB-B653-E70704778CB8}"/>
    <cellStyle name="Вычисление 2 2 2 2 2 5" xfId="3176" xr:uid="{00000000-0005-0000-0000-000008140000}"/>
    <cellStyle name="Вычисление 2 2 2 2 2 5 2" xfId="7070" xr:uid="{00000000-0005-0000-0000-000009140000}"/>
    <cellStyle name="Вычисление 2 2 2 2 2 5 3" xfId="11079" xr:uid="{7EEFAA63-0DD0-4159-8AB4-AB0DE15305A3}"/>
    <cellStyle name="Вычисление 2 2 2 2 2 6" xfId="4354" xr:uid="{00000000-0005-0000-0000-00000A140000}"/>
    <cellStyle name="Вычисление 2 2 2 2 2 7" xfId="8363" xr:uid="{9CFC0902-1597-4E34-BF62-25C2E76A4407}"/>
    <cellStyle name="Вычисление 2 2 2 2 2 8" xfId="12254" xr:uid="{5ED6843E-DA70-4B63-90E0-34C6CFF2C5CC}"/>
    <cellStyle name="Вычисление 2 2 2 2 3" xfId="615" xr:uid="{00000000-0005-0000-0000-00000B140000}"/>
    <cellStyle name="Вычисление 2 2 2 2 3 2" xfId="1396" xr:uid="{00000000-0005-0000-0000-00000C140000}"/>
    <cellStyle name="Вычисление 2 2 2 2 3 2 2" xfId="2437" xr:uid="{00000000-0005-0000-0000-00000D140000}"/>
    <cellStyle name="Вычисление 2 2 2 2 3 2 2 2" xfId="6334" xr:uid="{00000000-0005-0000-0000-00000E140000}"/>
    <cellStyle name="Вычисление 2 2 2 2 3 2 2 3" xfId="10343" xr:uid="{2AA6CEAD-D71A-4231-A581-2BD8D3E2E44E}"/>
    <cellStyle name="Вычисление 2 2 2 2 3 2 3" xfId="3801" xr:uid="{00000000-0005-0000-0000-00000F140000}"/>
    <cellStyle name="Вычисление 2 2 2 2 3 2 3 2" xfId="7695" xr:uid="{00000000-0005-0000-0000-000010140000}"/>
    <cellStyle name="Вычисление 2 2 2 2 3 2 3 3" xfId="11704" xr:uid="{382130F2-5D38-4405-88D9-1F133885763C}"/>
    <cellStyle name="Вычисление 2 2 2 2 3 2 4" xfId="5297" xr:uid="{00000000-0005-0000-0000-000011140000}"/>
    <cellStyle name="Вычисление 2 2 2 2 3 2 5" xfId="9306" xr:uid="{223729D5-8F37-4BDD-B597-5C69868C0FD1}"/>
    <cellStyle name="Вычисление 2 2 2 2 3 2 6" xfId="13197" xr:uid="{B0A961B2-0D4C-4E24-ACF5-58BA0E315E84}"/>
    <cellStyle name="Вычисление 2 2 2 2 3 3" xfId="2436" xr:uid="{00000000-0005-0000-0000-000012140000}"/>
    <cellStyle name="Вычисление 2 2 2 2 3 3 2" xfId="6333" xr:uid="{00000000-0005-0000-0000-000013140000}"/>
    <cellStyle name="Вычисление 2 2 2 2 3 3 3" xfId="10342" xr:uid="{257390FD-442C-4BFB-8AA1-7531375AE2E7}"/>
    <cellStyle name="Вычисление 2 2 2 2 3 4" xfId="3341" xr:uid="{00000000-0005-0000-0000-000014140000}"/>
    <cellStyle name="Вычисление 2 2 2 2 3 4 2" xfId="7235" xr:uid="{00000000-0005-0000-0000-000015140000}"/>
    <cellStyle name="Вычисление 2 2 2 2 3 4 3" xfId="11244" xr:uid="{00E19155-117E-4EB9-8A93-5190E512FD4C}"/>
    <cellStyle name="Вычисление 2 2 2 2 3 5" xfId="4519" xr:uid="{00000000-0005-0000-0000-000016140000}"/>
    <cellStyle name="Вычисление 2 2 2 2 3 6" xfId="8528" xr:uid="{93A9374E-BFB2-4D8E-9D55-C1D582DC26A2}"/>
    <cellStyle name="Вычисление 2 2 2 2 3 7" xfId="12419" xr:uid="{86D1C5DB-46CE-440A-AC49-6A7E39DBDF8B}"/>
    <cellStyle name="Вычисление 2 2 2 2 4" xfId="1075" xr:uid="{00000000-0005-0000-0000-000017140000}"/>
    <cellStyle name="Вычисление 2 2 2 2 4 2" xfId="2438" xr:uid="{00000000-0005-0000-0000-000018140000}"/>
    <cellStyle name="Вычисление 2 2 2 2 4 2 2" xfId="6335" xr:uid="{00000000-0005-0000-0000-000019140000}"/>
    <cellStyle name="Вычисление 2 2 2 2 4 2 3" xfId="10344" xr:uid="{4C69DC0E-D8C3-43C2-A3AE-3CE2261F8EEA}"/>
    <cellStyle name="Вычисление 2 2 2 2 4 3" xfId="3603" xr:uid="{00000000-0005-0000-0000-00001A140000}"/>
    <cellStyle name="Вычисление 2 2 2 2 4 3 2" xfId="7497" xr:uid="{00000000-0005-0000-0000-00001B140000}"/>
    <cellStyle name="Вычисление 2 2 2 2 4 3 3" xfId="11506" xr:uid="{CFD27D7A-6CA5-41CE-8163-958DF1C06174}"/>
    <cellStyle name="Вычисление 2 2 2 2 4 4" xfId="4976" xr:uid="{00000000-0005-0000-0000-00001C140000}"/>
    <cellStyle name="Вычисление 2 2 2 2 4 5" xfId="8985" xr:uid="{17289093-CF94-4E3D-B582-1789205E58CA}"/>
    <cellStyle name="Вычисление 2 2 2 2 4 6" xfId="12876" xr:uid="{2B8B2876-2270-4127-AC70-2ABBE08934CF}"/>
    <cellStyle name="Вычисление 2 2 2 2 5" xfId="2431" xr:uid="{00000000-0005-0000-0000-00001D140000}"/>
    <cellStyle name="Вычисление 2 2 2 2 5 2" xfId="6328" xr:uid="{00000000-0005-0000-0000-00001E140000}"/>
    <cellStyle name="Вычисление 2 2 2 2 5 3" xfId="10337" xr:uid="{EFE2EE3C-5A26-4540-AA70-3F714FF7E4F5}"/>
    <cellStyle name="Вычисление 2 2 2 2 6" xfId="3020" xr:uid="{00000000-0005-0000-0000-00001F140000}"/>
    <cellStyle name="Вычисление 2 2 2 2 6 2" xfId="6914" xr:uid="{00000000-0005-0000-0000-000020140000}"/>
    <cellStyle name="Вычисление 2 2 2 2 6 3" xfId="10923" xr:uid="{A3A702BA-DC2E-4C92-9775-273E5CEFE496}"/>
    <cellStyle name="Вычисление 2 2 2 2 7" xfId="4198" xr:uid="{00000000-0005-0000-0000-000021140000}"/>
    <cellStyle name="Вычисление 2 2 2 2 8" xfId="8207" xr:uid="{E9FA647B-1C65-41A9-B213-0DACD1DD6FDE}"/>
    <cellStyle name="Вычисление 2 2 2 2 9" xfId="12098" xr:uid="{E7A08CE8-85EF-4651-8119-A0D3A9CDFBCE}"/>
    <cellStyle name="Вычисление 2 2 2 3" xfId="293" xr:uid="{00000000-0005-0000-0000-000022140000}"/>
    <cellStyle name="Вычисление 2 2 2 3 10" xfId="13542" xr:uid="{36B16165-C51C-4187-91C7-CBA3EC5E419B}"/>
    <cellStyle name="Вычисление 2 2 2 3 2" xfId="449" xr:uid="{00000000-0005-0000-0000-000023140000}"/>
    <cellStyle name="Вычисление 2 2 2 3 2 2" xfId="779" xr:uid="{00000000-0005-0000-0000-000024140000}"/>
    <cellStyle name="Вычисление 2 2 2 3 2 2 2" xfId="1560" xr:uid="{00000000-0005-0000-0000-000025140000}"/>
    <cellStyle name="Вычисление 2 2 2 3 2 2 2 2" xfId="2442" xr:uid="{00000000-0005-0000-0000-000026140000}"/>
    <cellStyle name="Вычисление 2 2 2 3 2 2 2 2 2" xfId="6339" xr:uid="{00000000-0005-0000-0000-000027140000}"/>
    <cellStyle name="Вычисление 2 2 2 3 2 2 2 2 3" xfId="10348" xr:uid="{6B6EFFF4-8141-4B18-AD00-9BA03AB8EC8E}"/>
    <cellStyle name="Вычисление 2 2 2 3 2 2 2 3" xfId="3906" xr:uid="{00000000-0005-0000-0000-000028140000}"/>
    <cellStyle name="Вычисление 2 2 2 3 2 2 2 3 2" xfId="7800" xr:uid="{00000000-0005-0000-0000-000029140000}"/>
    <cellStyle name="Вычисление 2 2 2 3 2 2 2 3 3" xfId="11809" xr:uid="{EECA79CA-FEA7-4ACA-8C1A-0AF79C12D72D}"/>
    <cellStyle name="Вычисление 2 2 2 3 2 2 2 4" xfId="5461" xr:uid="{00000000-0005-0000-0000-00002A140000}"/>
    <cellStyle name="Вычисление 2 2 2 3 2 2 2 5" xfId="9470" xr:uid="{F72FCD18-15AF-4870-956E-97026DF36A1C}"/>
    <cellStyle name="Вычисление 2 2 2 3 2 2 2 6" xfId="13361" xr:uid="{11E50412-90FF-4556-AE8B-F8FE71DA5B2B}"/>
    <cellStyle name="Вычисление 2 2 2 3 2 2 3" xfId="2441" xr:uid="{00000000-0005-0000-0000-00002B140000}"/>
    <cellStyle name="Вычисление 2 2 2 3 2 2 3 2" xfId="6338" xr:uid="{00000000-0005-0000-0000-00002C140000}"/>
    <cellStyle name="Вычисление 2 2 2 3 2 2 3 3" xfId="10347" xr:uid="{CB0EA9F7-3C88-4C53-AACE-967FB49D981C}"/>
    <cellStyle name="Вычисление 2 2 2 3 2 2 4" xfId="3505" xr:uid="{00000000-0005-0000-0000-00002D140000}"/>
    <cellStyle name="Вычисление 2 2 2 3 2 2 4 2" xfId="7399" xr:uid="{00000000-0005-0000-0000-00002E140000}"/>
    <cellStyle name="Вычисление 2 2 2 3 2 2 4 3" xfId="11408" xr:uid="{FAD7E24F-AC4D-4FBE-9CC5-CE9AF7481910}"/>
    <cellStyle name="Вычисление 2 2 2 3 2 2 5" xfId="4683" xr:uid="{00000000-0005-0000-0000-00002F140000}"/>
    <cellStyle name="Вычисление 2 2 2 3 2 2 6" xfId="8692" xr:uid="{D3AF6F4D-69CC-4193-9B3C-15916A7B3168}"/>
    <cellStyle name="Вычисление 2 2 2 3 2 2 7" xfId="12583" xr:uid="{C503655B-2C5B-4E70-A931-9E8CF9329812}"/>
    <cellStyle name="Вычисление 2 2 2 3 2 3" xfId="1239" xr:uid="{00000000-0005-0000-0000-000030140000}"/>
    <cellStyle name="Вычисление 2 2 2 3 2 3 2" xfId="2443" xr:uid="{00000000-0005-0000-0000-000031140000}"/>
    <cellStyle name="Вычисление 2 2 2 3 2 3 2 2" xfId="6340" xr:uid="{00000000-0005-0000-0000-000032140000}"/>
    <cellStyle name="Вычисление 2 2 2 3 2 3 2 3" xfId="10349" xr:uid="{F3B444A8-266F-4059-9DD1-0737126CB4CC}"/>
    <cellStyle name="Вычисление 2 2 2 3 2 3 3" xfId="3708" xr:uid="{00000000-0005-0000-0000-000033140000}"/>
    <cellStyle name="Вычисление 2 2 2 3 2 3 3 2" xfId="7602" xr:uid="{00000000-0005-0000-0000-000034140000}"/>
    <cellStyle name="Вычисление 2 2 2 3 2 3 3 3" xfId="11611" xr:uid="{8CABE34E-8484-45DE-9ECF-3B48A478287F}"/>
    <cellStyle name="Вычисление 2 2 2 3 2 3 4" xfId="5140" xr:uid="{00000000-0005-0000-0000-000035140000}"/>
    <cellStyle name="Вычисление 2 2 2 3 2 3 5" xfId="9149" xr:uid="{502932E9-E279-4074-8F3D-D318FBFB2690}"/>
    <cellStyle name="Вычисление 2 2 2 3 2 3 6" xfId="13040" xr:uid="{BADA6FE9-DCA9-43D7-A3BA-1CBC13BFB20E}"/>
    <cellStyle name="Вычисление 2 2 2 3 2 4" xfId="2440" xr:uid="{00000000-0005-0000-0000-000036140000}"/>
    <cellStyle name="Вычисление 2 2 2 3 2 4 2" xfId="6337" xr:uid="{00000000-0005-0000-0000-000037140000}"/>
    <cellStyle name="Вычисление 2 2 2 3 2 4 3" xfId="10346" xr:uid="{76A42051-BB30-4AAD-9745-CB6F70A3B958}"/>
    <cellStyle name="Вычисление 2 2 2 3 2 5" xfId="3184" xr:uid="{00000000-0005-0000-0000-000038140000}"/>
    <cellStyle name="Вычисление 2 2 2 3 2 5 2" xfId="7078" xr:uid="{00000000-0005-0000-0000-000039140000}"/>
    <cellStyle name="Вычисление 2 2 2 3 2 5 3" xfId="11087" xr:uid="{2629DA09-2B8C-4102-AF6E-36F0D046D083}"/>
    <cellStyle name="Вычисление 2 2 2 3 2 6" xfId="4362" xr:uid="{00000000-0005-0000-0000-00003A140000}"/>
    <cellStyle name="Вычисление 2 2 2 3 2 7" xfId="8371" xr:uid="{3A463367-A265-4D96-80CF-D68A96E3C3B5}"/>
    <cellStyle name="Вычисление 2 2 2 3 2 8" xfId="12262" xr:uid="{0C94D1B9-F1E0-4DA2-8157-2E0583FEF01E}"/>
    <cellStyle name="Вычисление 2 2 2 3 3" xfId="623" xr:uid="{00000000-0005-0000-0000-00003B140000}"/>
    <cellStyle name="Вычисление 2 2 2 3 3 2" xfId="1404" xr:uid="{00000000-0005-0000-0000-00003C140000}"/>
    <cellStyle name="Вычисление 2 2 2 3 3 2 2" xfId="2445" xr:uid="{00000000-0005-0000-0000-00003D140000}"/>
    <cellStyle name="Вычисление 2 2 2 3 3 2 2 2" xfId="6342" xr:uid="{00000000-0005-0000-0000-00003E140000}"/>
    <cellStyle name="Вычисление 2 2 2 3 3 2 2 3" xfId="10351" xr:uid="{28909789-B8B1-4B32-AD97-D43527184026}"/>
    <cellStyle name="Вычисление 2 2 2 3 3 2 3" xfId="3807" xr:uid="{00000000-0005-0000-0000-00003F140000}"/>
    <cellStyle name="Вычисление 2 2 2 3 3 2 3 2" xfId="7701" xr:uid="{00000000-0005-0000-0000-000040140000}"/>
    <cellStyle name="Вычисление 2 2 2 3 3 2 3 3" xfId="11710" xr:uid="{0853E0F6-CE04-4269-AB85-E81DFF00B643}"/>
    <cellStyle name="Вычисление 2 2 2 3 3 2 4" xfId="5305" xr:uid="{00000000-0005-0000-0000-000041140000}"/>
    <cellStyle name="Вычисление 2 2 2 3 3 2 5" xfId="9314" xr:uid="{65007B03-5EC3-4C59-BA66-0AD53C7F27E7}"/>
    <cellStyle name="Вычисление 2 2 2 3 3 2 6" xfId="13205" xr:uid="{4C058153-FD17-4588-AB64-125D26DACC57}"/>
    <cellStyle name="Вычисление 2 2 2 3 3 3" xfId="2444" xr:uid="{00000000-0005-0000-0000-000042140000}"/>
    <cellStyle name="Вычисление 2 2 2 3 3 3 2" xfId="6341" xr:uid="{00000000-0005-0000-0000-000043140000}"/>
    <cellStyle name="Вычисление 2 2 2 3 3 3 3" xfId="10350" xr:uid="{24E8F5F8-2ADB-4AA2-A59B-309938D76511}"/>
    <cellStyle name="Вычисление 2 2 2 3 3 4" xfId="3349" xr:uid="{00000000-0005-0000-0000-000044140000}"/>
    <cellStyle name="Вычисление 2 2 2 3 3 4 2" xfId="7243" xr:uid="{00000000-0005-0000-0000-000045140000}"/>
    <cellStyle name="Вычисление 2 2 2 3 3 4 3" xfId="11252" xr:uid="{5608551C-6864-4237-93BA-F6C36C33E8F9}"/>
    <cellStyle name="Вычисление 2 2 2 3 3 5" xfId="4527" xr:uid="{00000000-0005-0000-0000-000046140000}"/>
    <cellStyle name="Вычисление 2 2 2 3 3 6" xfId="8536" xr:uid="{1B354FC4-F457-44AD-8CC5-E1074BB86A14}"/>
    <cellStyle name="Вычисление 2 2 2 3 3 7" xfId="12427" xr:uid="{ADA1569C-0C7D-4846-B868-A53A958CE3AA}"/>
    <cellStyle name="Вычисление 2 2 2 3 4" xfId="1083" xr:uid="{00000000-0005-0000-0000-000047140000}"/>
    <cellStyle name="Вычисление 2 2 2 3 4 2" xfId="2446" xr:uid="{00000000-0005-0000-0000-000048140000}"/>
    <cellStyle name="Вычисление 2 2 2 3 4 2 2" xfId="6343" xr:uid="{00000000-0005-0000-0000-000049140000}"/>
    <cellStyle name="Вычисление 2 2 2 3 4 2 3" xfId="10352" xr:uid="{F5AAA263-841C-46D4-9AF6-351D4E7AC2CE}"/>
    <cellStyle name="Вычисление 2 2 2 3 4 3" xfId="3609" xr:uid="{00000000-0005-0000-0000-00004A140000}"/>
    <cellStyle name="Вычисление 2 2 2 3 4 3 2" xfId="7503" xr:uid="{00000000-0005-0000-0000-00004B140000}"/>
    <cellStyle name="Вычисление 2 2 2 3 4 3 3" xfId="11512" xr:uid="{7D5C0C37-E2AA-4A8E-9774-A01877577187}"/>
    <cellStyle name="Вычисление 2 2 2 3 4 4" xfId="4984" xr:uid="{00000000-0005-0000-0000-00004C140000}"/>
    <cellStyle name="Вычисление 2 2 2 3 4 5" xfId="8993" xr:uid="{A8B4EC4D-D094-416B-8317-1FE4D1069054}"/>
    <cellStyle name="Вычисление 2 2 2 3 4 6" xfId="12884" xr:uid="{967A27B7-06D5-42E2-9736-33F2013FE3F4}"/>
    <cellStyle name="Вычисление 2 2 2 3 5" xfId="2439" xr:uid="{00000000-0005-0000-0000-00004D140000}"/>
    <cellStyle name="Вычисление 2 2 2 3 5 2" xfId="6336" xr:uid="{00000000-0005-0000-0000-00004E140000}"/>
    <cellStyle name="Вычисление 2 2 2 3 5 3" xfId="10345" xr:uid="{AEDFD138-87AC-486B-95AE-5E0FC99DE28F}"/>
    <cellStyle name="Вычисление 2 2 2 3 6" xfId="3028" xr:uid="{00000000-0005-0000-0000-00004F140000}"/>
    <cellStyle name="Вычисление 2 2 2 3 6 2" xfId="6922" xr:uid="{00000000-0005-0000-0000-000050140000}"/>
    <cellStyle name="Вычисление 2 2 2 3 6 3" xfId="10931" xr:uid="{D5BB7FF9-6773-4F25-9D19-DA32FE6C70BA}"/>
    <cellStyle name="Вычисление 2 2 2 3 7" xfId="4206" xr:uid="{00000000-0005-0000-0000-000051140000}"/>
    <cellStyle name="Вычисление 2 2 2 3 8" xfId="8215" xr:uid="{9D706847-DB44-40D8-9BF1-74E66D011D3D}"/>
    <cellStyle name="Вычисление 2 2 2 3 9" xfId="12106" xr:uid="{65CD09A1-FEA5-407C-8B49-E373A84567E9}"/>
    <cellStyle name="Вычисление 2 2 2 4" xfId="352" xr:uid="{00000000-0005-0000-0000-000052140000}"/>
    <cellStyle name="Вычисление 2 2 2 4 2" xfId="682" xr:uid="{00000000-0005-0000-0000-000053140000}"/>
    <cellStyle name="Вычисление 2 2 2 4 2 2" xfId="1463" xr:uid="{00000000-0005-0000-0000-000054140000}"/>
    <cellStyle name="Вычисление 2 2 2 4 2 2 2" xfId="2449" xr:uid="{00000000-0005-0000-0000-000055140000}"/>
    <cellStyle name="Вычисление 2 2 2 4 2 2 2 2" xfId="6346" xr:uid="{00000000-0005-0000-0000-000056140000}"/>
    <cellStyle name="Вычисление 2 2 2 4 2 2 2 3" xfId="10355" xr:uid="{733696B7-1855-48C5-91D0-CABEDD9B4811}"/>
    <cellStyle name="Вычисление 2 2 2 4 2 2 3" xfId="3841" xr:uid="{00000000-0005-0000-0000-000057140000}"/>
    <cellStyle name="Вычисление 2 2 2 4 2 2 3 2" xfId="7735" xr:uid="{00000000-0005-0000-0000-000058140000}"/>
    <cellStyle name="Вычисление 2 2 2 4 2 2 3 3" xfId="11744" xr:uid="{ABE30C42-910E-4E96-B078-89B35317CC18}"/>
    <cellStyle name="Вычисление 2 2 2 4 2 2 4" xfId="5364" xr:uid="{00000000-0005-0000-0000-000059140000}"/>
    <cellStyle name="Вычисление 2 2 2 4 2 2 5" xfId="9373" xr:uid="{4D3767C8-B37E-436B-B243-F35EE6F3B983}"/>
    <cellStyle name="Вычисление 2 2 2 4 2 2 6" xfId="13264" xr:uid="{8F4353C1-9260-43E5-90C5-300E2F653D59}"/>
    <cellStyle name="Вычисление 2 2 2 4 2 3" xfId="2448" xr:uid="{00000000-0005-0000-0000-00005A140000}"/>
    <cellStyle name="Вычисление 2 2 2 4 2 3 2" xfId="6345" xr:uid="{00000000-0005-0000-0000-00005B140000}"/>
    <cellStyle name="Вычисление 2 2 2 4 2 3 3" xfId="10354" xr:uid="{6204A1FC-BDFD-4CD1-95F3-DF9A2A0CBB17}"/>
    <cellStyle name="Вычисление 2 2 2 4 2 4" xfId="3408" xr:uid="{00000000-0005-0000-0000-00005C140000}"/>
    <cellStyle name="Вычисление 2 2 2 4 2 4 2" xfId="7302" xr:uid="{00000000-0005-0000-0000-00005D140000}"/>
    <cellStyle name="Вычисление 2 2 2 4 2 4 3" xfId="11311" xr:uid="{D0D54C22-8DEE-45EA-9933-BA46309868DA}"/>
    <cellStyle name="Вычисление 2 2 2 4 2 5" xfId="4586" xr:uid="{00000000-0005-0000-0000-00005E140000}"/>
    <cellStyle name="Вычисление 2 2 2 4 2 6" xfId="8595" xr:uid="{6B297739-72B3-4A83-BAD7-31A680CB5244}"/>
    <cellStyle name="Вычисление 2 2 2 4 2 7" xfId="12486" xr:uid="{1A9EB3EF-9673-4596-BF47-B9DE708C351F}"/>
    <cellStyle name="Вычисление 2 2 2 4 3" xfId="1142" xr:uid="{00000000-0005-0000-0000-00005F140000}"/>
    <cellStyle name="Вычисление 2 2 2 4 3 2" xfId="2450" xr:uid="{00000000-0005-0000-0000-000060140000}"/>
    <cellStyle name="Вычисление 2 2 2 4 3 2 2" xfId="6347" xr:uid="{00000000-0005-0000-0000-000061140000}"/>
    <cellStyle name="Вычисление 2 2 2 4 3 2 3" xfId="10356" xr:uid="{CFAABB9B-9C88-4792-92C8-85161DB86ECF}"/>
    <cellStyle name="Вычисление 2 2 2 4 3 3" xfId="3643" xr:uid="{00000000-0005-0000-0000-000062140000}"/>
    <cellStyle name="Вычисление 2 2 2 4 3 3 2" xfId="7537" xr:uid="{00000000-0005-0000-0000-000063140000}"/>
    <cellStyle name="Вычисление 2 2 2 4 3 3 3" xfId="11546" xr:uid="{D550C2B2-42EB-4E19-99B3-A1A029CEACD3}"/>
    <cellStyle name="Вычисление 2 2 2 4 3 4" xfId="5043" xr:uid="{00000000-0005-0000-0000-000064140000}"/>
    <cellStyle name="Вычисление 2 2 2 4 3 5" xfId="9052" xr:uid="{A45C6330-0E9D-4F80-B512-C57A1F3820F6}"/>
    <cellStyle name="Вычисление 2 2 2 4 3 6" xfId="12943" xr:uid="{5FB16906-7967-4337-A5BD-07CE3A3EEDBA}"/>
    <cellStyle name="Вычисление 2 2 2 4 4" xfId="2447" xr:uid="{00000000-0005-0000-0000-000065140000}"/>
    <cellStyle name="Вычисление 2 2 2 4 4 2" xfId="6344" xr:uid="{00000000-0005-0000-0000-000066140000}"/>
    <cellStyle name="Вычисление 2 2 2 4 4 3" xfId="10353" xr:uid="{9D02379A-B454-4009-B203-A5B78733A36C}"/>
    <cellStyle name="Вычисление 2 2 2 4 5" xfId="3087" xr:uid="{00000000-0005-0000-0000-000067140000}"/>
    <cellStyle name="Вычисление 2 2 2 4 5 2" xfId="6981" xr:uid="{00000000-0005-0000-0000-000068140000}"/>
    <cellStyle name="Вычисление 2 2 2 4 5 3" xfId="10990" xr:uid="{A9D01CF6-8957-45C9-B096-085ABD92A56B}"/>
    <cellStyle name="Вычисление 2 2 2 4 6" xfId="4265" xr:uid="{00000000-0005-0000-0000-000069140000}"/>
    <cellStyle name="Вычисление 2 2 2 4 7" xfId="8274" xr:uid="{BA2B5C13-0729-4276-B0A7-96E647467838}"/>
    <cellStyle name="Вычисление 2 2 2 4 8" xfId="12165" xr:uid="{8F36D370-47E5-4858-A236-AF88F1B518E1}"/>
    <cellStyle name="Вычисление 2 2 2 5" xfId="517" xr:uid="{00000000-0005-0000-0000-00006A140000}"/>
    <cellStyle name="Вычисление 2 2 2 5 2" xfId="1298" xr:uid="{00000000-0005-0000-0000-00006B140000}"/>
    <cellStyle name="Вычисление 2 2 2 5 2 2" xfId="2452" xr:uid="{00000000-0005-0000-0000-00006C140000}"/>
    <cellStyle name="Вычисление 2 2 2 5 2 2 2" xfId="6349" xr:uid="{00000000-0005-0000-0000-00006D140000}"/>
    <cellStyle name="Вычисление 2 2 2 5 2 2 3" xfId="10358" xr:uid="{A0184714-8970-44C6-AC8C-05FCC85B9311}"/>
    <cellStyle name="Вычисление 2 2 2 5 2 3" xfId="3742" xr:uid="{00000000-0005-0000-0000-00006E140000}"/>
    <cellStyle name="Вычисление 2 2 2 5 2 3 2" xfId="7636" xr:uid="{00000000-0005-0000-0000-00006F140000}"/>
    <cellStyle name="Вычисление 2 2 2 5 2 3 3" xfId="11645" xr:uid="{37531E75-8A1D-4A0C-9279-9D4F9B651A61}"/>
    <cellStyle name="Вычисление 2 2 2 5 2 4" xfId="5199" xr:uid="{00000000-0005-0000-0000-000070140000}"/>
    <cellStyle name="Вычисление 2 2 2 5 2 5" xfId="9208" xr:uid="{8A65E1BD-8DAB-4B30-80CC-406864543BF9}"/>
    <cellStyle name="Вычисление 2 2 2 5 2 6" xfId="13099" xr:uid="{C72ABB80-5687-4AEA-B49E-4024611948CC}"/>
    <cellStyle name="Вычисление 2 2 2 5 3" xfId="2451" xr:uid="{00000000-0005-0000-0000-000071140000}"/>
    <cellStyle name="Вычисление 2 2 2 5 3 2" xfId="6348" xr:uid="{00000000-0005-0000-0000-000072140000}"/>
    <cellStyle name="Вычисление 2 2 2 5 3 3" xfId="10357" xr:uid="{73FFD600-ED45-4556-BD4E-C44B4F7C25BB}"/>
    <cellStyle name="Вычисление 2 2 2 5 4" xfId="3243" xr:uid="{00000000-0005-0000-0000-000073140000}"/>
    <cellStyle name="Вычисление 2 2 2 5 4 2" xfId="7137" xr:uid="{00000000-0005-0000-0000-000074140000}"/>
    <cellStyle name="Вычисление 2 2 2 5 4 3" xfId="11146" xr:uid="{AB350891-8816-43E0-8672-AC641434FCDB}"/>
    <cellStyle name="Вычисление 2 2 2 5 5" xfId="4421" xr:uid="{00000000-0005-0000-0000-000075140000}"/>
    <cellStyle name="Вычисление 2 2 2 5 6" xfId="8430" xr:uid="{D6EB8DBD-256C-40A2-B22F-09D59ACED21C}"/>
    <cellStyle name="Вычисление 2 2 2 5 7" xfId="12321" xr:uid="{CDE9E8DD-59BE-4C42-84B2-5188D7D50D81}"/>
    <cellStyle name="Вычисление 2 2 2 6" xfId="977" xr:uid="{00000000-0005-0000-0000-000076140000}"/>
    <cellStyle name="Вычисление 2 2 2 6 2" xfId="2453" xr:uid="{00000000-0005-0000-0000-000077140000}"/>
    <cellStyle name="Вычисление 2 2 2 6 2 2" xfId="6350" xr:uid="{00000000-0005-0000-0000-000078140000}"/>
    <cellStyle name="Вычисление 2 2 2 6 2 3" xfId="10359" xr:uid="{0044AF17-DBBE-4C5A-9199-9356747D116E}"/>
    <cellStyle name="Вычисление 2 2 2 6 3" xfId="3544" xr:uid="{00000000-0005-0000-0000-000079140000}"/>
    <cellStyle name="Вычисление 2 2 2 6 3 2" xfId="7438" xr:uid="{00000000-0005-0000-0000-00007A140000}"/>
    <cellStyle name="Вычисление 2 2 2 6 3 3" xfId="11447" xr:uid="{56CAA5A8-D233-4B02-B56E-079E5BF0A2F8}"/>
    <cellStyle name="Вычисление 2 2 2 6 4" xfId="4878" xr:uid="{00000000-0005-0000-0000-00007B140000}"/>
    <cellStyle name="Вычисление 2 2 2 6 5" xfId="8887" xr:uid="{A3EF120E-32EB-4080-B202-90F38737875F}"/>
    <cellStyle name="Вычисление 2 2 2 6 6" xfId="12778" xr:uid="{D82401F0-2260-469E-BB63-C1B6BF052378}"/>
    <cellStyle name="Вычисление 2 2 2 7" xfId="2430" xr:uid="{00000000-0005-0000-0000-00007C140000}"/>
    <cellStyle name="Вычисление 2 2 2 7 2" xfId="6327" xr:uid="{00000000-0005-0000-0000-00007D140000}"/>
    <cellStyle name="Вычисление 2 2 2 7 3" xfId="10336" xr:uid="{C5480FA5-9597-4477-B740-7ECE17B1EB0C}"/>
    <cellStyle name="Вычисление 2 2 2 8" xfId="2922" xr:uid="{00000000-0005-0000-0000-00007E140000}"/>
    <cellStyle name="Вычисление 2 2 2 8 2" xfId="6816" xr:uid="{00000000-0005-0000-0000-00007F140000}"/>
    <cellStyle name="Вычисление 2 2 2 8 3" xfId="10825" xr:uid="{6D42843B-90B8-43D3-B809-9C5DF520D504}"/>
    <cellStyle name="Вычисление 2 2 2 9" xfId="4100" xr:uid="{00000000-0005-0000-0000-000080140000}"/>
    <cellStyle name="Вычисление 2 2 3" xfId="235" xr:uid="{00000000-0005-0000-0000-000081140000}"/>
    <cellStyle name="Вычисление 2 2 3 10" xfId="13484" xr:uid="{2354BD4A-AECC-41E1-8B25-07500A13C3F8}"/>
    <cellStyle name="Вычисление 2 2 3 2" xfId="394" xr:uid="{00000000-0005-0000-0000-000082140000}"/>
    <cellStyle name="Вычисление 2 2 3 2 2" xfId="724" xr:uid="{00000000-0005-0000-0000-000083140000}"/>
    <cellStyle name="Вычисление 2 2 3 2 2 2" xfId="1505" xr:uid="{00000000-0005-0000-0000-000084140000}"/>
    <cellStyle name="Вычисление 2 2 3 2 2 2 2" xfId="2457" xr:uid="{00000000-0005-0000-0000-000085140000}"/>
    <cellStyle name="Вычисление 2 2 3 2 2 2 2 2" xfId="6354" xr:uid="{00000000-0005-0000-0000-000086140000}"/>
    <cellStyle name="Вычисление 2 2 3 2 2 2 2 3" xfId="10363" xr:uid="{F3094A7C-E620-406C-8B97-A21B063CCFA6}"/>
    <cellStyle name="Вычисление 2 2 3 2 2 2 3" xfId="3871" xr:uid="{00000000-0005-0000-0000-000087140000}"/>
    <cellStyle name="Вычисление 2 2 3 2 2 2 3 2" xfId="7765" xr:uid="{00000000-0005-0000-0000-000088140000}"/>
    <cellStyle name="Вычисление 2 2 3 2 2 2 3 3" xfId="11774" xr:uid="{C915114D-A93A-4692-9EDA-86175A6C5A98}"/>
    <cellStyle name="Вычисление 2 2 3 2 2 2 4" xfId="5406" xr:uid="{00000000-0005-0000-0000-000089140000}"/>
    <cellStyle name="Вычисление 2 2 3 2 2 2 5" xfId="9415" xr:uid="{98BEB962-0A8D-4752-96BB-0C07C07842BA}"/>
    <cellStyle name="Вычисление 2 2 3 2 2 2 6" xfId="13306" xr:uid="{0E666A2F-3999-48D9-AB49-0C21C1F317FE}"/>
    <cellStyle name="Вычисление 2 2 3 2 2 3" xfId="2456" xr:uid="{00000000-0005-0000-0000-00008A140000}"/>
    <cellStyle name="Вычисление 2 2 3 2 2 3 2" xfId="6353" xr:uid="{00000000-0005-0000-0000-00008B140000}"/>
    <cellStyle name="Вычисление 2 2 3 2 2 3 3" xfId="10362" xr:uid="{76073B40-F75B-45C4-948B-6B6B5EB8E534}"/>
    <cellStyle name="Вычисление 2 2 3 2 2 4" xfId="3450" xr:uid="{00000000-0005-0000-0000-00008C140000}"/>
    <cellStyle name="Вычисление 2 2 3 2 2 4 2" xfId="7344" xr:uid="{00000000-0005-0000-0000-00008D140000}"/>
    <cellStyle name="Вычисление 2 2 3 2 2 4 3" xfId="11353" xr:uid="{18E328D5-91BC-4982-A0A6-BD4CC2CAA95C}"/>
    <cellStyle name="Вычисление 2 2 3 2 2 5" xfId="4628" xr:uid="{00000000-0005-0000-0000-00008E140000}"/>
    <cellStyle name="Вычисление 2 2 3 2 2 6" xfId="8637" xr:uid="{8EBC100C-3C2C-4D1B-9B3D-988DC060CDB3}"/>
    <cellStyle name="Вычисление 2 2 3 2 2 7" xfId="12528" xr:uid="{55266609-607C-437F-9ECA-3172025CC091}"/>
    <cellStyle name="Вычисление 2 2 3 2 3" xfId="1184" xr:uid="{00000000-0005-0000-0000-00008F140000}"/>
    <cellStyle name="Вычисление 2 2 3 2 3 2" xfId="2458" xr:uid="{00000000-0005-0000-0000-000090140000}"/>
    <cellStyle name="Вычисление 2 2 3 2 3 2 2" xfId="6355" xr:uid="{00000000-0005-0000-0000-000091140000}"/>
    <cellStyle name="Вычисление 2 2 3 2 3 2 3" xfId="10364" xr:uid="{DD5E482E-C2B1-4A68-AF31-1E11C5BD1495}"/>
    <cellStyle name="Вычисление 2 2 3 2 3 3" xfId="3673" xr:uid="{00000000-0005-0000-0000-000092140000}"/>
    <cellStyle name="Вычисление 2 2 3 2 3 3 2" xfId="7567" xr:uid="{00000000-0005-0000-0000-000093140000}"/>
    <cellStyle name="Вычисление 2 2 3 2 3 3 3" xfId="11576" xr:uid="{A2A2425E-6AEC-4D54-BA6D-9F3DDEEAAD9A}"/>
    <cellStyle name="Вычисление 2 2 3 2 3 4" xfId="5085" xr:uid="{00000000-0005-0000-0000-000094140000}"/>
    <cellStyle name="Вычисление 2 2 3 2 3 5" xfId="9094" xr:uid="{E9758C67-A2B7-432F-BA59-2F0827B64F85}"/>
    <cellStyle name="Вычисление 2 2 3 2 3 6" xfId="12985" xr:uid="{25D4E938-9D4A-4132-A718-83624587EE5E}"/>
    <cellStyle name="Вычисление 2 2 3 2 4" xfId="2455" xr:uid="{00000000-0005-0000-0000-000095140000}"/>
    <cellStyle name="Вычисление 2 2 3 2 4 2" xfId="6352" xr:uid="{00000000-0005-0000-0000-000096140000}"/>
    <cellStyle name="Вычисление 2 2 3 2 4 3" xfId="10361" xr:uid="{F6CE73F6-F2CE-43A8-B228-D1B697CA0E02}"/>
    <cellStyle name="Вычисление 2 2 3 2 5" xfId="3129" xr:uid="{00000000-0005-0000-0000-000097140000}"/>
    <cellStyle name="Вычисление 2 2 3 2 5 2" xfId="7023" xr:uid="{00000000-0005-0000-0000-000098140000}"/>
    <cellStyle name="Вычисление 2 2 3 2 5 3" xfId="11032" xr:uid="{58C236E0-6E8C-451B-A12E-1AE61F37C792}"/>
    <cellStyle name="Вычисление 2 2 3 2 6" xfId="4307" xr:uid="{00000000-0005-0000-0000-000099140000}"/>
    <cellStyle name="Вычисление 2 2 3 2 7" xfId="8316" xr:uid="{80C6C1FC-5B13-4F2F-9701-1EE2D8B26D28}"/>
    <cellStyle name="Вычисление 2 2 3 2 8" xfId="12207" xr:uid="{39839CEA-A554-4557-9902-FEF305E09169}"/>
    <cellStyle name="Вычисление 2 2 3 3" xfId="565" xr:uid="{00000000-0005-0000-0000-00009A140000}"/>
    <cellStyle name="Вычисление 2 2 3 3 2" xfId="1346" xr:uid="{00000000-0005-0000-0000-00009B140000}"/>
    <cellStyle name="Вычисление 2 2 3 3 2 2" xfId="2460" xr:uid="{00000000-0005-0000-0000-00009C140000}"/>
    <cellStyle name="Вычисление 2 2 3 3 2 2 2" xfId="6357" xr:uid="{00000000-0005-0000-0000-00009D140000}"/>
    <cellStyle name="Вычисление 2 2 3 3 2 2 3" xfId="10366" xr:uid="{470BA81A-B839-4FD5-B19C-3C6EB04A166C}"/>
    <cellStyle name="Вычисление 2 2 3 3 2 3" xfId="3772" xr:uid="{00000000-0005-0000-0000-00009E140000}"/>
    <cellStyle name="Вычисление 2 2 3 3 2 3 2" xfId="7666" xr:uid="{00000000-0005-0000-0000-00009F140000}"/>
    <cellStyle name="Вычисление 2 2 3 3 2 3 3" xfId="11675" xr:uid="{87A39D08-94C5-4F37-9E10-36D56F1EA1C2}"/>
    <cellStyle name="Вычисление 2 2 3 3 2 4" xfId="5247" xr:uid="{00000000-0005-0000-0000-0000A0140000}"/>
    <cellStyle name="Вычисление 2 2 3 3 2 5" xfId="9256" xr:uid="{B03E7978-3FF1-4355-81A7-D7A76766DDAB}"/>
    <cellStyle name="Вычисление 2 2 3 3 2 6" xfId="13147" xr:uid="{91BC78AD-5D5A-4EA6-BB51-5335EA11DB23}"/>
    <cellStyle name="Вычисление 2 2 3 3 3" xfId="2459" xr:uid="{00000000-0005-0000-0000-0000A1140000}"/>
    <cellStyle name="Вычисление 2 2 3 3 3 2" xfId="6356" xr:uid="{00000000-0005-0000-0000-0000A2140000}"/>
    <cellStyle name="Вычисление 2 2 3 3 3 3" xfId="10365" xr:uid="{1971523F-1F7E-482C-940F-F6E0477AEF8B}"/>
    <cellStyle name="Вычисление 2 2 3 3 4" xfId="3291" xr:uid="{00000000-0005-0000-0000-0000A3140000}"/>
    <cellStyle name="Вычисление 2 2 3 3 4 2" xfId="7185" xr:uid="{00000000-0005-0000-0000-0000A4140000}"/>
    <cellStyle name="Вычисление 2 2 3 3 4 3" xfId="11194" xr:uid="{69D8D5F1-EFC2-41F7-80B3-1C89ECCFB91C}"/>
    <cellStyle name="Вычисление 2 2 3 3 5" xfId="4469" xr:uid="{00000000-0005-0000-0000-0000A5140000}"/>
    <cellStyle name="Вычисление 2 2 3 3 6" xfId="8478" xr:uid="{8DECC4E8-5746-49CF-992A-E5807AAC869E}"/>
    <cellStyle name="Вычисление 2 2 3 3 7" xfId="12369" xr:uid="{4EE64545-5A05-4852-9FB7-91EC59891BC4}"/>
    <cellStyle name="Вычисление 2 2 3 4" xfId="1025" xr:uid="{00000000-0005-0000-0000-0000A6140000}"/>
    <cellStyle name="Вычисление 2 2 3 4 2" xfId="2461" xr:uid="{00000000-0005-0000-0000-0000A7140000}"/>
    <cellStyle name="Вычисление 2 2 3 4 2 2" xfId="6358" xr:uid="{00000000-0005-0000-0000-0000A8140000}"/>
    <cellStyle name="Вычисление 2 2 3 4 2 3" xfId="10367" xr:uid="{A8DA5C26-4A42-41F5-A57D-3DFBA3F38465}"/>
    <cellStyle name="Вычисление 2 2 3 4 3" xfId="3574" xr:uid="{00000000-0005-0000-0000-0000A9140000}"/>
    <cellStyle name="Вычисление 2 2 3 4 3 2" xfId="7468" xr:uid="{00000000-0005-0000-0000-0000AA140000}"/>
    <cellStyle name="Вычисление 2 2 3 4 3 3" xfId="11477" xr:uid="{D7F5D93F-3571-4F5C-B448-C877667C9584}"/>
    <cellStyle name="Вычисление 2 2 3 4 4" xfId="4926" xr:uid="{00000000-0005-0000-0000-0000AB140000}"/>
    <cellStyle name="Вычисление 2 2 3 4 5" xfId="8935" xr:uid="{931D356A-4C09-40B8-99E0-26D01EF28664}"/>
    <cellStyle name="Вычисление 2 2 3 4 6" xfId="12826" xr:uid="{D7AB7FD7-851F-464F-BEA4-01422CA1C3E8}"/>
    <cellStyle name="Вычисление 2 2 3 5" xfId="2454" xr:uid="{00000000-0005-0000-0000-0000AC140000}"/>
    <cellStyle name="Вычисление 2 2 3 5 2" xfId="6351" xr:uid="{00000000-0005-0000-0000-0000AD140000}"/>
    <cellStyle name="Вычисление 2 2 3 5 3" xfId="10360" xr:uid="{D40F06F8-3CB5-4F74-9643-B603C1D51C85}"/>
    <cellStyle name="Вычисление 2 2 3 6" xfId="2970" xr:uid="{00000000-0005-0000-0000-0000AE140000}"/>
    <cellStyle name="Вычисление 2 2 3 6 2" xfId="6864" xr:uid="{00000000-0005-0000-0000-0000AF140000}"/>
    <cellStyle name="Вычисление 2 2 3 6 3" xfId="10873" xr:uid="{A1169806-DC19-4EC3-AAB0-7405B4B1751B}"/>
    <cellStyle name="Вычисление 2 2 3 7" xfId="4148" xr:uid="{00000000-0005-0000-0000-0000B0140000}"/>
    <cellStyle name="Вычисление 2 2 3 8" xfId="8157" xr:uid="{C4287719-53F8-45F3-86E6-38128C6E3B73}"/>
    <cellStyle name="Вычисление 2 2 3 9" xfId="12048" xr:uid="{085B8C59-F615-42BF-90BD-053530D82AAB}"/>
    <cellStyle name="Вычисление 2 2 4" xfId="195" xr:uid="{00000000-0005-0000-0000-0000B1140000}"/>
    <cellStyle name="Вычисление 2 2 4 10" xfId="13444" xr:uid="{5CA4B3D5-F7DE-44A5-8467-38AD9ADF5A9D}"/>
    <cellStyle name="Вычисление 2 2 4 2" xfId="359" xr:uid="{00000000-0005-0000-0000-0000B2140000}"/>
    <cellStyle name="Вычисление 2 2 4 2 2" xfId="689" xr:uid="{00000000-0005-0000-0000-0000B3140000}"/>
    <cellStyle name="Вычисление 2 2 4 2 2 2" xfId="1470" xr:uid="{00000000-0005-0000-0000-0000B4140000}"/>
    <cellStyle name="Вычисление 2 2 4 2 2 2 2" xfId="2465" xr:uid="{00000000-0005-0000-0000-0000B5140000}"/>
    <cellStyle name="Вычисление 2 2 4 2 2 2 2 2" xfId="6362" xr:uid="{00000000-0005-0000-0000-0000B6140000}"/>
    <cellStyle name="Вычисление 2 2 4 2 2 2 2 3" xfId="10371" xr:uid="{4576B0AF-ADAB-4D4A-AEC4-E0D4586CA9E7}"/>
    <cellStyle name="Вычисление 2 2 4 2 2 2 3" xfId="3846" xr:uid="{00000000-0005-0000-0000-0000B7140000}"/>
    <cellStyle name="Вычисление 2 2 4 2 2 2 3 2" xfId="7740" xr:uid="{00000000-0005-0000-0000-0000B8140000}"/>
    <cellStyle name="Вычисление 2 2 4 2 2 2 3 3" xfId="11749" xr:uid="{D0BA4BAD-44F3-4DF7-BA61-2DB92AD9DBEC}"/>
    <cellStyle name="Вычисление 2 2 4 2 2 2 4" xfId="5371" xr:uid="{00000000-0005-0000-0000-0000B9140000}"/>
    <cellStyle name="Вычисление 2 2 4 2 2 2 5" xfId="9380" xr:uid="{C82F0222-A2C9-4EDC-A507-C88845AD8421}"/>
    <cellStyle name="Вычисление 2 2 4 2 2 2 6" xfId="13271" xr:uid="{62E01753-33FA-4C4F-89AA-C605F9129D7C}"/>
    <cellStyle name="Вычисление 2 2 4 2 2 3" xfId="2464" xr:uid="{00000000-0005-0000-0000-0000BA140000}"/>
    <cellStyle name="Вычисление 2 2 4 2 2 3 2" xfId="6361" xr:uid="{00000000-0005-0000-0000-0000BB140000}"/>
    <cellStyle name="Вычисление 2 2 4 2 2 3 3" xfId="10370" xr:uid="{589FE315-D0F5-4E5E-B9AD-DEAB9F1A6B74}"/>
    <cellStyle name="Вычисление 2 2 4 2 2 4" xfId="3415" xr:uid="{00000000-0005-0000-0000-0000BC140000}"/>
    <cellStyle name="Вычисление 2 2 4 2 2 4 2" xfId="7309" xr:uid="{00000000-0005-0000-0000-0000BD140000}"/>
    <cellStyle name="Вычисление 2 2 4 2 2 4 3" xfId="11318" xr:uid="{952E464E-0D20-44C4-8437-5183498402BE}"/>
    <cellStyle name="Вычисление 2 2 4 2 2 5" xfId="4593" xr:uid="{00000000-0005-0000-0000-0000BE140000}"/>
    <cellStyle name="Вычисление 2 2 4 2 2 6" xfId="8602" xr:uid="{83912CA9-945E-4CC8-80F8-A0D1BB832D80}"/>
    <cellStyle name="Вычисление 2 2 4 2 2 7" xfId="12493" xr:uid="{7D7050E2-946B-477D-9D8C-9D393E211375}"/>
    <cellStyle name="Вычисление 2 2 4 2 3" xfId="1149" xr:uid="{00000000-0005-0000-0000-0000BF140000}"/>
    <cellStyle name="Вычисление 2 2 4 2 3 2" xfId="2466" xr:uid="{00000000-0005-0000-0000-0000C0140000}"/>
    <cellStyle name="Вычисление 2 2 4 2 3 2 2" xfId="6363" xr:uid="{00000000-0005-0000-0000-0000C1140000}"/>
    <cellStyle name="Вычисление 2 2 4 2 3 2 3" xfId="10372" xr:uid="{2C9859AA-52ED-49B3-8559-9C66BC9C338D}"/>
    <cellStyle name="Вычисление 2 2 4 2 3 3" xfId="3648" xr:uid="{00000000-0005-0000-0000-0000C2140000}"/>
    <cellStyle name="Вычисление 2 2 4 2 3 3 2" xfId="7542" xr:uid="{00000000-0005-0000-0000-0000C3140000}"/>
    <cellStyle name="Вычисление 2 2 4 2 3 3 3" xfId="11551" xr:uid="{F1C565F6-FE22-4790-BCFE-A3657DF8966B}"/>
    <cellStyle name="Вычисление 2 2 4 2 3 4" xfId="5050" xr:uid="{00000000-0005-0000-0000-0000C4140000}"/>
    <cellStyle name="Вычисление 2 2 4 2 3 5" xfId="9059" xr:uid="{CBC90024-CA2A-4315-B118-91D364680B1A}"/>
    <cellStyle name="Вычисление 2 2 4 2 3 6" xfId="12950" xr:uid="{466DED16-CC40-4482-A10B-3904011D8F60}"/>
    <cellStyle name="Вычисление 2 2 4 2 4" xfId="2463" xr:uid="{00000000-0005-0000-0000-0000C5140000}"/>
    <cellStyle name="Вычисление 2 2 4 2 4 2" xfId="6360" xr:uid="{00000000-0005-0000-0000-0000C6140000}"/>
    <cellStyle name="Вычисление 2 2 4 2 4 3" xfId="10369" xr:uid="{A7CE7559-DA90-4309-8258-2892374FEE48}"/>
    <cellStyle name="Вычисление 2 2 4 2 5" xfId="3094" xr:uid="{00000000-0005-0000-0000-0000C7140000}"/>
    <cellStyle name="Вычисление 2 2 4 2 5 2" xfId="6988" xr:uid="{00000000-0005-0000-0000-0000C8140000}"/>
    <cellStyle name="Вычисление 2 2 4 2 5 3" xfId="10997" xr:uid="{4A07FC8E-45D9-4172-92EF-77EA806CD34B}"/>
    <cellStyle name="Вычисление 2 2 4 2 6" xfId="4272" xr:uid="{00000000-0005-0000-0000-0000C9140000}"/>
    <cellStyle name="Вычисление 2 2 4 2 7" xfId="8281" xr:uid="{FEFE87CD-6E2D-4034-8837-A7A0C01F39F8}"/>
    <cellStyle name="Вычисление 2 2 4 2 8" xfId="12172" xr:uid="{CDBDF26D-32FE-4B15-9BB5-647B221580BF}"/>
    <cellStyle name="Вычисление 2 2 4 3" xfId="525" xr:uid="{00000000-0005-0000-0000-0000CA140000}"/>
    <cellStyle name="Вычисление 2 2 4 3 2" xfId="1306" xr:uid="{00000000-0005-0000-0000-0000CB140000}"/>
    <cellStyle name="Вычисление 2 2 4 3 2 2" xfId="2468" xr:uid="{00000000-0005-0000-0000-0000CC140000}"/>
    <cellStyle name="Вычисление 2 2 4 3 2 2 2" xfId="6365" xr:uid="{00000000-0005-0000-0000-0000CD140000}"/>
    <cellStyle name="Вычисление 2 2 4 3 2 2 3" xfId="10374" xr:uid="{3A4A2A2E-7BDA-438D-B64B-142F9E2CAB5C}"/>
    <cellStyle name="Вычисление 2 2 4 3 2 3" xfId="3747" xr:uid="{00000000-0005-0000-0000-0000CE140000}"/>
    <cellStyle name="Вычисление 2 2 4 3 2 3 2" xfId="7641" xr:uid="{00000000-0005-0000-0000-0000CF140000}"/>
    <cellStyle name="Вычисление 2 2 4 3 2 3 3" xfId="11650" xr:uid="{76794359-CD6A-4788-9C83-B4C582486A7E}"/>
    <cellStyle name="Вычисление 2 2 4 3 2 4" xfId="5207" xr:uid="{00000000-0005-0000-0000-0000D0140000}"/>
    <cellStyle name="Вычисление 2 2 4 3 2 5" xfId="9216" xr:uid="{D7D6B17A-A9D4-49DA-80A6-0766C7DF3734}"/>
    <cellStyle name="Вычисление 2 2 4 3 2 6" xfId="13107" xr:uid="{E6117234-61A8-4761-B46A-BCC8344E6C9F}"/>
    <cellStyle name="Вычисление 2 2 4 3 3" xfId="2467" xr:uid="{00000000-0005-0000-0000-0000D1140000}"/>
    <cellStyle name="Вычисление 2 2 4 3 3 2" xfId="6364" xr:uid="{00000000-0005-0000-0000-0000D2140000}"/>
    <cellStyle name="Вычисление 2 2 4 3 3 3" xfId="10373" xr:uid="{7903662C-5288-4F6D-81AB-4E607B377671}"/>
    <cellStyle name="Вычисление 2 2 4 3 4" xfId="3251" xr:uid="{00000000-0005-0000-0000-0000D3140000}"/>
    <cellStyle name="Вычисление 2 2 4 3 4 2" xfId="7145" xr:uid="{00000000-0005-0000-0000-0000D4140000}"/>
    <cellStyle name="Вычисление 2 2 4 3 4 3" xfId="11154" xr:uid="{E9F44611-7F14-4C96-A845-001B3AE739C8}"/>
    <cellStyle name="Вычисление 2 2 4 3 5" xfId="4429" xr:uid="{00000000-0005-0000-0000-0000D5140000}"/>
    <cellStyle name="Вычисление 2 2 4 3 6" xfId="8438" xr:uid="{B4E04053-138D-4EEE-B2B5-398108E1EB65}"/>
    <cellStyle name="Вычисление 2 2 4 3 7" xfId="12329" xr:uid="{DF4516C5-EC11-4B6F-8BB8-6EA184E8D503}"/>
    <cellStyle name="Вычисление 2 2 4 4" xfId="985" xr:uid="{00000000-0005-0000-0000-0000D6140000}"/>
    <cellStyle name="Вычисление 2 2 4 4 2" xfId="2469" xr:uid="{00000000-0005-0000-0000-0000D7140000}"/>
    <cellStyle name="Вычисление 2 2 4 4 2 2" xfId="6366" xr:uid="{00000000-0005-0000-0000-0000D8140000}"/>
    <cellStyle name="Вычисление 2 2 4 4 2 3" xfId="10375" xr:uid="{100DC27E-87A7-4D79-9484-C982679ABFBD}"/>
    <cellStyle name="Вычисление 2 2 4 4 3" xfId="3549" xr:uid="{00000000-0005-0000-0000-0000D9140000}"/>
    <cellStyle name="Вычисление 2 2 4 4 3 2" xfId="7443" xr:uid="{00000000-0005-0000-0000-0000DA140000}"/>
    <cellStyle name="Вычисление 2 2 4 4 3 3" xfId="11452" xr:uid="{150067CD-93B6-4867-BE08-904D87CABF59}"/>
    <cellStyle name="Вычисление 2 2 4 4 4" xfId="4886" xr:uid="{00000000-0005-0000-0000-0000DB140000}"/>
    <cellStyle name="Вычисление 2 2 4 4 5" xfId="8895" xr:uid="{C976A96E-945C-4FDC-8733-F23F7CD59BB5}"/>
    <cellStyle name="Вычисление 2 2 4 4 6" xfId="12786" xr:uid="{8E7FB7C9-D63E-4FE6-B58B-DDEFB01D0ADD}"/>
    <cellStyle name="Вычисление 2 2 4 5" xfId="2462" xr:uid="{00000000-0005-0000-0000-0000DC140000}"/>
    <cellStyle name="Вычисление 2 2 4 5 2" xfId="6359" xr:uid="{00000000-0005-0000-0000-0000DD140000}"/>
    <cellStyle name="Вычисление 2 2 4 5 3" xfId="10368" xr:uid="{99C74B2A-DC39-4023-B6C4-8D5F90F9D2C7}"/>
    <cellStyle name="Вычисление 2 2 4 6" xfId="2930" xr:uid="{00000000-0005-0000-0000-0000DE140000}"/>
    <cellStyle name="Вычисление 2 2 4 6 2" xfId="6824" xr:uid="{00000000-0005-0000-0000-0000DF140000}"/>
    <cellStyle name="Вычисление 2 2 4 6 3" xfId="10833" xr:uid="{94B9B29B-3FEB-4521-B238-0891736DBAB4}"/>
    <cellStyle name="Вычисление 2 2 4 7" xfId="4108" xr:uid="{00000000-0005-0000-0000-0000E0140000}"/>
    <cellStyle name="Вычисление 2 2 4 8" xfId="8117" xr:uid="{AD65F9AD-C483-462E-88B6-E0742348511A}"/>
    <cellStyle name="Вычисление 2 2 4 9" xfId="12008" xr:uid="{A0D7B23D-13E3-46D0-8596-C3741A24ADE5}"/>
    <cellStyle name="Вычисление 2 2 5" xfId="315" xr:uid="{00000000-0005-0000-0000-0000E1140000}"/>
    <cellStyle name="Вычисление 2 2 5 2" xfId="645" xr:uid="{00000000-0005-0000-0000-0000E2140000}"/>
    <cellStyle name="Вычисление 2 2 5 2 2" xfId="1426" xr:uid="{00000000-0005-0000-0000-0000E3140000}"/>
    <cellStyle name="Вычисление 2 2 5 2 2 2" xfId="2472" xr:uid="{00000000-0005-0000-0000-0000E4140000}"/>
    <cellStyle name="Вычисление 2 2 5 2 2 2 2" xfId="6369" xr:uid="{00000000-0005-0000-0000-0000E5140000}"/>
    <cellStyle name="Вычисление 2 2 5 2 2 2 3" xfId="10378" xr:uid="{D1FFD785-482C-4D75-ADE4-FA0DABADDFA2}"/>
    <cellStyle name="Вычисление 2 2 5 2 2 3" xfId="3819" xr:uid="{00000000-0005-0000-0000-0000E6140000}"/>
    <cellStyle name="Вычисление 2 2 5 2 2 3 2" xfId="7713" xr:uid="{00000000-0005-0000-0000-0000E7140000}"/>
    <cellStyle name="Вычисление 2 2 5 2 2 3 3" xfId="11722" xr:uid="{2CF20215-A707-45B2-8151-E70AE72BD482}"/>
    <cellStyle name="Вычисление 2 2 5 2 2 4" xfId="5327" xr:uid="{00000000-0005-0000-0000-0000E8140000}"/>
    <cellStyle name="Вычисление 2 2 5 2 2 5" xfId="9336" xr:uid="{7CC9B6F2-B040-4A84-AE18-CA70D65C23F6}"/>
    <cellStyle name="Вычисление 2 2 5 2 2 6" xfId="13227" xr:uid="{A689745F-8B33-47E4-B158-A428C714BD42}"/>
    <cellStyle name="Вычисление 2 2 5 2 3" xfId="2471" xr:uid="{00000000-0005-0000-0000-0000E9140000}"/>
    <cellStyle name="Вычисление 2 2 5 2 3 2" xfId="6368" xr:uid="{00000000-0005-0000-0000-0000EA140000}"/>
    <cellStyle name="Вычисление 2 2 5 2 3 3" xfId="10377" xr:uid="{56364DBE-4D66-4B9C-9669-9058525C40EB}"/>
    <cellStyle name="Вычисление 2 2 5 2 4" xfId="3371" xr:uid="{00000000-0005-0000-0000-0000EB140000}"/>
    <cellStyle name="Вычисление 2 2 5 2 4 2" xfId="7265" xr:uid="{00000000-0005-0000-0000-0000EC140000}"/>
    <cellStyle name="Вычисление 2 2 5 2 4 3" xfId="11274" xr:uid="{C1F8D547-BC44-4F4A-B8CF-B8BA92CFC057}"/>
    <cellStyle name="Вычисление 2 2 5 2 5" xfId="4549" xr:uid="{00000000-0005-0000-0000-0000ED140000}"/>
    <cellStyle name="Вычисление 2 2 5 2 6" xfId="8558" xr:uid="{8A6B90C4-F256-4E5B-952F-51F076BCAB1F}"/>
    <cellStyle name="Вычисление 2 2 5 2 7" xfId="12449" xr:uid="{E972E873-C8C1-4F0B-B9DB-EDFAD1D844A3}"/>
    <cellStyle name="Вычисление 2 2 5 3" xfId="1105" xr:uid="{00000000-0005-0000-0000-0000EE140000}"/>
    <cellStyle name="Вычисление 2 2 5 3 2" xfId="2473" xr:uid="{00000000-0005-0000-0000-0000EF140000}"/>
    <cellStyle name="Вычисление 2 2 5 3 2 2" xfId="6370" xr:uid="{00000000-0005-0000-0000-0000F0140000}"/>
    <cellStyle name="Вычисление 2 2 5 3 2 3" xfId="10379" xr:uid="{D42CB17C-C933-4249-BF8C-28978CA66C55}"/>
    <cellStyle name="Вычисление 2 2 5 3 3" xfId="3621" xr:uid="{00000000-0005-0000-0000-0000F1140000}"/>
    <cellStyle name="Вычисление 2 2 5 3 3 2" xfId="7515" xr:uid="{00000000-0005-0000-0000-0000F2140000}"/>
    <cellStyle name="Вычисление 2 2 5 3 3 3" xfId="11524" xr:uid="{8EDD7147-D8C4-4E5A-AE19-C4EC37F0AB62}"/>
    <cellStyle name="Вычисление 2 2 5 3 4" xfId="5006" xr:uid="{00000000-0005-0000-0000-0000F3140000}"/>
    <cellStyle name="Вычисление 2 2 5 3 5" xfId="9015" xr:uid="{328FBAE8-6DB0-4B5D-9317-BF85993C266F}"/>
    <cellStyle name="Вычисление 2 2 5 3 6" xfId="12906" xr:uid="{2078E7C4-C6D0-4EBB-AC16-99E9387BC8FA}"/>
    <cellStyle name="Вычисление 2 2 5 4" xfId="2470" xr:uid="{00000000-0005-0000-0000-0000F4140000}"/>
    <cellStyle name="Вычисление 2 2 5 4 2" xfId="6367" xr:uid="{00000000-0005-0000-0000-0000F5140000}"/>
    <cellStyle name="Вычисление 2 2 5 4 3" xfId="10376" xr:uid="{09FA81F9-C710-49FB-BE59-BFB9CC8B1AFE}"/>
    <cellStyle name="Вычисление 2 2 5 5" xfId="3050" xr:uid="{00000000-0005-0000-0000-0000F6140000}"/>
    <cellStyle name="Вычисление 2 2 5 5 2" xfId="6944" xr:uid="{00000000-0005-0000-0000-0000F7140000}"/>
    <cellStyle name="Вычисление 2 2 5 5 3" xfId="10953" xr:uid="{1821F638-3207-43E7-9133-50F62A0EDBB0}"/>
    <cellStyle name="Вычисление 2 2 5 6" xfId="4228" xr:uid="{00000000-0005-0000-0000-0000F8140000}"/>
    <cellStyle name="Вычисление 2 2 5 7" xfId="8237" xr:uid="{6664917E-151F-4A69-B78F-509F1AD74567}"/>
    <cellStyle name="Вычисление 2 2 5 8" xfId="12128" xr:uid="{33E1B7C0-5E79-4D16-ACD0-82FFD30D1E3C}"/>
    <cellStyle name="Вычисление 2 2 6" xfId="477" xr:uid="{00000000-0005-0000-0000-0000F9140000}"/>
    <cellStyle name="Вычисление 2 2 6 2" xfId="1261" xr:uid="{00000000-0005-0000-0000-0000FA140000}"/>
    <cellStyle name="Вычисление 2 2 6 2 2" xfId="2475" xr:uid="{00000000-0005-0000-0000-0000FB140000}"/>
    <cellStyle name="Вычисление 2 2 6 2 2 2" xfId="6372" xr:uid="{00000000-0005-0000-0000-0000FC140000}"/>
    <cellStyle name="Вычисление 2 2 6 2 2 3" xfId="10381" xr:uid="{F6CBC09B-215E-4750-ABAA-5C32E590408E}"/>
    <cellStyle name="Вычисление 2 2 6 2 3" xfId="3720" xr:uid="{00000000-0005-0000-0000-0000FD140000}"/>
    <cellStyle name="Вычисление 2 2 6 2 3 2" xfId="7614" xr:uid="{00000000-0005-0000-0000-0000FE140000}"/>
    <cellStyle name="Вычисление 2 2 6 2 3 3" xfId="11623" xr:uid="{23C678E3-6A91-4825-B147-8B2AF8FFA535}"/>
    <cellStyle name="Вычисление 2 2 6 2 4" xfId="5162" xr:uid="{00000000-0005-0000-0000-0000FF140000}"/>
    <cellStyle name="Вычисление 2 2 6 2 5" xfId="9171" xr:uid="{2441301F-8461-4DB1-8CCC-8F0F037D1450}"/>
    <cellStyle name="Вычисление 2 2 6 2 6" xfId="13062" xr:uid="{5EC20686-7A7E-4F59-9D65-EF23DD4B561D}"/>
    <cellStyle name="Вычисление 2 2 6 3" xfId="2474" xr:uid="{00000000-0005-0000-0000-000000150000}"/>
    <cellStyle name="Вычисление 2 2 6 3 2" xfId="6371" xr:uid="{00000000-0005-0000-0000-000001150000}"/>
    <cellStyle name="Вычисление 2 2 6 3 3" xfId="10380" xr:uid="{7F6F9A4D-119B-44D6-8E2A-237A1A510077}"/>
    <cellStyle name="Вычисление 2 2 6 4" xfId="3206" xr:uid="{00000000-0005-0000-0000-000002150000}"/>
    <cellStyle name="Вычисление 2 2 6 4 2" xfId="7100" xr:uid="{00000000-0005-0000-0000-000003150000}"/>
    <cellStyle name="Вычисление 2 2 6 4 3" xfId="11109" xr:uid="{231DB81A-1260-4B81-9BC4-5DE0B63E9F4B}"/>
    <cellStyle name="Вычисление 2 2 6 5" xfId="4384" xr:uid="{00000000-0005-0000-0000-000004150000}"/>
    <cellStyle name="Вычисление 2 2 6 6" xfId="8393" xr:uid="{032C90C2-5A3B-4172-8B2F-5EAE20EC7B1A}"/>
    <cellStyle name="Вычисление 2 2 6 7" xfId="12284" xr:uid="{910B613B-16F1-4628-9448-BAB6EABBF7E0}"/>
    <cellStyle name="Вычисление 2 2 7" xfId="940" xr:uid="{00000000-0005-0000-0000-000005150000}"/>
    <cellStyle name="Вычисление 2 2 7 2" xfId="2476" xr:uid="{00000000-0005-0000-0000-000006150000}"/>
    <cellStyle name="Вычисление 2 2 7 2 2" xfId="6373" xr:uid="{00000000-0005-0000-0000-000007150000}"/>
    <cellStyle name="Вычисление 2 2 7 2 3" xfId="10382" xr:uid="{628A63B7-4C4A-4949-9443-66C78FCF69C2}"/>
    <cellStyle name="Вычисление 2 2 7 3" xfId="3522" xr:uid="{00000000-0005-0000-0000-000008150000}"/>
    <cellStyle name="Вычисление 2 2 7 3 2" xfId="7416" xr:uid="{00000000-0005-0000-0000-000009150000}"/>
    <cellStyle name="Вычисление 2 2 7 3 3" xfId="11425" xr:uid="{FB38F66E-E0D8-48FD-BE55-BB2C9BB4F408}"/>
    <cellStyle name="Вычисление 2 2 7 4" xfId="4841" xr:uid="{00000000-0005-0000-0000-00000A150000}"/>
    <cellStyle name="Вычисление 2 2 7 5" xfId="8850" xr:uid="{730BF70B-8DAA-497F-B0C4-426E7D9A4F81}"/>
    <cellStyle name="Вычисление 2 2 7 6" xfId="12741" xr:uid="{AD248495-A7BC-48C8-B8CE-DCB4089C5B9C}"/>
    <cellStyle name="Вычисление 2 2 8" xfId="2429" xr:uid="{00000000-0005-0000-0000-00000B150000}"/>
    <cellStyle name="Вычисление 2 2 8 2" xfId="6326" xr:uid="{00000000-0005-0000-0000-00000C150000}"/>
    <cellStyle name="Вычисление 2 2 8 3" xfId="10335" xr:uid="{5FA22B6C-FB9A-41CE-890D-E8617C5679E1}"/>
    <cellStyle name="Вычисление 2 2 9" xfId="2885" xr:uid="{00000000-0005-0000-0000-00000D150000}"/>
    <cellStyle name="Вычисление 2 2 9 2" xfId="6779" xr:uid="{00000000-0005-0000-0000-00000E150000}"/>
    <cellStyle name="Вычисление 2 2 9 3" xfId="10788" xr:uid="{6BC4B023-A151-4904-B4A1-60D4F6CF4C8C}"/>
    <cellStyle name="Вычисление 2 3" xfId="149" xr:uid="{00000000-0005-0000-0000-00000F150000}"/>
    <cellStyle name="Вычисление 2 3 10" xfId="8090" xr:uid="{5C9AADAD-C3FF-4449-96DA-12BF1D2A279A}"/>
    <cellStyle name="Вычисление 2 3 11" xfId="11981" xr:uid="{DCECA449-1270-4F1D-8E55-37F03B8071FA}"/>
    <cellStyle name="Вычисление 2 3 12" xfId="13417" xr:uid="{251D50B0-887A-4DE5-87C9-E1CA75285346}"/>
    <cellStyle name="Вычисление 2 3 2" xfId="259" xr:uid="{00000000-0005-0000-0000-000010150000}"/>
    <cellStyle name="Вычисление 2 3 2 10" xfId="13508" xr:uid="{9F9CA93C-8FAB-410E-BDB0-601CE512E917}"/>
    <cellStyle name="Вычисление 2 3 2 2" xfId="416" xr:uid="{00000000-0005-0000-0000-000011150000}"/>
    <cellStyle name="Вычисление 2 3 2 2 2" xfId="746" xr:uid="{00000000-0005-0000-0000-000012150000}"/>
    <cellStyle name="Вычисление 2 3 2 2 2 2" xfId="1527" xr:uid="{00000000-0005-0000-0000-000013150000}"/>
    <cellStyle name="Вычисление 2 3 2 2 2 2 2" xfId="2481" xr:uid="{00000000-0005-0000-0000-000014150000}"/>
    <cellStyle name="Вычисление 2 3 2 2 2 2 2 2" xfId="6378" xr:uid="{00000000-0005-0000-0000-000015150000}"/>
    <cellStyle name="Вычисление 2 3 2 2 2 2 2 3" xfId="10387" xr:uid="{5C31A83C-584A-47FC-B679-50B3F47397CB}"/>
    <cellStyle name="Вычисление 2 3 2 2 2 2 3" xfId="3883" xr:uid="{00000000-0005-0000-0000-000016150000}"/>
    <cellStyle name="Вычисление 2 3 2 2 2 2 3 2" xfId="7777" xr:uid="{00000000-0005-0000-0000-000017150000}"/>
    <cellStyle name="Вычисление 2 3 2 2 2 2 3 3" xfId="11786" xr:uid="{6131E4CF-9085-4D4B-BEB1-F96A3D24829A}"/>
    <cellStyle name="Вычисление 2 3 2 2 2 2 4" xfId="5428" xr:uid="{00000000-0005-0000-0000-000018150000}"/>
    <cellStyle name="Вычисление 2 3 2 2 2 2 5" xfId="9437" xr:uid="{E995ED4F-BEA6-471F-A5FA-349AC3715289}"/>
    <cellStyle name="Вычисление 2 3 2 2 2 2 6" xfId="13328" xr:uid="{18AE072A-E86E-4406-ADA8-4C87A284057A}"/>
    <cellStyle name="Вычисление 2 3 2 2 2 3" xfId="2480" xr:uid="{00000000-0005-0000-0000-000019150000}"/>
    <cellStyle name="Вычисление 2 3 2 2 2 3 2" xfId="6377" xr:uid="{00000000-0005-0000-0000-00001A150000}"/>
    <cellStyle name="Вычисление 2 3 2 2 2 3 3" xfId="10386" xr:uid="{F9B93DB4-E71E-4E06-B5CD-EF3AABC5E88C}"/>
    <cellStyle name="Вычисление 2 3 2 2 2 4" xfId="3472" xr:uid="{00000000-0005-0000-0000-00001B150000}"/>
    <cellStyle name="Вычисление 2 3 2 2 2 4 2" xfId="7366" xr:uid="{00000000-0005-0000-0000-00001C150000}"/>
    <cellStyle name="Вычисление 2 3 2 2 2 4 3" xfId="11375" xr:uid="{DBE3B882-5EC7-4A97-A3B5-0288D5B7A69D}"/>
    <cellStyle name="Вычисление 2 3 2 2 2 5" xfId="4650" xr:uid="{00000000-0005-0000-0000-00001D150000}"/>
    <cellStyle name="Вычисление 2 3 2 2 2 6" xfId="8659" xr:uid="{8FEB7C2D-4D6C-47E4-925F-A8A6980C51EC}"/>
    <cellStyle name="Вычисление 2 3 2 2 2 7" xfId="12550" xr:uid="{D2270251-3D7D-43F8-ADF3-A948E3C1DEA2}"/>
    <cellStyle name="Вычисление 2 3 2 2 3" xfId="1206" xr:uid="{00000000-0005-0000-0000-00001E150000}"/>
    <cellStyle name="Вычисление 2 3 2 2 3 2" xfId="2482" xr:uid="{00000000-0005-0000-0000-00001F150000}"/>
    <cellStyle name="Вычисление 2 3 2 2 3 2 2" xfId="6379" xr:uid="{00000000-0005-0000-0000-000020150000}"/>
    <cellStyle name="Вычисление 2 3 2 2 3 2 3" xfId="10388" xr:uid="{82D145D8-58A1-46B8-BE6A-FE1D5F01CC10}"/>
    <cellStyle name="Вычисление 2 3 2 2 3 3" xfId="3685" xr:uid="{00000000-0005-0000-0000-000021150000}"/>
    <cellStyle name="Вычисление 2 3 2 2 3 3 2" xfId="7579" xr:uid="{00000000-0005-0000-0000-000022150000}"/>
    <cellStyle name="Вычисление 2 3 2 2 3 3 3" xfId="11588" xr:uid="{C51E5C8F-FA92-4238-A66E-9F3292985372}"/>
    <cellStyle name="Вычисление 2 3 2 2 3 4" xfId="5107" xr:uid="{00000000-0005-0000-0000-000023150000}"/>
    <cellStyle name="Вычисление 2 3 2 2 3 5" xfId="9116" xr:uid="{B1D36883-3FA6-4EA6-BCEA-4DB39FFB12D4}"/>
    <cellStyle name="Вычисление 2 3 2 2 3 6" xfId="13007" xr:uid="{B139B72C-BDF9-4A86-BD00-FDE185E2C424}"/>
    <cellStyle name="Вычисление 2 3 2 2 4" xfId="2479" xr:uid="{00000000-0005-0000-0000-000024150000}"/>
    <cellStyle name="Вычисление 2 3 2 2 4 2" xfId="6376" xr:uid="{00000000-0005-0000-0000-000025150000}"/>
    <cellStyle name="Вычисление 2 3 2 2 4 3" xfId="10385" xr:uid="{0D02629B-9491-41AD-95D0-BB614020AED1}"/>
    <cellStyle name="Вычисление 2 3 2 2 5" xfId="3151" xr:uid="{00000000-0005-0000-0000-000026150000}"/>
    <cellStyle name="Вычисление 2 3 2 2 5 2" xfId="7045" xr:uid="{00000000-0005-0000-0000-000027150000}"/>
    <cellStyle name="Вычисление 2 3 2 2 5 3" xfId="11054" xr:uid="{B7B64EE4-C983-4DF8-9F75-D38E5B5D49B5}"/>
    <cellStyle name="Вычисление 2 3 2 2 6" xfId="4329" xr:uid="{00000000-0005-0000-0000-000028150000}"/>
    <cellStyle name="Вычисление 2 3 2 2 7" xfId="8338" xr:uid="{2AD9BFEA-2A24-48B6-8368-6E7BCFBDEC2D}"/>
    <cellStyle name="Вычисление 2 3 2 2 8" xfId="12229" xr:uid="{AE07338D-50CD-4534-96A3-0044B2CC94B4}"/>
    <cellStyle name="Вычисление 2 3 2 3" xfId="589" xr:uid="{00000000-0005-0000-0000-000029150000}"/>
    <cellStyle name="Вычисление 2 3 2 3 2" xfId="1370" xr:uid="{00000000-0005-0000-0000-00002A150000}"/>
    <cellStyle name="Вычисление 2 3 2 3 2 2" xfId="2484" xr:uid="{00000000-0005-0000-0000-00002B150000}"/>
    <cellStyle name="Вычисление 2 3 2 3 2 2 2" xfId="6381" xr:uid="{00000000-0005-0000-0000-00002C150000}"/>
    <cellStyle name="Вычисление 2 3 2 3 2 2 3" xfId="10390" xr:uid="{B048F939-F307-4CFF-8278-C6DFF7B795F4}"/>
    <cellStyle name="Вычисление 2 3 2 3 2 3" xfId="3784" xr:uid="{00000000-0005-0000-0000-00002D150000}"/>
    <cellStyle name="Вычисление 2 3 2 3 2 3 2" xfId="7678" xr:uid="{00000000-0005-0000-0000-00002E150000}"/>
    <cellStyle name="Вычисление 2 3 2 3 2 3 3" xfId="11687" xr:uid="{089517F8-6780-47AF-B9BC-5578F59977C9}"/>
    <cellStyle name="Вычисление 2 3 2 3 2 4" xfId="5271" xr:uid="{00000000-0005-0000-0000-00002F150000}"/>
    <cellStyle name="Вычисление 2 3 2 3 2 5" xfId="9280" xr:uid="{66036125-CA2F-44D9-A488-9FCD7E5FE574}"/>
    <cellStyle name="Вычисление 2 3 2 3 2 6" xfId="13171" xr:uid="{259D6421-27D8-47A0-A368-12E8A2643B1A}"/>
    <cellStyle name="Вычисление 2 3 2 3 3" xfId="2483" xr:uid="{00000000-0005-0000-0000-000030150000}"/>
    <cellStyle name="Вычисление 2 3 2 3 3 2" xfId="6380" xr:uid="{00000000-0005-0000-0000-000031150000}"/>
    <cellStyle name="Вычисление 2 3 2 3 3 3" xfId="10389" xr:uid="{536E33CE-8943-44AF-9B7F-82DA043A67FC}"/>
    <cellStyle name="Вычисление 2 3 2 3 4" xfId="3315" xr:uid="{00000000-0005-0000-0000-000032150000}"/>
    <cellStyle name="Вычисление 2 3 2 3 4 2" xfId="7209" xr:uid="{00000000-0005-0000-0000-000033150000}"/>
    <cellStyle name="Вычисление 2 3 2 3 4 3" xfId="11218" xr:uid="{E1828953-9F93-498F-BA76-1A1865A91297}"/>
    <cellStyle name="Вычисление 2 3 2 3 5" xfId="4493" xr:uid="{00000000-0005-0000-0000-000034150000}"/>
    <cellStyle name="Вычисление 2 3 2 3 6" xfId="8502" xr:uid="{02D31CF0-12CC-4DF6-99EC-525101E17282}"/>
    <cellStyle name="Вычисление 2 3 2 3 7" xfId="12393" xr:uid="{9028CB39-7F1A-43A5-A3A5-FA67BD597C1F}"/>
    <cellStyle name="Вычисление 2 3 2 4" xfId="1049" xr:uid="{00000000-0005-0000-0000-000035150000}"/>
    <cellStyle name="Вычисление 2 3 2 4 2" xfId="2485" xr:uid="{00000000-0005-0000-0000-000036150000}"/>
    <cellStyle name="Вычисление 2 3 2 4 2 2" xfId="6382" xr:uid="{00000000-0005-0000-0000-000037150000}"/>
    <cellStyle name="Вычисление 2 3 2 4 2 3" xfId="10391" xr:uid="{DC356EF7-22FB-484E-9CBE-13C1B0BA3506}"/>
    <cellStyle name="Вычисление 2 3 2 4 3" xfId="3586" xr:uid="{00000000-0005-0000-0000-000038150000}"/>
    <cellStyle name="Вычисление 2 3 2 4 3 2" xfId="7480" xr:uid="{00000000-0005-0000-0000-000039150000}"/>
    <cellStyle name="Вычисление 2 3 2 4 3 3" xfId="11489" xr:uid="{848995FB-E3F9-4F56-8528-D0E20EBA8644}"/>
    <cellStyle name="Вычисление 2 3 2 4 4" xfId="4950" xr:uid="{00000000-0005-0000-0000-00003A150000}"/>
    <cellStyle name="Вычисление 2 3 2 4 5" xfId="8959" xr:uid="{4D84A164-B465-4266-BBA7-13C4C23389C1}"/>
    <cellStyle name="Вычисление 2 3 2 4 6" xfId="12850" xr:uid="{1529C3F7-1E5E-4523-8555-1D07CA0E7C74}"/>
    <cellStyle name="Вычисление 2 3 2 5" xfId="2478" xr:uid="{00000000-0005-0000-0000-00003B150000}"/>
    <cellStyle name="Вычисление 2 3 2 5 2" xfId="6375" xr:uid="{00000000-0005-0000-0000-00003C150000}"/>
    <cellStyle name="Вычисление 2 3 2 5 3" xfId="10384" xr:uid="{01B60F6C-6CE0-4EAE-93BC-86F5422B5789}"/>
    <cellStyle name="Вычисление 2 3 2 6" xfId="2994" xr:uid="{00000000-0005-0000-0000-00003D150000}"/>
    <cellStyle name="Вычисление 2 3 2 6 2" xfId="6888" xr:uid="{00000000-0005-0000-0000-00003E150000}"/>
    <cellStyle name="Вычисление 2 3 2 6 3" xfId="10897" xr:uid="{51F2A41F-AA36-41C5-8516-04C5A3142896}"/>
    <cellStyle name="Вычисление 2 3 2 7" xfId="4172" xr:uid="{00000000-0005-0000-0000-00003F150000}"/>
    <cellStyle name="Вычисление 2 3 2 8" xfId="8181" xr:uid="{5AAF7B2A-9C74-4EF5-8FAE-076DB511048D}"/>
    <cellStyle name="Вычисление 2 3 2 9" xfId="12072" xr:uid="{F0ACAF5E-4954-4A5F-833D-87A6102ED98B}"/>
    <cellStyle name="Вычисление 2 3 3" xfId="292" xr:uid="{00000000-0005-0000-0000-000040150000}"/>
    <cellStyle name="Вычисление 2 3 3 10" xfId="13541" xr:uid="{2CB6F930-091D-4E36-9882-AC0DD0A61D3A}"/>
    <cellStyle name="Вычисление 2 3 3 2" xfId="448" xr:uid="{00000000-0005-0000-0000-000041150000}"/>
    <cellStyle name="Вычисление 2 3 3 2 2" xfId="778" xr:uid="{00000000-0005-0000-0000-000042150000}"/>
    <cellStyle name="Вычисление 2 3 3 2 2 2" xfId="1559" xr:uid="{00000000-0005-0000-0000-000043150000}"/>
    <cellStyle name="Вычисление 2 3 3 2 2 2 2" xfId="2489" xr:uid="{00000000-0005-0000-0000-000044150000}"/>
    <cellStyle name="Вычисление 2 3 3 2 2 2 2 2" xfId="6386" xr:uid="{00000000-0005-0000-0000-000045150000}"/>
    <cellStyle name="Вычисление 2 3 3 2 2 2 2 3" xfId="10395" xr:uid="{1EB9D882-3293-4E60-AAD0-CA32979FDD07}"/>
    <cellStyle name="Вычисление 2 3 3 2 2 2 3" xfId="3905" xr:uid="{00000000-0005-0000-0000-000046150000}"/>
    <cellStyle name="Вычисление 2 3 3 2 2 2 3 2" xfId="7799" xr:uid="{00000000-0005-0000-0000-000047150000}"/>
    <cellStyle name="Вычисление 2 3 3 2 2 2 3 3" xfId="11808" xr:uid="{22FC2760-D2B0-4ED9-BA8D-3B129D236C47}"/>
    <cellStyle name="Вычисление 2 3 3 2 2 2 4" xfId="5460" xr:uid="{00000000-0005-0000-0000-000048150000}"/>
    <cellStyle name="Вычисление 2 3 3 2 2 2 5" xfId="9469" xr:uid="{0647D368-6E9F-432D-AD78-98EE124F6D45}"/>
    <cellStyle name="Вычисление 2 3 3 2 2 2 6" xfId="13360" xr:uid="{2429FC54-720B-42BB-BEFD-33A736EBEC87}"/>
    <cellStyle name="Вычисление 2 3 3 2 2 3" xfId="2488" xr:uid="{00000000-0005-0000-0000-000049150000}"/>
    <cellStyle name="Вычисление 2 3 3 2 2 3 2" xfId="6385" xr:uid="{00000000-0005-0000-0000-00004A150000}"/>
    <cellStyle name="Вычисление 2 3 3 2 2 3 3" xfId="10394" xr:uid="{7DF1F5A4-5565-4B6A-9998-1CB969CA793B}"/>
    <cellStyle name="Вычисление 2 3 3 2 2 4" xfId="3504" xr:uid="{00000000-0005-0000-0000-00004B150000}"/>
    <cellStyle name="Вычисление 2 3 3 2 2 4 2" xfId="7398" xr:uid="{00000000-0005-0000-0000-00004C150000}"/>
    <cellStyle name="Вычисление 2 3 3 2 2 4 3" xfId="11407" xr:uid="{6B8EE65A-ED7E-4446-BE13-24DF0F9FACF4}"/>
    <cellStyle name="Вычисление 2 3 3 2 2 5" xfId="4682" xr:uid="{00000000-0005-0000-0000-00004D150000}"/>
    <cellStyle name="Вычисление 2 3 3 2 2 6" xfId="8691" xr:uid="{E256E70E-F045-458D-8E10-4E7022CD9FDB}"/>
    <cellStyle name="Вычисление 2 3 3 2 2 7" xfId="12582" xr:uid="{BFDB14D5-E35D-49D3-89EB-D74595B445B7}"/>
    <cellStyle name="Вычисление 2 3 3 2 3" xfId="1238" xr:uid="{00000000-0005-0000-0000-00004E150000}"/>
    <cellStyle name="Вычисление 2 3 3 2 3 2" xfId="2490" xr:uid="{00000000-0005-0000-0000-00004F150000}"/>
    <cellStyle name="Вычисление 2 3 3 2 3 2 2" xfId="6387" xr:uid="{00000000-0005-0000-0000-000050150000}"/>
    <cellStyle name="Вычисление 2 3 3 2 3 2 3" xfId="10396" xr:uid="{9689C7B3-D07B-43A1-AA41-DC5720BDC6D3}"/>
    <cellStyle name="Вычисление 2 3 3 2 3 3" xfId="3707" xr:uid="{00000000-0005-0000-0000-000051150000}"/>
    <cellStyle name="Вычисление 2 3 3 2 3 3 2" xfId="7601" xr:uid="{00000000-0005-0000-0000-000052150000}"/>
    <cellStyle name="Вычисление 2 3 3 2 3 3 3" xfId="11610" xr:uid="{E6BAD52D-86F8-4C68-924A-6C9AF094DFB5}"/>
    <cellStyle name="Вычисление 2 3 3 2 3 4" xfId="5139" xr:uid="{00000000-0005-0000-0000-000053150000}"/>
    <cellStyle name="Вычисление 2 3 3 2 3 5" xfId="9148" xr:uid="{24483F6F-08A1-421F-B8B1-2756BBDCBCCA}"/>
    <cellStyle name="Вычисление 2 3 3 2 3 6" xfId="13039" xr:uid="{D2B040A3-8A7E-4365-B61F-BEB866CBCF04}"/>
    <cellStyle name="Вычисление 2 3 3 2 4" xfId="2487" xr:uid="{00000000-0005-0000-0000-000054150000}"/>
    <cellStyle name="Вычисление 2 3 3 2 4 2" xfId="6384" xr:uid="{00000000-0005-0000-0000-000055150000}"/>
    <cellStyle name="Вычисление 2 3 3 2 4 3" xfId="10393" xr:uid="{91FFD17E-2062-44A9-B5BE-984F102DD13A}"/>
    <cellStyle name="Вычисление 2 3 3 2 5" xfId="3183" xr:uid="{00000000-0005-0000-0000-000056150000}"/>
    <cellStyle name="Вычисление 2 3 3 2 5 2" xfId="7077" xr:uid="{00000000-0005-0000-0000-000057150000}"/>
    <cellStyle name="Вычисление 2 3 3 2 5 3" xfId="11086" xr:uid="{5B36D5BD-00B7-4101-A96E-0A8B4AF6B8FD}"/>
    <cellStyle name="Вычисление 2 3 3 2 6" xfId="4361" xr:uid="{00000000-0005-0000-0000-000058150000}"/>
    <cellStyle name="Вычисление 2 3 3 2 7" xfId="8370" xr:uid="{41BA8D76-34E3-4E8D-9B28-7C0711B94E6C}"/>
    <cellStyle name="Вычисление 2 3 3 2 8" xfId="12261" xr:uid="{2EEE5CE6-4BB2-4E55-B985-89745B0E6127}"/>
    <cellStyle name="Вычисление 2 3 3 3" xfId="622" xr:uid="{00000000-0005-0000-0000-000059150000}"/>
    <cellStyle name="Вычисление 2 3 3 3 2" xfId="1403" xr:uid="{00000000-0005-0000-0000-00005A150000}"/>
    <cellStyle name="Вычисление 2 3 3 3 2 2" xfId="2492" xr:uid="{00000000-0005-0000-0000-00005B150000}"/>
    <cellStyle name="Вычисление 2 3 3 3 2 2 2" xfId="6389" xr:uid="{00000000-0005-0000-0000-00005C150000}"/>
    <cellStyle name="Вычисление 2 3 3 3 2 2 3" xfId="10398" xr:uid="{EC7C6AD7-BB9E-4886-862E-5BAE7E0D6200}"/>
    <cellStyle name="Вычисление 2 3 3 3 2 3" xfId="3806" xr:uid="{00000000-0005-0000-0000-00005D150000}"/>
    <cellStyle name="Вычисление 2 3 3 3 2 3 2" xfId="7700" xr:uid="{00000000-0005-0000-0000-00005E150000}"/>
    <cellStyle name="Вычисление 2 3 3 3 2 3 3" xfId="11709" xr:uid="{E57E25F5-1A49-4EBE-92EE-15F38F6733DA}"/>
    <cellStyle name="Вычисление 2 3 3 3 2 4" xfId="5304" xr:uid="{00000000-0005-0000-0000-00005F150000}"/>
    <cellStyle name="Вычисление 2 3 3 3 2 5" xfId="9313" xr:uid="{9329785D-EF49-4826-AC6B-E4BDFE82F5B8}"/>
    <cellStyle name="Вычисление 2 3 3 3 2 6" xfId="13204" xr:uid="{C03AC2B2-87FC-4361-86C0-26304DB6BCBB}"/>
    <cellStyle name="Вычисление 2 3 3 3 3" xfId="2491" xr:uid="{00000000-0005-0000-0000-000060150000}"/>
    <cellStyle name="Вычисление 2 3 3 3 3 2" xfId="6388" xr:uid="{00000000-0005-0000-0000-000061150000}"/>
    <cellStyle name="Вычисление 2 3 3 3 3 3" xfId="10397" xr:uid="{C208662A-3A9A-40A8-928C-51335E8F425F}"/>
    <cellStyle name="Вычисление 2 3 3 3 4" xfId="3348" xr:uid="{00000000-0005-0000-0000-000062150000}"/>
    <cellStyle name="Вычисление 2 3 3 3 4 2" xfId="7242" xr:uid="{00000000-0005-0000-0000-000063150000}"/>
    <cellStyle name="Вычисление 2 3 3 3 4 3" xfId="11251" xr:uid="{BB0C038B-39BF-44DE-811F-7BAEE585DD6C}"/>
    <cellStyle name="Вычисление 2 3 3 3 5" xfId="4526" xr:uid="{00000000-0005-0000-0000-000064150000}"/>
    <cellStyle name="Вычисление 2 3 3 3 6" xfId="8535" xr:uid="{F5B132C8-4E05-4547-B169-02D276255F47}"/>
    <cellStyle name="Вычисление 2 3 3 3 7" xfId="12426" xr:uid="{C15804BD-D1B0-4688-A65A-096EA842CA69}"/>
    <cellStyle name="Вычисление 2 3 3 4" xfId="1082" xr:uid="{00000000-0005-0000-0000-000065150000}"/>
    <cellStyle name="Вычисление 2 3 3 4 2" xfId="2493" xr:uid="{00000000-0005-0000-0000-000066150000}"/>
    <cellStyle name="Вычисление 2 3 3 4 2 2" xfId="6390" xr:uid="{00000000-0005-0000-0000-000067150000}"/>
    <cellStyle name="Вычисление 2 3 3 4 2 3" xfId="10399" xr:uid="{22B7185D-BB88-45FC-9188-3604092781DD}"/>
    <cellStyle name="Вычисление 2 3 3 4 3" xfId="3608" xr:uid="{00000000-0005-0000-0000-000068150000}"/>
    <cellStyle name="Вычисление 2 3 3 4 3 2" xfId="7502" xr:uid="{00000000-0005-0000-0000-000069150000}"/>
    <cellStyle name="Вычисление 2 3 3 4 3 3" xfId="11511" xr:uid="{80F45447-8B4B-4CDA-85D5-33DB4C3EBA95}"/>
    <cellStyle name="Вычисление 2 3 3 4 4" xfId="4983" xr:uid="{00000000-0005-0000-0000-00006A150000}"/>
    <cellStyle name="Вычисление 2 3 3 4 5" xfId="8992" xr:uid="{2A0BCCD8-3CF3-44DC-A426-2AA265636484}"/>
    <cellStyle name="Вычисление 2 3 3 4 6" xfId="12883" xr:uid="{FDE6E9AF-DAD0-4451-97DA-CEB990CFF0C5}"/>
    <cellStyle name="Вычисление 2 3 3 5" xfId="2486" xr:uid="{00000000-0005-0000-0000-00006B150000}"/>
    <cellStyle name="Вычисление 2 3 3 5 2" xfId="6383" xr:uid="{00000000-0005-0000-0000-00006C150000}"/>
    <cellStyle name="Вычисление 2 3 3 5 3" xfId="10392" xr:uid="{6F56E5E7-178F-43DF-B379-E94A36EB42AB}"/>
    <cellStyle name="Вычисление 2 3 3 6" xfId="3027" xr:uid="{00000000-0005-0000-0000-00006D150000}"/>
    <cellStyle name="Вычисление 2 3 3 6 2" xfId="6921" xr:uid="{00000000-0005-0000-0000-00006E150000}"/>
    <cellStyle name="Вычисление 2 3 3 6 3" xfId="10930" xr:uid="{83C5EBD6-6E5D-4560-A930-A486F9D36543}"/>
    <cellStyle name="Вычисление 2 3 3 7" xfId="4205" xr:uid="{00000000-0005-0000-0000-00006F150000}"/>
    <cellStyle name="Вычисление 2 3 3 8" xfId="8214" xr:uid="{16FA666F-211F-4E3E-80B0-444AB832506D}"/>
    <cellStyle name="Вычисление 2 3 3 9" xfId="12105" xr:uid="{8ACC7590-F971-4E2F-88ED-EB4C44D45F1C}"/>
    <cellStyle name="Вычисление 2 3 4" xfId="333" xr:uid="{00000000-0005-0000-0000-000070150000}"/>
    <cellStyle name="Вычисление 2 3 4 2" xfId="663" xr:uid="{00000000-0005-0000-0000-000071150000}"/>
    <cellStyle name="Вычисление 2 3 4 2 2" xfId="1444" xr:uid="{00000000-0005-0000-0000-000072150000}"/>
    <cellStyle name="Вычисление 2 3 4 2 2 2" xfId="2496" xr:uid="{00000000-0005-0000-0000-000073150000}"/>
    <cellStyle name="Вычисление 2 3 4 2 2 2 2" xfId="6393" xr:uid="{00000000-0005-0000-0000-000074150000}"/>
    <cellStyle name="Вычисление 2 3 4 2 2 2 3" xfId="10402" xr:uid="{5CB90ACB-59BD-4ADB-A6D1-8642EF3C8D30}"/>
    <cellStyle name="Вычисление 2 3 4 2 2 3" xfId="3829" xr:uid="{00000000-0005-0000-0000-000075150000}"/>
    <cellStyle name="Вычисление 2 3 4 2 2 3 2" xfId="7723" xr:uid="{00000000-0005-0000-0000-000076150000}"/>
    <cellStyle name="Вычисление 2 3 4 2 2 3 3" xfId="11732" xr:uid="{8ECB61CC-2123-4CB5-8303-D560057C28D0}"/>
    <cellStyle name="Вычисление 2 3 4 2 2 4" xfId="5345" xr:uid="{00000000-0005-0000-0000-000077150000}"/>
    <cellStyle name="Вычисление 2 3 4 2 2 5" xfId="9354" xr:uid="{1FB9D6FB-292A-4D01-9148-86D78B091C95}"/>
    <cellStyle name="Вычисление 2 3 4 2 2 6" xfId="13245" xr:uid="{D7B23514-6B13-4C92-B046-1D3C384C3DEB}"/>
    <cellStyle name="Вычисление 2 3 4 2 3" xfId="2495" xr:uid="{00000000-0005-0000-0000-000078150000}"/>
    <cellStyle name="Вычисление 2 3 4 2 3 2" xfId="6392" xr:uid="{00000000-0005-0000-0000-000079150000}"/>
    <cellStyle name="Вычисление 2 3 4 2 3 3" xfId="10401" xr:uid="{192CE0CD-1CB3-442C-B62D-873B5B005916}"/>
    <cellStyle name="Вычисление 2 3 4 2 4" xfId="3389" xr:uid="{00000000-0005-0000-0000-00007A150000}"/>
    <cellStyle name="Вычисление 2 3 4 2 4 2" xfId="7283" xr:uid="{00000000-0005-0000-0000-00007B150000}"/>
    <cellStyle name="Вычисление 2 3 4 2 4 3" xfId="11292" xr:uid="{F6622687-1722-4BB9-BCFD-A99B4D491465}"/>
    <cellStyle name="Вычисление 2 3 4 2 5" xfId="4567" xr:uid="{00000000-0005-0000-0000-00007C150000}"/>
    <cellStyle name="Вычисление 2 3 4 2 6" xfId="8576" xr:uid="{6817D313-9E8C-4EA9-85DA-D6747A69B72A}"/>
    <cellStyle name="Вычисление 2 3 4 2 7" xfId="12467" xr:uid="{4E3F2AC6-C4D5-433D-AFE8-4BA9A31044CA}"/>
    <cellStyle name="Вычисление 2 3 4 3" xfId="1123" xr:uid="{00000000-0005-0000-0000-00007D150000}"/>
    <cellStyle name="Вычисление 2 3 4 3 2" xfId="2497" xr:uid="{00000000-0005-0000-0000-00007E150000}"/>
    <cellStyle name="Вычисление 2 3 4 3 2 2" xfId="6394" xr:uid="{00000000-0005-0000-0000-00007F150000}"/>
    <cellStyle name="Вычисление 2 3 4 3 2 3" xfId="10403" xr:uid="{658D8CCF-3D1C-4A45-A97E-A7115953AE53}"/>
    <cellStyle name="Вычисление 2 3 4 3 3" xfId="3631" xr:uid="{00000000-0005-0000-0000-000080150000}"/>
    <cellStyle name="Вычисление 2 3 4 3 3 2" xfId="7525" xr:uid="{00000000-0005-0000-0000-000081150000}"/>
    <cellStyle name="Вычисление 2 3 4 3 3 3" xfId="11534" xr:uid="{FB355267-C244-4BC8-A1D4-2BAB27F88DDB}"/>
    <cellStyle name="Вычисление 2 3 4 3 4" xfId="5024" xr:uid="{00000000-0005-0000-0000-000082150000}"/>
    <cellStyle name="Вычисление 2 3 4 3 5" xfId="9033" xr:uid="{38BEF0B2-151D-419B-8AA5-34933A1E2E6A}"/>
    <cellStyle name="Вычисление 2 3 4 3 6" xfId="12924" xr:uid="{341B0246-7A6A-463D-AC13-8F5BFB20E64F}"/>
    <cellStyle name="Вычисление 2 3 4 4" xfId="2494" xr:uid="{00000000-0005-0000-0000-000083150000}"/>
    <cellStyle name="Вычисление 2 3 4 4 2" xfId="6391" xr:uid="{00000000-0005-0000-0000-000084150000}"/>
    <cellStyle name="Вычисление 2 3 4 4 3" xfId="10400" xr:uid="{8743E524-CADF-4D1F-81F9-5EE09E033748}"/>
    <cellStyle name="Вычисление 2 3 4 5" xfId="3068" xr:uid="{00000000-0005-0000-0000-000085150000}"/>
    <cellStyle name="Вычисление 2 3 4 5 2" xfId="6962" xr:uid="{00000000-0005-0000-0000-000086150000}"/>
    <cellStyle name="Вычисление 2 3 4 5 3" xfId="10971" xr:uid="{D5FF0058-ED63-487A-AB2C-B408C4A37026}"/>
    <cellStyle name="Вычисление 2 3 4 6" xfId="4246" xr:uid="{00000000-0005-0000-0000-000087150000}"/>
    <cellStyle name="Вычисление 2 3 4 7" xfId="8255" xr:uid="{B9401195-479A-47E1-A47B-E5D02CB502F4}"/>
    <cellStyle name="Вычисление 2 3 4 8" xfId="12146" xr:uid="{B6E7342C-33C3-4A5A-81D3-CB70CEB4E6A4}"/>
    <cellStyle name="Вычисление 2 3 5" xfId="495" xr:uid="{00000000-0005-0000-0000-000088150000}"/>
    <cellStyle name="Вычисление 2 3 5 2" xfId="1279" xr:uid="{00000000-0005-0000-0000-000089150000}"/>
    <cellStyle name="Вычисление 2 3 5 2 2" xfId="2499" xr:uid="{00000000-0005-0000-0000-00008A150000}"/>
    <cellStyle name="Вычисление 2 3 5 2 2 2" xfId="6396" xr:uid="{00000000-0005-0000-0000-00008B150000}"/>
    <cellStyle name="Вычисление 2 3 5 2 2 3" xfId="10405" xr:uid="{D8DA4CEA-0F84-4D28-BAC5-1084C76F1F5F}"/>
    <cellStyle name="Вычисление 2 3 5 2 3" xfId="3730" xr:uid="{00000000-0005-0000-0000-00008C150000}"/>
    <cellStyle name="Вычисление 2 3 5 2 3 2" xfId="7624" xr:uid="{00000000-0005-0000-0000-00008D150000}"/>
    <cellStyle name="Вычисление 2 3 5 2 3 3" xfId="11633" xr:uid="{AA00D43A-A36E-487A-8F04-B7B7E478277E}"/>
    <cellStyle name="Вычисление 2 3 5 2 4" xfId="5180" xr:uid="{00000000-0005-0000-0000-00008E150000}"/>
    <cellStyle name="Вычисление 2 3 5 2 5" xfId="9189" xr:uid="{220D659C-2D36-4FE1-93AC-A3EF1C3C0DCB}"/>
    <cellStyle name="Вычисление 2 3 5 2 6" xfId="13080" xr:uid="{04C5D310-9BCC-43AC-B666-219CDD4FC392}"/>
    <cellStyle name="Вычисление 2 3 5 3" xfId="2498" xr:uid="{00000000-0005-0000-0000-00008F150000}"/>
    <cellStyle name="Вычисление 2 3 5 3 2" xfId="6395" xr:uid="{00000000-0005-0000-0000-000090150000}"/>
    <cellStyle name="Вычисление 2 3 5 3 3" xfId="10404" xr:uid="{BAD235B3-52A7-430F-8A6B-43F9ACF036DC}"/>
    <cellStyle name="Вычисление 2 3 5 4" xfId="3224" xr:uid="{00000000-0005-0000-0000-000091150000}"/>
    <cellStyle name="Вычисление 2 3 5 4 2" xfId="7118" xr:uid="{00000000-0005-0000-0000-000092150000}"/>
    <cellStyle name="Вычисление 2 3 5 4 3" xfId="11127" xr:uid="{4C677A17-41E0-485D-AA56-6A3EBF753362}"/>
    <cellStyle name="Вычисление 2 3 5 5" xfId="4402" xr:uid="{00000000-0005-0000-0000-000093150000}"/>
    <cellStyle name="Вычисление 2 3 5 6" xfId="8411" xr:uid="{E399A985-81E8-4EBE-8532-EF4D17644D09}"/>
    <cellStyle name="Вычисление 2 3 5 7" xfId="12302" xr:uid="{B5B6355C-A97A-430B-90AB-E4DD40793E32}"/>
    <cellStyle name="Вычисление 2 3 6" xfId="958" xr:uid="{00000000-0005-0000-0000-000094150000}"/>
    <cellStyle name="Вычисление 2 3 6 2" xfId="2500" xr:uid="{00000000-0005-0000-0000-000095150000}"/>
    <cellStyle name="Вычисление 2 3 6 2 2" xfId="6397" xr:uid="{00000000-0005-0000-0000-000096150000}"/>
    <cellStyle name="Вычисление 2 3 6 2 3" xfId="10406" xr:uid="{C418FC35-45A8-44B8-AC2B-93F8535685D7}"/>
    <cellStyle name="Вычисление 2 3 6 3" xfId="3532" xr:uid="{00000000-0005-0000-0000-000097150000}"/>
    <cellStyle name="Вычисление 2 3 6 3 2" xfId="7426" xr:uid="{00000000-0005-0000-0000-000098150000}"/>
    <cellStyle name="Вычисление 2 3 6 3 3" xfId="11435" xr:uid="{EA99AD31-7FEB-4FBE-86FD-D2B76459CDB6}"/>
    <cellStyle name="Вычисление 2 3 6 4" xfId="4859" xr:uid="{00000000-0005-0000-0000-000099150000}"/>
    <cellStyle name="Вычисление 2 3 6 5" xfId="8868" xr:uid="{83DB5F39-4CAC-4424-86EA-3C81A70D7C8C}"/>
    <cellStyle name="Вычисление 2 3 6 6" xfId="12759" xr:uid="{31AE29E7-AF97-46ED-931B-5D0DD672DB52}"/>
    <cellStyle name="Вычисление 2 3 7" xfId="2477" xr:uid="{00000000-0005-0000-0000-00009A150000}"/>
    <cellStyle name="Вычисление 2 3 7 2" xfId="6374" xr:uid="{00000000-0005-0000-0000-00009B150000}"/>
    <cellStyle name="Вычисление 2 3 7 3" xfId="10383" xr:uid="{5150A7F1-BCBF-40D7-A07A-98EC12896D1E}"/>
    <cellStyle name="Вычисление 2 3 8" xfId="2903" xr:uid="{00000000-0005-0000-0000-00009C150000}"/>
    <cellStyle name="Вычисление 2 3 8 2" xfId="6797" xr:uid="{00000000-0005-0000-0000-00009D150000}"/>
    <cellStyle name="Вычисление 2 3 8 3" xfId="10806" xr:uid="{489F9257-1A97-4DCA-9C5C-E714C5C10E0B}"/>
    <cellStyle name="Вычисление 2 3 9" xfId="4081" xr:uid="{00000000-0005-0000-0000-00009E150000}"/>
    <cellStyle name="Вычисление 2 4" xfId="137" xr:uid="{00000000-0005-0000-0000-00009F150000}"/>
    <cellStyle name="Вычисление 2 4 10" xfId="4075" xr:uid="{00000000-0005-0000-0000-0000A0150000}"/>
    <cellStyle name="Вычисление 2 4 11" xfId="8084" xr:uid="{AF4B03ED-3E80-4002-B8E3-261FA105CA09}"/>
    <cellStyle name="Вычисление 2 4 12" xfId="11975" xr:uid="{0C6BF730-685A-48B6-8214-810251AB6222}"/>
    <cellStyle name="Вычисление 2 4 13" xfId="13411" xr:uid="{6B5742A0-A0F6-4310-9962-768338247086}"/>
    <cellStyle name="Вычисление 2 4 2" xfId="185" xr:uid="{00000000-0005-0000-0000-0000A1150000}"/>
    <cellStyle name="Вычисление 2 4 2 10" xfId="8110" xr:uid="{44B62B33-986D-4DE4-8D90-C328D7633C4B}"/>
    <cellStyle name="Вычисление 2 4 2 11" xfId="12001" xr:uid="{1CC96B32-E6C8-47E1-A9E1-81E812ECAB06}"/>
    <cellStyle name="Вычисление 2 4 2 12" xfId="13437" xr:uid="{E59DF383-324E-4687-A2C9-64FE25A77C1A}"/>
    <cellStyle name="Вычисление 2 4 2 2" xfId="286" xr:uid="{00000000-0005-0000-0000-0000A2150000}"/>
    <cellStyle name="Вычисление 2 4 2 2 10" xfId="13535" xr:uid="{28ED244E-BF62-430F-94F2-081E7DD6FFF2}"/>
    <cellStyle name="Вычисление 2 4 2 2 2" xfId="442" xr:uid="{00000000-0005-0000-0000-0000A3150000}"/>
    <cellStyle name="Вычисление 2 4 2 2 2 2" xfId="772" xr:uid="{00000000-0005-0000-0000-0000A4150000}"/>
    <cellStyle name="Вычисление 2 4 2 2 2 2 2" xfId="1553" xr:uid="{00000000-0005-0000-0000-0000A5150000}"/>
    <cellStyle name="Вычисление 2 4 2 2 2 2 2 2" xfId="2506" xr:uid="{00000000-0005-0000-0000-0000A6150000}"/>
    <cellStyle name="Вычисление 2 4 2 2 2 2 2 2 2" xfId="6403" xr:uid="{00000000-0005-0000-0000-0000A7150000}"/>
    <cellStyle name="Вычисление 2 4 2 2 2 2 2 2 3" xfId="10412" xr:uid="{7A6272FA-3B74-4CCB-BDEA-4B8AA00FABE3}"/>
    <cellStyle name="Вычисление 2 4 2 2 2 2 2 3" xfId="3901" xr:uid="{00000000-0005-0000-0000-0000A8150000}"/>
    <cellStyle name="Вычисление 2 4 2 2 2 2 2 3 2" xfId="7795" xr:uid="{00000000-0005-0000-0000-0000A9150000}"/>
    <cellStyle name="Вычисление 2 4 2 2 2 2 2 3 3" xfId="11804" xr:uid="{2D9DD1FC-7548-4554-B696-7421B0EE0F81}"/>
    <cellStyle name="Вычисление 2 4 2 2 2 2 2 4" xfId="5454" xr:uid="{00000000-0005-0000-0000-0000AA150000}"/>
    <cellStyle name="Вычисление 2 4 2 2 2 2 2 5" xfId="9463" xr:uid="{4CD5314F-3C76-407C-A16F-68AFEC843FEA}"/>
    <cellStyle name="Вычисление 2 4 2 2 2 2 2 6" xfId="13354" xr:uid="{52788412-364F-4FA6-9E53-0C8F54346699}"/>
    <cellStyle name="Вычисление 2 4 2 2 2 2 3" xfId="2505" xr:uid="{00000000-0005-0000-0000-0000AB150000}"/>
    <cellStyle name="Вычисление 2 4 2 2 2 2 3 2" xfId="6402" xr:uid="{00000000-0005-0000-0000-0000AC150000}"/>
    <cellStyle name="Вычисление 2 4 2 2 2 2 3 3" xfId="10411" xr:uid="{91E966E6-173F-4DC8-8AB3-6BA79AF24782}"/>
    <cellStyle name="Вычисление 2 4 2 2 2 2 4" xfId="3498" xr:uid="{00000000-0005-0000-0000-0000AD150000}"/>
    <cellStyle name="Вычисление 2 4 2 2 2 2 4 2" xfId="7392" xr:uid="{00000000-0005-0000-0000-0000AE150000}"/>
    <cellStyle name="Вычисление 2 4 2 2 2 2 4 3" xfId="11401" xr:uid="{2FFE7DF4-5555-4761-A1C2-F3EEB6D2F65B}"/>
    <cellStyle name="Вычисление 2 4 2 2 2 2 5" xfId="4676" xr:uid="{00000000-0005-0000-0000-0000AF150000}"/>
    <cellStyle name="Вычисление 2 4 2 2 2 2 6" xfId="8685" xr:uid="{E7B90058-A6A5-4E61-B621-99CAEFB2E295}"/>
    <cellStyle name="Вычисление 2 4 2 2 2 2 7" xfId="12576" xr:uid="{60D21919-7F0B-4550-99C2-EE4A630A172A}"/>
    <cellStyle name="Вычисление 2 4 2 2 2 3" xfId="1232" xr:uid="{00000000-0005-0000-0000-0000B0150000}"/>
    <cellStyle name="Вычисление 2 4 2 2 2 3 2" xfId="2507" xr:uid="{00000000-0005-0000-0000-0000B1150000}"/>
    <cellStyle name="Вычисление 2 4 2 2 2 3 2 2" xfId="6404" xr:uid="{00000000-0005-0000-0000-0000B2150000}"/>
    <cellStyle name="Вычисление 2 4 2 2 2 3 2 3" xfId="10413" xr:uid="{66492A19-4266-4453-8BDA-F6ED13D38B00}"/>
    <cellStyle name="Вычисление 2 4 2 2 2 3 3" xfId="3703" xr:uid="{00000000-0005-0000-0000-0000B3150000}"/>
    <cellStyle name="Вычисление 2 4 2 2 2 3 3 2" xfId="7597" xr:uid="{00000000-0005-0000-0000-0000B4150000}"/>
    <cellStyle name="Вычисление 2 4 2 2 2 3 3 3" xfId="11606" xr:uid="{D9E9C3E2-B664-4D6E-8E25-674D6DB659ED}"/>
    <cellStyle name="Вычисление 2 4 2 2 2 3 4" xfId="5133" xr:uid="{00000000-0005-0000-0000-0000B5150000}"/>
    <cellStyle name="Вычисление 2 4 2 2 2 3 5" xfId="9142" xr:uid="{02DD118E-C3BD-4F29-9B42-7437790BC533}"/>
    <cellStyle name="Вычисление 2 4 2 2 2 3 6" xfId="13033" xr:uid="{06DC263B-7AFD-4199-932E-7845E1454DF6}"/>
    <cellStyle name="Вычисление 2 4 2 2 2 4" xfId="2504" xr:uid="{00000000-0005-0000-0000-0000B6150000}"/>
    <cellStyle name="Вычисление 2 4 2 2 2 4 2" xfId="6401" xr:uid="{00000000-0005-0000-0000-0000B7150000}"/>
    <cellStyle name="Вычисление 2 4 2 2 2 4 3" xfId="10410" xr:uid="{FA66ABC2-A7DC-4A0F-81AA-6AB157602D4E}"/>
    <cellStyle name="Вычисление 2 4 2 2 2 5" xfId="3177" xr:uid="{00000000-0005-0000-0000-0000B8150000}"/>
    <cellStyle name="Вычисление 2 4 2 2 2 5 2" xfId="7071" xr:uid="{00000000-0005-0000-0000-0000B9150000}"/>
    <cellStyle name="Вычисление 2 4 2 2 2 5 3" xfId="11080" xr:uid="{E8C97CB9-B8A6-4B04-88A5-0DA6EDF36351}"/>
    <cellStyle name="Вычисление 2 4 2 2 2 6" xfId="4355" xr:uid="{00000000-0005-0000-0000-0000BA150000}"/>
    <cellStyle name="Вычисление 2 4 2 2 2 7" xfId="8364" xr:uid="{2B136BAE-DFF8-46FB-97EB-6E990BB04EFB}"/>
    <cellStyle name="Вычисление 2 4 2 2 2 8" xfId="12255" xr:uid="{365AF5DD-2A88-4BBF-B4CD-61AF75980ADF}"/>
    <cellStyle name="Вычисление 2 4 2 2 3" xfId="616" xr:uid="{00000000-0005-0000-0000-0000BB150000}"/>
    <cellStyle name="Вычисление 2 4 2 2 3 2" xfId="1397" xr:uid="{00000000-0005-0000-0000-0000BC150000}"/>
    <cellStyle name="Вычисление 2 4 2 2 3 2 2" xfId="2509" xr:uid="{00000000-0005-0000-0000-0000BD150000}"/>
    <cellStyle name="Вычисление 2 4 2 2 3 2 2 2" xfId="6406" xr:uid="{00000000-0005-0000-0000-0000BE150000}"/>
    <cellStyle name="Вычисление 2 4 2 2 3 2 2 3" xfId="10415" xr:uid="{6902CF2F-BD1C-4AF1-AE31-62B5EC9DF582}"/>
    <cellStyle name="Вычисление 2 4 2 2 3 2 3" xfId="3802" xr:uid="{00000000-0005-0000-0000-0000BF150000}"/>
    <cellStyle name="Вычисление 2 4 2 2 3 2 3 2" xfId="7696" xr:uid="{00000000-0005-0000-0000-0000C0150000}"/>
    <cellStyle name="Вычисление 2 4 2 2 3 2 3 3" xfId="11705" xr:uid="{F3ABDDF4-CAAF-4E53-B1F7-C6580EB2384A}"/>
    <cellStyle name="Вычисление 2 4 2 2 3 2 4" xfId="5298" xr:uid="{00000000-0005-0000-0000-0000C1150000}"/>
    <cellStyle name="Вычисление 2 4 2 2 3 2 5" xfId="9307" xr:uid="{BEC9BBB0-E341-4C66-B063-F5FD4773B458}"/>
    <cellStyle name="Вычисление 2 4 2 2 3 2 6" xfId="13198" xr:uid="{6CC8C0ED-1E23-419E-BA87-2ABF53D876AB}"/>
    <cellStyle name="Вычисление 2 4 2 2 3 3" xfId="2508" xr:uid="{00000000-0005-0000-0000-0000C2150000}"/>
    <cellStyle name="Вычисление 2 4 2 2 3 3 2" xfId="6405" xr:uid="{00000000-0005-0000-0000-0000C3150000}"/>
    <cellStyle name="Вычисление 2 4 2 2 3 3 3" xfId="10414" xr:uid="{318EEFE6-578F-48EA-8489-96513A64F690}"/>
    <cellStyle name="Вычисление 2 4 2 2 3 4" xfId="3342" xr:uid="{00000000-0005-0000-0000-0000C4150000}"/>
    <cellStyle name="Вычисление 2 4 2 2 3 4 2" xfId="7236" xr:uid="{00000000-0005-0000-0000-0000C5150000}"/>
    <cellStyle name="Вычисление 2 4 2 2 3 4 3" xfId="11245" xr:uid="{45E740A5-0F57-428D-AA8E-668CE2B03CC1}"/>
    <cellStyle name="Вычисление 2 4 2 2 3 5" xfId="4520" xr:uid="{00000000-0005-0000-0000-0000C6150000}"/>
    <cellStyle name="Вычисление 2 4 2 2 3 6" xfId="8529" xr:uid="{6A81B1FA-9F3E-41D0-8E52-5FCDB77F364E}"/>
    <cellStyle name="Вычисление 2 4 2 2 3 7" xfId="12420" xr:uid="{72E39AAC-46FD-403A-BDF2-4158E91912E0}"/>
    <cellStyle name="Вычисление 2 4 2 2 4" xfId="1076" xr:uid="{00000000-0005-0000-0000-0000C7150000}"/>
    <cellStyle name="Вычисление 2 4 2 2 4 2" xfId="2510" xr:uid="{00000000-0005-0000-0000-0000C8150000}"/>
    <cellStyle name="Вычисление 2 4 2 2 4 2 2" xfId="6407" xr:uid="{00000000-0005-0000-0000-0000C9150000}"/>
    <cellStyle name="Вычисление 2 4 2 2 4 2 3" xfId="10416" xr:uid="{1024E738-255B-4FC7-AF82-393B72BA94D7}"/>
    <cellStyle name="Вычисление 2 4 2 2 4 3" xfId="3604" xr:uid="{00000000-0005-0000-0000-0000CA150000}"/>
    <cellStyle name="Вычисление 2 4 2 2 4 3 2" xfId="7498" xr:uid="{00000000-0005-0000-0000-0000CB150000}"/>
    <cellStyle name="Вычисление 2 4 2 2 4 3 3" xfId="11507" xr:uid="{314F18CD-F63B-44F3-B4F6-93595838D4B9}"/>
    <cellStyle name="Вычисление 2 4 2 2 4 4" xfId="4977" xr:uid="{00000000-0005-0000-0000-0000CC150000}"/>
    <cellStyle name="Вычисление 2 4 2 2 4 5" xfId="8986" xr:uid="{80D00942-A783-49E7-ABDB-824C0ADCEF6E}"/>
    <cellStyle name="Вычисление 2 4 2 2 4 6" xfId="12877" xr:uid="{6FBE8934-5CAE-4043-959C-A97270C7D875}"/>
    <cellStyle name="Вычисление 2 4 2 2 5" xfId="2503" xr:uid="{00000000-0005-0000-0000-0000CD150000}"/>
    <cellStyle name="Вычисление 2 4 2 2 5 2" xfId="6400" xr:uid="{00000000-0005-0000-0000-0000CE150000}"/>
    <cellStyle name="Вычисление 2 4 2 2 5 3" xfId="10409" xr:uid="{49170319-2076-473B-BEC5-0F03F862C9E5}"/>
    <cellStyle name="Вычисление 2 4 2 2 6" xfId="3021" xr:uid="{00000000-0005-0000-0000-0000CF150000}"/>
    <cellStyle name="Вычисление 2 4 2 2 6 2" xfId="6915" xr:uid="{00000000-0005-0000-0000-0000D0150000}"/>
    <cellStyle name="Вычисление 2 4 2 2 6 3" xfId="10924" xr:uid="{A8637FB4-09BB-4F39-878E-B9326543E991}"/>
    <cellStyle name="Вычисление 2 4 2 2 7" xfId="4199" xr:uid="{00000000-0005-0000-0000-0000D1150000}"/>
    <cellStyle name="Вычисление 2 4 2 2 8" xfId="8208" xr:uid="{2CF4955F-3F05-4ADE-B970-028E2C6F2147}"/>
    <cellStyle name="Вычисление 2 4 2 2 9" xfId="12099" xr:uid="{B407B060-7426-475D-B44E-E682A060914A}"/>
    <cellStyle name="Вычисление 2 4 2 3" xfId="215" xr:uid="{00000000-0005-0000-0000-0000D2150000}"/>
    <cellStyle name="Вычисление 2 4 2 3 10" xfId="13464" xr:uid="{7A28A2C9-D052-45B4-BB1F-6EEB24935266}"/>
    <cellStyle name="Вычисление 2 4 2 3 2" xfId="378" xr:uid="{00000000-0005-0000-0000-0000D3150000}"/>
    <cellStyle name="Вычисление 2 4 2 3 2 2" xfId="708" xr:uid="{00000000-0005-0000-0000-0000D4150000}"/>
    <cellStyle name="Вычисление 2 4 2 3 2 2 2" xfId="1489" xr:uid="{00000000-0005-0000-0000-0000D5150000}"/>
    <cellStyle name="Вычисление 2 4 2 3 2 2 2 2" xfId="2514" xr:uid="{00000000-0005-0000-0000-0000D6150000}"/>
    <cellStyle name="Вычисление 2 4 2 3 2 2 2 2 2" xfId="6411" xr:uid="{00000000-0005-0000-0000-0000D7150000}"/>
    <cellStyle name="Вычисление 2 4 2 3 2 2 2 2 3" xfId="10420" xr:uid="{A75AA30A-A5C6-43EF-AA3D-5501921E877A}"/>
    <cellStyle name="Вычисление 2 4 2 3 2 2 2 3" xfId="3861" xr:uid="{00000000-0005-0000-0000-0000D8150000}"/>
    <cellStyle name="Вычисление 2 4 2 3 2 2 2 3 2" xfId="7755" xr:uid="{00000000-0005-0000-0000-0000D9150000}"/>
    <cellStyle name="Вычисление 2 4 2 3 2 2 2 3 3" xfId="11764" xr:uid="{4FCA034F-5DE0-4C9E-ADC7-7AF3BEA0BFA3}"/>
    <cellStyle name="Вычисление 2 4 2 3 2 2 2 4" xfId="5390" xr:uid="{00000000-0005-0000-0000-0000DA150000}"/>
    <cellStyle name="Вычисление 2 4 2 3 2 2 2 5" xfId="9399" xr:uid="{A217CBF3-38C1-4D73-A3CB-5C060C190DBA}"/>
    <cellStyle name="Вычисление 2 4 2 3 2 2 2 6" xfId="13290" xr:uid="{28620F11-18B8-4EE0-B380-C1B09C3BFA94}"/>
    <cellStyle name="Вычисление 2 4 2 3 2 2 3" xfId="2513" xr:uid="{00000000-0005-0000-0000-0000DB150000}"/>
    <cellStyle name="Вычисление 2 4 2 3 2 2 3 2" xfId="6410" xr:uid="{00000000-0005-0000-0000-0000DC150000}"/>
    <cellStyle name="Вычисление 2 4 2 3 2 2 3 3" xfId="10419" xr:uid="{7ABC06F6-DE7F-45DA-A565-FBB9778B6BC2}"/>
    <cellStyle name="Вычисление 2 4 2 3 2 2 4" xfId="3434" xr:uid="{00000000-0005-0000-0000-0000DD150000}"/>
    <cellStyle name="Вычисление 2 4 2 3 2 2 4 2" xfId="7328" xr:uid="{00000000-0005-0000-0000-0000DE150000}"/>
    <cellStyle name="Вычисление 2 4 2 3 2 2 4 3" xfId="11337" xr:uid="{76137A8B-B8B3-4C2B-88A3-45873EF6F704}"/>
    <cellStyle name="Вычисление 2 4 2 3 2 2 5" xfId="4612" xr:uid="{00000000-0005-0000-0000-0000DF150000}"/>
    <cellStyle name="Вычисление 2 4 2 3 2 2 6" xfId="8621" xr:uid="{3B6D0DA4-91EE-482D-B058-6480E54E3509}"/>
    <cellStyle name="Вычисление 2 4 2 3 2 2 7" xfId="12512" xr:uid="{758AAF9E-DAE9-4579-8742-75689E28D035}"/>
    <cellStyle name="Вычисление 2 4 2 3 2 3" xfId="1168" xr:uid="{00000000-0005-0000-0000-0000E0150000}"/>
    <cellStyle name="Вычисление 2 4 2 3 2 3 2" xfId="2515" xr:uid="{00000000-0005-0000-0000-0000E1150000}"/>
    <cellStyle name="Вычисление 2 4 2 3 2 3 2 2" xfId="6412" xr:uid="{00000000-0005-0000-0000-0000E2150000}"/>
    <cellStyle name="Вычисление 2 4 2 3 2 3 2 3" xfId="10421" xr:uid="{36616090-6D91-42F2-B1C1-EDBF6B63BD8D}"/>
    <cellStyle name="Вычисление 2 4 2 3 2 3 3" xfId="3663" xr:uid="{00000000-0005-0000-0000-0000E3150000}"/>
    <cellStyle name="Вычисление 2 4 2 3 2 3 3 2" xfId="7557" xr:uid="{00000000-0005-0000-0000-0000E4150000}"/>
    <cellStyle name="Вычисление 2 4 2 3 2 3 3 3" xfId="11566" xr:uid="{34A47360-F99C-4286-BECE-84761BA3EFA6}"/>
    <cellStyle name="Вычисление 2 4 2 3 2 3 4" xfId="5069" xr:uid="{00000000-0005-0000-0000-0000E5150000}"/>
    <cellStyle name="Вычисление 2 4 2 3 2 3 5" xfId="9078" xr:uid="{BC3E5E30-190F-4C97-AC26-77076EA5DB68}"/>
    <cellStyle name="Вычисление 2 4 2 3 2 3 6" xfId="12969" xr:uid="{B019F823-0E00-46FE-B20D-C1DF7AD4D932}"/>
    <cellStyle name="Вычисление 2 4 2 3 2 4" xfId="2512" xr:uid="{00000000-0005-0000-0000-0000E6150000}"/>
    <cellStyle name="Вычисление 2 4 2 3 2 4 2" xfId="6409" xr:uid="{00000000-0005-0000-0000-0000E7150000}"/>
    <cellStyle name="Вычисление 2 4 2 3 2 4 3" xfId="10418" xr:uid="{2BA15892-39B7-47DA-BB8C-30AF46F9C416}"/>
    <cellStyle name="Вычисление 2 4 2 3 2 5" xfId="3113" xr:uid="{00000000-0005-0000-0000-0000E8150000}"/>
    <cellStyle name="Вычисление 2 4 2 3 2 5 2" xfId="7007" xr:uid="{00000000-0005-0000-0000-0000E9150000}"/>
    <cellStyle name="Вычисление 2 4 2 3 2 5 3" xfId="11016" xr:uid="{45140EF8-BE19-4690-9402-D50D2345F669}"/>
    <cellStyle name="Вычисление 2 4 2 3 2 6" xfId="4291" xr:uid="{00000000-0005-0000-0000-0000EA150000}"/>
    <cellStyle name="Вычисление 2 4 2 3 2 7" xfId="8300" xr:uid="{E283587A-A649-473C-A2F0-4F29C4FE24CC}"/>
    <cellStyle name="Вычисление 2 4 2 3 2 8" xfId="12191" xr:uid="{74E52EC8-6D4C-417A-90BF-DE3FB2EE947C}"/>
    <cellStyle name="Вычисление 2 4 2 3 3" xfId="545" xr:uid="{00000000-0005-0000-0000-0000EB150000}"/>
    <cellStyle name="Вычисление 2 4 2 3 3 2" xfId="1326" xr:uid="{00000000-0005-0000-0000-0000EC150000}"/>
    <cellStyle name="Вычисление 2 4 2 3 3 2 2" xfId="2517" xr:uid="{00000000-0005-0000-0000-0000ED150000}"/>
    <cellStyle name="Вычисление 2 4 2 3 3 2 2 2" xfId="6414" xr:uid="{00000000-0005-0000-0000-0000EE150000}"/>
    <cellStyle name="Вычисление 2 4 2 3 3 2 2 3" xfId="10423" xr:uid="{76E7D2DB-BC21-457F-982C-4BF59DF26BCD}"/>
    <cellStyle name="Вычисление 2 4 2 3 3 2 3" xfId="3762" xr:uid="{00000000-0005-0000-0000-0000EF150000}"/>
    <cellStyle name="Вычисление 2 4 2 3 3 2 3 2" xfId="7656" xr:uid="{00000000-0005-0000-0000-0000F0150000}"/>
    <cellStyle name="Вычисление 2 4 2 3 3 2 3 3" xfId="11665" xr:uid="{87169253-2E41-4534-9D50-21FCAFFD1EB3}"/>
    <cellStyle name="Вычисление 2 4 2 3 3 2 4" xfId="5227" xr:uid="{00000000-0005-0000-0000-0000F1150000}"/>
    <cellStyle name="Вычисление 2 4 2 3 3 2 5" xfId="9236" xr:uid="{5B832ECA-D5B7-4056-B634-D2AB084578DC}"/>
    <cellStyle name="Вычисление 2 4 2 3 3 2 6" xfId="13127" xr:uid="{F6BF7EFF-64F1-4060-9D91-91E4863D606E}"/>
    <cellStyle name="Вычисление 2 4 2 3 3 3" xfId="2516" xr:uid="{00000000-0005-0000-0000-0000F2150000}"/>
    <cellStyle name="Вычисление 2 4 2 3 3 3 2" xfId="6413" xr:uid="{00000000-0005-0000-0000-0000F3150000}"/>
    <cellStyle name="Вычисление 2 4 2 3 3 3 3" xfId="10422" xr:uid="{91192E86-2FAE-45A7-BA4B-CB04E4FD5E61}"/>
    <cellStyle name="Вычисление 2 4 2 3 3 4" xfId="3271" xr:uid="{00000000-0005-0000-0000-0000F4150000}"/>
    <cellStyle name="Вычисление 2 4 2 3 3 4 2" xfId="7165" xr:uid="{00000000-0005-0000-0000-0000F5150000}"/>
    <cellStyle name="Вычисление 2 4 2 3 3 4 3" xfId="11174" xr:uid="{540D94E1-FF6A-4A03-80D9-503A30149F7B}"/>
    <cellStyle name="Вычисление 2 4 2 3 3 5" xfId="4449" xr:uid="{00000000-0005-0000-0000-0000F6150000}"/>
    <cellStyle name="Вычисление 2 4 2 3 3 6" xfId="8458" xr:uid="{59E293DE-D8BE-407C-80DA-8A595C095D8A}"/>
    <cellStyle name="Вычисление 2 4 2 3 3 7" xfId="12349" xr:uid="{8A69D5B4-FFB5-4E6F-860A-A85A188AF703}"/>
    <cellStyle name="Вычисление 2 4 2 3 4" xfId="1005" xr:uid="{00000000-0005-0000-0000-0000F7150000}"/>
    <cellStyle name="Вычисление 2 4 2 3 4 2" xfId="2518" xr:uid="{00000000-0005-0000-0000-0000F8150000}"/>
    <cellStyle name="Вычисление 2 4 2 3 4 2 2" xfId="6415" xr:uid="{00000000-0005-0000-0000-0000F9150000}"/>
    <cellStyle name="Вычисление 2 4 2 3 4 2 3" xfId="10424" xr:uid="{7E21792B-1B0A-4241-8A21-6D45450FE6EB}"/>
    <cellStyle name="Вычисление 2 4 2 3 4 3" xfId="3564" xr:uid="{00000000-0005-0000-0000-0000FA150000}"/>
    <cellStyle name="Вычисление 2 4 2 3 4 3 2" xfId="7458" xr:uid="{00000000-0005-0000-0000-0000FB150000}"/>
    <cellStyle name="Вычисление 2 4 2 3 4 3 3" xfId="11467" xr:uid="{B56C9141-A14F-4F8D-A96F-B9D1C7D06C6A}"/>
    <cellStyle name="Вычисление 2 4 2 3 4 4" xfId="4906" xr:uid="{00000000-0005-0000-0000-0000FC150000}"/>
    <cellStyle name="Вычисление 2 4 2 3 4 5" xfId="8915" xr:uid="{A1C7096D-6D64-4EE0-B640-48C20006375D}"/>
    <cellStyle name="Вычисление 2 4 2 3 4 6" xfId="12806" xr:uid="{FD8646D4-A394-46CA-9865-84CA2046561F}"/>
    <cellStyle name="Вычисление 2 4 2 3 5" xfId="2511" xr:uid="{00000000-0005-0000-0000-0000FD150000}"/>
    <cellStyle name="Вычисление 2 4 2 3 5 2" xfId="6408" xr:uid="{00000000-0005-0000-0000-0000FE150000}"/>
    <cellStyle name="Вычисление 2 4 2 3 5 3" xfId="10417" xr:uid="{D5FEB2AB-0664-4089-8CF1-C789D5AFEBFB}"/>
    <cellStyle name="Вычисление 2 4 2 3 6" xfId="2950" xr:uid="{00000000-0005-0000-0000-0000FF150000}"/>
    <cellStyle name="Вычисление 2 4 2 3 6 2" xfId="6844" xr:uid="{00000000-0005-0000-0000-000000160000}"/>
    <cellStyle name="Вычисление 2 4 2 3 6 3" xfId="10853" xr:uid="{452746E5-B26D-4A37-B101-FBB1C0A9E7F4}"/>
    <cellStyle name="Вычисление 2 4 2 3 7" xfId="4128" xr:uid="{00000000-0005-0000-0000-000001160000}"/>
    <cellStyle name="Вычисление 2 4 2 3 8" xfId="8137" xr:uid="{3D2044E2-013B-4766-A8C0-6FC1261648DC}"/>
    <cellStyle name="Вычисление 2 4 2 3 9" xfId="12028" xr:uid="{67E21E6D-440E-43D7-9565-C03ACADF0121}"/>
    <cellStyle name="Вычисление 2 4 2 4" xfId="353" xr:uid="{00000000-0005-0000-0000-000002160000}"/>
    <cellStyle name="Вычисление 2 4 2 4 2" xfId="683" xr:uid="{00000000-0005-0000-0000-000003160000}"/>
    <cellStyle name="Вычисление 2 4 2 4 2 2" xfId="1464" xr:uid="{00000000-0005-0000-0000-000004160000}"/>
    <cellStyle name="Вычисление 2 4 2 4 2 2 2" xfId="2521" xr:uid="{00000000-0005-0000-0000-000005160000}"/>
    <cellStyle name="Вычисление 2 4 2 4 2 2 2 2" xfId="6418" xr:uid="{00000000-0005-0000-0000-000006160000}"/>
    <cellStyle name="Вычисление 2 4 2 4 2 2 2 3" xfId="10427" xr:uid="{BFCB8A9A-6017-40EB-8B09-E4C0D6439EEB}"/>
    <cellStyle name="Вычисление 2 4 2 4 2 2 3" xfId="3842" xr:uid="{00000000-0005-0000-0000-000007160000}"/>
    <cellStyle name="Вычисление 2 4 2 4 2 2 3 2" xfId="7736" xr:uid="{00000000-0005-0000-0000-000008160000}"/>
    <cellStyle name="Вычисление 2 4 2 4 2 2 3 3" xfId="11745" xr:uid="{05D59BB3-2E3F-48CD-A913-DB3A9A20268D}"/>
    <cellStyle name="Вычисление 2 4 2 4 2 2 4" xfId="5365" xr:uid="{00000000-0005-0000-0000-000009160000}"/>
    <cellStyle name="Вычисление 2 4 2 4 2 2 5" xfId="9374" xr:uid="{3B12D1EB-DA05-4826-82B6-B63839043354}"/>
    <cellStyle name="Вычисление 2 4 2 4 2 2 6" xfId="13265" xr:uid="{803E4EDB-F523-477C-BAE5-E6A052CAA16F}"/>
    <cellStyle name="Вычисление 2 4 2 4 2 3" xfId="2520" xr:uid="{00000000-0005-0000-0000-00000A160000}"/>
    <cellStyle name="Вычисление 2 4 2 4 2 3 2" xfId="6417" xr:uid="{00000000-0005-0000-0000-00000B160000}"/>
    <cellStyle name="Вычисление 2 4 2 4 2 3 3" xfId="10426" xr:uid="{57724EE6-151B-4686-BA4D-05C895D93D64}"/>
    <cellStyle name="Вычисление 2 4 2 4 2 4" xfId="3409" xr:uid="{00000000-0005-0000-0000-00000C160000}"/>
    <cellStyle name="Вычисление 2 4 2 4 2 4 2" xfId="7303" xr:uid="{00000000-0005-0000-0000-00000D160000}"/>
    <cellStyle name="Вычисление 2 4 2 4 2 4 3" xfId="11312" xr:uid="{1E144A50-4402-47E3-B6DF-560DA1FADF5C}"/>
    <cellStyle name="Вычисление 2 4 2 4 2 5" xfId="4587" xr:uid="{00000000-0005-0000-0000-00000E160000}"/>
    <cellStyle name="Вычисление 2 4 2 4 2 6" xfId="8596" xr:uid="{250513F1-B9C8-4BAC-97A0-415E7BBFB76A}"/>
    <cellStyle name="Вычисление 2 4 2 4 2 7" xfId="12487" xr:uid="{912A307A-29C1-442C-8AE0-AE4057E6B98C}"/>
    <cellStyle name="Вычисление 2 4 2 4 3" xfId="1143" xr:uid="{00000000-0005-0000-0000-00000F160000}"/>
    <cellStyle name="Вычисление 2 4 2 4 3 2" xfId="2522" xr:uid="{00000000-0005-0000-0000-000010160000}"/>
    <cellStyle name="Вычисление 2 4 2 4 3 2 2" xfId="6419" xr:uid="{00000000-0005-0000-0000-000011160000}"/>
    <cellStyle name="Вычисление 2 4 2 4 3 2 3" xfId="10428" xr:uid="{B5AA16E5-BA59-437B-B3AF-A0008E194A03}"/>
    <cellStyle name="Вычисление 2 4 2 4 3 3" xfId="3644" xr:uid="{00000000-0005-0000-0000-000012160000}"/>
    <cellStyle name="Вычисление 2 4 2 4 3 3 2" xfId="7538" xr:uid="{00000000-0005-0000-0000-000013160000}"/>
    <cellStyle name="Вычисление 2 4 2 4 3 3 3" xfId="11547" xr:uid="{38970088-6931-4225-8BD9-CE255B4A1A04}"/>
    <cellStyle name="Вычисление 2 4 2 4 3 4" xfId="5044" xr:uid="{00000000-0005-0000-0000-000014160000}"/>
    <cellStyle name="Вычисление 2 4 2 4 3 5" xfId="9053" xr:uid="{925F6BF2-58A4-4163-B2BC-3D0A938E3DF3}"/>
    <cellStyle name="Вычисление 2 4 2 4 3 6" xfId="12944" xr:uid="{4355763D-8019-4640-827C-8FCCFEBC0EEF}"/>
    <cellStyle name="Вычисление 2 4 2 4 4" xfId="2519" xr:uid="{00000000-0005-0000-0000-000015160000}"/>
    <cellStyle name="Вычисление 2 4 2 4 4 2" xfId="6416" xr:uid="{00000000-0005-0000-0000-000016160000}"/>
    <cellStyle name="Вычисление 2 4 2 4 4 3" xfId="10425" xr:uid="{CA21BDF2-E7C1-4C74-8B5B-24FAC721E574}"/>
    <cellStyle name="Вычисление 2 4 2 4 5" xfId="3088" xr:uid="{00000000-0005-0000-0000-000017160000}"/>
    <cellStyle name="Вычисление 2 4 2 4 5 2" xfId="6982" xr:uid="{00000000-0005-0000-0000-000018160000}"/>
    <cellStyle name="Вычисление 2 4 2 4 5 3" xfId="10991" xr:uid="{0969ED68-6560-42E8-B249-9EE5847FB450}"/>
    <cellStyle name="Вычисление 2 4 2 4 6" xfId="4266" xr:uid="{00000000-0005-0000-0000-000019160000}"/>
    <cellStyle name="Вычисление 2 4 2 4 7" xfId="8275" xr:uid="{3089CF03-F745-4BF1-9321-2B2340F49D75}"/>
    <cellStyle name="Вычисление 2 4 2 4 8" xfId="12166" xr:uid="{297EE2B1-3D4A-4EC1-BB30-30AB6DA7EB4A}"/>
    <cellStyle name="Вычисление 2 4 2 5" xfId="518" xr:uid="{00000000-0005-0000-0000-00001A160000}"/>
    <cellStyle name="Вычисление 2 4 2 5 2" xfId="1299" xr:uid="{00000000-0005-0000-0000-00001B160000}"/>
    <cellStyle name="Вычисление 2 4 2 5 2 2" xfId="2524" xr:uid="{00000000-0005-0000-0000-00001C160000}"/>
    <cellStyle name="Вычисление 2 4 2 5 2 2 2" xfId="6421" xr:uid="{00000000-0005-0000-0000-00001D160000}"/>
    <cellStyle name="Вычисление 2 4 2 5 2 2 3" xfId="10430" xr:uid="{DAF0DCEC-9265-4B96-ABB5-E059B2AD7E96}"/>
    <cellStyle name="Вычисление 2 4 2 5 2 3" xfId="3743" xr:uid="{00000000-0005-0000-0000-00001E160000}"/>
    <cellStyle name="Вычисление 2 4 2 5 2 3 2" xfId="7637" xr:uid="{00000000-0005-0000-0000-00001F160000}"/>
    <cellStyle name="Вычисление 2 4 2 5 2 3 3" xfId="11646" xr:uid="{EF838FE0-5224-488E-BB7D-4F2DE9AE11D8}"/>
    <cellStyle name="Вычисление 2 4 2 5 2 4" xfId="5200" xr:uid="{00000000-0005-0000-0000-000020160000}"/>
    <cellStyle name="Вычисление 2 4 2 5 2 5" xfId="9209" xr:uid="{341C1919-2FA6-4079-ACA8-A1E9E7FA1C7C}"/>
    <cellStyle name="Вычисление 2 4 2 5 2 6" xfId="13100" xr:uid="{81175A52-EB87-4BC2-A409-63968AA5370F}"/>
    <cellStyle name="Вычисление 2 4 2 5 3" xfId="2523" xr:uid="{00000000-0005-0000-0000-000021160000}"/>
    <cellStyle name="Вычисление 2 4 2 5 3 2" xfId="6420" xr:uid="{00000000-0005-0000-0000-000022160000}"/>
    <cellStyle name="Вычисление 2 4 2 5 3 3" xfId="10429" xr:uid="{279D3965-E043-4528-9273-35489BDAB190}"/>
    <cellStyle name="Вычисление 2 4 2 5 4" xfId="3244" xr:uid="{00000000-0005-0000-0000-000023160000}"/>
    <cellStyle name="Вычисление 2 4 2 5 4 2" xfId="7138" xr:uid="{00000000-0005-0000-0000-000024160000}"/>
    <cellStyle name="Вычисление 2 4 2 5 4 3" xfId="11147" xr:uid="{8DD6042B-CCA7-4DB7-9C51-AD0E1F05B237}"/>
    <cellStyle name="Вычисление 2 4 2 5 5" xfId="4422" xr:uid="{00000000-0005-0000-0000-000025160000}"/>
    <cellStyle name="Вычисление 2 4 2 5 6" xfId="8431" xr:uid="{DA2156A3-8350-415F-AC56-C2CFFB43D720}"/>
    <cellStyle name="Вычисление 2 4 2 5 7" xfId="12322" xr:uid="{4DF81131-9CF9-4E45-A943-A2F7C6FAC7DF}"/>
    <cellStyle name="Вычисление 2 4 2 6" xfId="978" xr:uid="{00000000-0005-0000-0000-000026160000}"/>
    <cellStyle name="Вычисление 2 4 2 6 2" xfId="2525" xr:uid="{00000000-0005-0000-0000-000027160000}"/>
    <cellStyle name="Вычисление 2 4 2 6 2 2" xfId="6422" xr:uid="{00000000-0005-0000-0000-000028160000}"/>
    <cellStyle name="Вычисление 2 4 2 6 2 3" xfId="10431" xr:uid="{96504F3D-979E-4C49-8CAC-430ED2E58908}"/>
    <cellStyle name="Вычисление 2 4 2 6 3" xfId="3545" xr:uid="{00000000-0005-0000-0000-000029160000}"/>
    <cellStyle name="Вычисление 2 4 2 6 3 2" xfId="7439" xr:uid="{00000000-0005-0000-0000-00002A160000}"/>
    <cellStyle name="Вычисление 2 4 2 6 3 3" xfId="11448" xr:uid="{4F27FA1B-7F6B-4809-A9D5-F5836AE049C0}"/>
    <cellStyle name="Вычисление 2 4 2 6 4" xfId="4879" xr:uid="{00000000-0005-0000-0000-00002B160000}"/>
    <cellStyle name="Вычисление 2 4 2 6 5" xfId="8888" xr:uid="{56F9DD2A-ED71-4997-B027-39FCAF79FF37}"/>
    <cellStyle name="Вычисление 2 4 2 6 6" xfId="12779" xr:uid="{0F539F8E-6353-4AF8-AEA2-7580434CD220}"/>
    <cellStyle name="Вычисление 2 4 2 7" xfId="2502" xr:uid="{00000000-0005-0000-0000-00002C160000}"/>
    <cellStyle name="Вычисление 2 4 2 7 2" xfId="6399" xr:uid="{00000000-0005-0000-0000-00002D160000}"/>
    <cellStyle name="Вычисление 2 4 2 7 3" xfId="10408" xr:uid="{05BEB6D2-5F47-413A-B608-DF790995A33F}"/>
    <cellStyle name="Вычисление 2 4 2 8" xfId="2923" xr:uid="{00000000-0005-0000-0000-00002E160000}"/>
    <cellStyle name="Вычисление 2 4 2 8 2" xfId="6817" xr:uid="{00000000-0005-0000-0000-00002F160000}"/>
    <cellStyle name="Вычисление 2 4 2 8 3" xfId="10826" xr:uid="{AA7676F4-F41B-4C93-8537-3C60027E3B41}"/>
    <cellStyle name="Вычисление 2 4 2 9" xfId="4101" xr:uid="{00000000-0005-0000-0000-000030160000}"/>
    <cellStyle name="Вычисление 2 4 3" xfId="253" xr:uid="{00000000-0005-0000-0000-000031160000}"/>
    <cellStyle name="Вычисление 2 4 3 10" xfId="13502" xr:uid="{5A0E5DFB-8739-4D68-B44E-100740D672FE}"/>
    <cellStyle name="Вычисление 2 4 3 2" xfId="410" xr:uid="{00000000-0005-0000-0000-000032160000}"/>
    <cellStyle name="Вычисление 2 4 3 2 2" xfId="740" xr:uid="{00000000-0005-0000-0000-000033160000}"/>
    <cellStyle name="Вычисление 2 4 3 2 2 2" xfId="1521" xr:uid="{00000000-0005-0000-0000-000034160000}"/>
    <cellStyle name="Вычисление 2 4 3 2 2 2 2" xfId="2529" xr:uid="{00000000-0005-0000-0000-000035160000}"/>
    <cellStyle name="Вычисление 2 4 3 2 2 2 2 2" xfId="6426" xr:uid="{00000000-0005-0000-0000-000036160000}"/>
    <cellStyle name="Вычисление 2 4 3 2 2 2 2 3" xfId="10435" xr:uid="{90D5AF25-2D62-4441-8EB9-8954C5DECDD7}"/>
    <cellStyle name="Вычисление 2 4 3 2 2 2 3" xfId="3880" xr:uid="{00000000-0005-0000-0000-000037160000}"/>
    <cellStyle name="Вычисление 2 4 3 2 2 2 3 2" xfId="7774" xr:uid="{00000000-0005-0000-0000-000038160000}"/>
    <cellStyle name="Вычисление 2 4 3 2 2 2 3 3" xfId="11783" xr:uid="{139E8BED-2261-4570-AA57-68E593B070AB}"/>
    <cellStyle name="Вычисление 2 4 3 2 2 2 4" xfId="5422" xr:uid="{00000000-0005-0000-0000-000039160000}"/>
    <cellStyle name="Вычисление 2 4 3 2 2 2 5" xfId="9431" xr:uid="{5522F0FF-0C6B-485B-8674-458C1B34651C}"/>
    <cellStyle name="Вычисление 2 4 3 2 2 2 6" xfId="13322" xr:uid="{32E93C18-E2B4-4E54-A092-E43B124764AE}"/>
    <cellStyle name="Вычисление 2 4 3 2 2 3" xfId="2528" xr:uid="{00000000-0005-0000-0000-00003A160000}"/>
    <cellStyle name="Вычисление 2 4 3 2 2 3 2" xfId="6425" xr:uid="{00000000-0005-0000-0000-00003B160000}"/>
    <cellStyle name="Вычисление 2 4 3 2 2 3 3" xfId="10434" xr:uid="{5CBD4997-3011-4EE4-85E9-6EF717B60B83}"/>
    <cellStyle name="Вычисление 2 4 3 2 2 4" xfId="3466" xr:uid="{00000000-0005-0000-0000-00003C160000}"/>
    <cellStyle name="Вычисление 2 4 3 2 2 4 2" xfId="7360" xr:uid="{00000000-0005-0000-0000-00003D160000}"/>
    <cellStyle name="Вычисление 2 4 3 2 2 4 3" xfId="11369" xr:uid="{821830D5-DED5-4D23-8361-288CEF458D8F}"/>
    <cellStyle name="Вычисление 2 4 3 2 2 5" xfId="4644" xr:uid="{00000000-0005-0000-0000-00003E160000}"/>
    <cellStyle name="Вычисление 2 4 3 2 2 6" xfId="8653" xr:uid="{B19F41F8-BC4D-4FF6-983E-93B26A5065D9}"/>
    <cellStyle name="Вычисление 2 4 3 2 2 7" xfId="12544" xr:uid="{0895F71F-9F11-4622-B83B-48A462189F95}"/>
    <cellStyle name="Вычисление 2 4 3 2 3" xfId="1200" xr:uid="{00000000-0005-0000-0000-00003F160000}"/>
    <cellStyle name="Вычисление 2 4 3 2 3 2" xfId="2530" xr:uid="{00000000-0005-0000-0000-000040160000}"/>
    <cellStyle name="Вычисление 2 4 3 2 3 2 2" xfId="6427" xr:uid="{00000000-0005-0000-0000-000041160000}"/>
    <cellStyle name="Вычисление 2 4 3 2 3 2 3" xfId="10436" xr:uid="{0522D3C8-99F0-4026-83DB-5F45EBC8E1B1}"/>
    <cellStyle name="Вычисление 2 4 3 2 3 3" xfId="3682" xr:uid="{00000000-0005-0000-0000-000042160000}"/>
    <cellStyle name="Вычисление 2 4 3 2 3 3 2" xfId="7576" xr:uid="{00000000-0005-0000-0000-000043160000}"/>
    <cellStyle name="Вычисление 2 4 3 2 3 3 3" xfId="11585" xr:uid="{48FE1106-D973-4E1B-A52D-6C1D38237C22}"/>
    <cellStyle name="Вычисление 2 4 3 2 3 4" xfId="5101" xr:uid="{00000000-0005-0000-0000-000044160000}"/>
    <cellStyle name="Вычисление 2 4 3 2 3 5" xfId="9110" xr:uid="{069B6D20-DCB7-43EF-9BFA-3EE41AB71387}"/>
    <cellStyle name="Вычисление 2 4 3 2 3 6" xfId="13001" xr:uid="{399FBB23-06B8-4383-B0EA-511B72AA468A}"/>
    <cellStyle name="Вычисление 2 4 3 2 4" xfId="2527" xr:uid="{00000000-0005-0000-0000-000045160000}"/>
    <cellStyle name="Вычисление 2 4 3 2 4 2" xfId="6424" xr:uid="{00000000-0005-0000-0000-000046160000}"/>
    <cellStyle name="Вычисление 2 4 3 2 4 3" xfId="10433" xr:uid="{15D448FA-60C9-43DC-B696-246AD61048AA}"/>
    <cellStyle name="Вычисление 2 4 3 2 5" xfId="3145" xr:uid="{00000000-0005-0000-0000-000047160000}"/>
    <cellStyle name="Вычисление 2 4 3 2 5 2" xfId="7039" xr:uid="{00000000-0005-0000-0000-000048160000}"/>
    <cellStyle name="Вычисление 2 4 3 2 5 3" xfId="11048" xr:uid="{2691F34D-4FFA-41B8-9241-B4BB43FB6B10}"/>
    <cellStyle name="Вычисление 2 4 3 2 6" xfId="4323" xr:uid="{00000000-0005-0000-0000-000049160000}"/>
    <cellStyle name="Вычисление 2 4 3 2 7" xfId="8332" xr:uid="{66AE9FC6-3A4B-4E27-B9D5-69AD36F311AD}"/>
    <cellStyle name="Вычисление 2 4 3 2 8" xfId="12223" xr:uid="{CF1AE466-59CC-4B94-85D4-FE04B8BBB6C7}"/>
    <cellStyle name="Вычисление 2 4 3 3" xfId="583" xr:uid="{00000000-0005-0000-0000-00004A160000}"/>
    <cellStyle name="Вычисление 2 4 3 3 2" xfId="1364" xr:uid="{00000000-0005-0000-0000-00004B160000}"/>
    <cellStyle name="Вычисление 2 4 3 3 2 2" xfId="2532" xr:uid="{00000000-0005-0000-0000-00004C160000}"/>
    <cellStyle name="Вычисление 2 4 3 3 2 2 2" xfId="6429" xr:uid="{00000000-0005-0000-0000-00004D160000}"/>
    <cellStyle name="Вычисление 2 4 3 3 2 2 3" xfId="10438" xr:uid="{8B91A6F2-8FC9-431A-8946-912E680771C4}"/>
    <cellStyle name="Вычисление 2 4 3 3 2 3" xfId="3781" xr:uid="{00000000-0005-0000-0000-00004E160000}"/>
    <cellStyle name="Вычисление 2 4 3 3 2 3 2" xfId="7675" xr:uid="{00000000-0005-0000-0000-00004F160000}"/>
    <cellStyle name="Вычисление 2 4 3 3 2 3 3" xfId="11684" xr:uid="{F05792BB-0689-43E2-8532-F395D7311ADB}"/>
    <cellStyle name="Вычисление 2 4 3 3 2 4" xfId="5265" xr:uid="{00000000-0005-0000-0000-000050160000}"/>
    <cellStyle name="Вычисление 2 4 3 3 2 5" xfId="9274" xr:uid="{F00C53C8-9822-4D55-A99D-45CB93136CAB}"/>
    <cellStyle name="Вычисление 2 4 3 3 2 6" xfId="13165" xr:uid="{D553BF45-BA82-4F78-95BC-163EF1D0A34E}"/>
    <cellStyle name="Вычисление 2 4 3 3 3" xfId="2531" xr:uid="{00000000-0005-0000-0000-000051160000}"/>
    <cellStyle name="Вычисление 2 4 3 3 3 2" xfId="6428" xr:uid="{00000000-0005-0000-0000-000052160000}"/>
    <cellStyle name="Вычисление 2 4 3 3 3 3" xfId="10437" xr:uid="{51F4891D-9FBF-45D8-8D03-DC12E7801CBB}"/>
    <cellStyle name="Вычисление 2 4 3 3 4" xfId="3309" xr:uid="{00000000-0005-0000-0000-000053160000}"/>
    <cellStyle name="Вычисление 2 4 3 3 4 2" xfId="7203" xr:uid="{00000000-0005-0000-0000-000054160000}"/>
    <cellStyle name="Вычисление 2 4 3 3 4 3" xfId="11212" xr:uid="{18D61536-247F-43B1-8463-6E1E50E3C1F8}"/>
    <cellStyle name="Вычисление 2 4 3 3 5" xfId="4487" xr:uid="{00000000-0005-0000-0000-000055160000}"/>
    <cellStyle name="Вычисление 2 4 3 3 6" xfId="8496" xr:uid="{306CD55E-3221-476C-964E-4913C93C681B}"/>
    <cellStyle name="Вычисление 2 4 3 3 7" xfId="12387" xr:uid="{8AEFC163-D5CB-4111-BD1D-56946112609A}"/>
    <cellStyle name="Вычисление 2 4 3 4" xfId="1043" xr:uid="{00000000-0005-0000-0000-000056160000}"/>
    <cellStyle name="Вычисление 2 4 3 4 2" xfId="2533" xr:uid="{00000000-0005-0000-0000-000057160000}"/>
    <cellStyle name="Вычисление 2 4 3 4 2 2" xfId="6430" xr:uid="{00000000-0005-0000-0000-000058160000}"/>
    <cellStyle name="Вычисление 2 4 3 4 2 3" xfId="10439" xr:uid="{A5FB3C0B-496F-4314-9E5C-12CEDB69CFFE}"/>
    <cellStyle name="Вычисление 2 4 3 4 3" xfId="3583" xr:uid="{00000000-0005-0000-0000-000059160000}"/>
    <cellStyle name="Вычисление 2 4 3 4 3 2" xfId="7477" xr:uid="{00000000-0005-0000-0000-00005A160000}"/>
    <cellStyle name="Вычисление 2 4 3 4 3 3" xfId="11486" xr:uid="{0EE8CEEE-3481-4D35-B00C-47D921B277B9}"/>
    <cellStyle name="Вычисление 2 4 3 4 4" xfId="4944" xr:uid="{00000000-0005-0000-0000-00005B160000}"/>
    <cellStyle name="Вычисление 2 4 3 4 5" xfId="8953" xr:uid="{599AF07C-BFA7-41B3-B126-D83562FC6A38}"/>
    <cellStyle name="Вычисление 2 4 3 4 6" xfId="12844" xr:uid="{8E373656-CF80-42E4-89F4-BD5B30486C6B}"/>
    <cellStyle name="Вычисление 2 4 3 5" xfId="2526" xr:uid="{00000000-0005-0000-0000-00005C160000}"/>
    <cellStyle name="Вычисление 2 4 3 5 2" xfId="6423" xr:uid="{00000000-0005-0000-0000-00005D160000}"/>
    <cellStyle name="Вычисление 2 4 3 5 3" xfId="10432" xr:uid="{12ABACA7-2CBA-4692-A884-43AD98C599EF}"/>
    <cellStyle name="Вычисление 2 4 3 6" xfId="2988" xr:uid="{00000000-0005-0000-0000-00005E160000}"/>
    <cellStyle name="Вычисление 2 4 3 6 2" xfId="6882" xr:uid="{00000000-0005-0000-0000-00005F160000}"/>
    <cellStyle name="Вычисление 2 4 3 6 3" xfId="10891" xr:uid="{13D4CE1C-BE27-4B59-9C40-6C1F91B4BACF}"/>
    <cellStyle name="Вычисление 2 4 3 7" xfId="4166" xr:uid="{00000000-0005-0000-0000-000060160000}"/>
    <cellStyle name="Вычисление 2 4 3 8" xfId="8175" xr:uid="{40FCB440-6D52-4B4E-86A2-4228F0363E2A}"/>
    <cellStyle name="Вычисление 2 4 3 9" xfId="12066" xr:uid="{3ED27F0B-C6F2-426E-ADBB-06703D66E2FD}"/>
    <cellStyle name="Вычисление 2 4 4" xfId="218" xr:uid="{00000000-0005-0000-0000-000061160000}"/>
    <cellStyle name="Вычисление 2 4 4 10" xfId="13467" xr:uid="{7878AAE6-FF5E-4A12-BB42-F34ECFB8094D}"/>
    <cellStyle name="Вычисление 2 4 4 2" xfId="380" xr:uid="{00000000-0005-0000-0000-000062160000}"/>
    <cellStyle name="Вычисление 2 4 4 2 2" xfId="710" xr:uid="{00000000-0005-0000-0000-000063160000}"/>
    <cellStyle name="Вычисление 2 4 4 2 2 2" xfId="1491" xr:uid="{00000000-0005-0000-0000-000064160000}"/>
    <cellStyle name="Вычисление 2 4 4 2 2 2 2" xfId="2537" xr:uid="{00000000-0005-0000-0000-000065160000}"/>
    <cellStyle name="Вычисление 2 4 4 2 2 2 2 2" xfId="6434" xr:uid="{00000000-0005-0000-0000-000066160000}"/>
    <cellStyle name="Вычисление 2 4 4 2 2 2 2 3" xfId="10443" xr:uid="{DFAF99B1-BED2-46C4-B4F6-05AA001E523B}"/>
    <cellStyle name="Вычисление 2 4 4 2 2 2 3" xfId="3863" xr:uid="{00000000-0005-0000-0000-000067160000}"/>
    <cellStyle name="Вычисление 2 4 4 2 2 2 3 2" xfId="7757" xr:uid="{00000000-0005-0000-0000-000068160000}"/>
    <cellStyle name="Вычисление 2 4 4 2 2 2 3 3" xfId="11766" xr:uid="{04626AFC-D1E8-4E48-9B04-39FBC697656B}"/>
    <cellStyle name="Вычисление 2 4 4 2 2 2 4" xfId="5392" xr:uid="{00000000-0005-0000-0000-000069160000}"/>
    <cellStyle name="Вычисление 2 4 4 2 2 2 5" xfId="9401" xr:uid="{88F54F25-9A1D-4E41-81A2-FBF2C126AB6C}"/>
    <cellStyle name="Вычисление 2 4 4 2 2 2 6" xfId="13292" xr:uid="{556916DA-3C69-45C3-A5C0-DAA197937EDA}"/>
    <cellStyle name="Вычисление 2 4 4 2 2 3" xfId="2536" xr:uid="{00000000-0005-0000-0000-00006A160000}"/>
    <cellStyle name="Вычисление 2 4 4 2 2 3 2" xfId="6433" xr:uid="{00000000-0005-0000-0000-00006B160000}"/>
    <cellStyle name="Вычисление 2 4 4 2 2 3 3" xfId="10442" xr:uid="{EAD0C1F4-A179-4A2A-959C-3BB71E2EA1E9}"/>
    <cellStyle name="Вычисление 2 4 4 2 2 4" xfId="3436" xr:uid="{00000000-0005-0000-0000-00006C160000}"/>
    <cellStyle name="Вычисление 2 4 4 2 2 4 2" xfId="7330" xr:uid="{00000000-0005-0000-0000-00006D160000}"/>
    <cellStyle name="Вычисление 2 4 4 2 2 4 3" xfId="11339" xr:uid="{63789E1B-38E8-4DFD-8218-3897F3D355DE}"/>
    <cellStyle name="Вычисление 2 4 4 2 2 5" xfId="4614" xr:uid="{00000000-0005-0000-0000-00006E160000}"/>
    <cellStyle name="Вычисление 2 4 4 2 2 6" xfId="8623" xr:uid="{791CE3A8-8221-489C-9D53-17E3523A0E2C}"/>
    <cellStyle name="Вычисление 2 4 4 2 2 7" xfId="12514" xr:uid="{B3B2A2ED-6CD9-461E-8D78-915CDFD0F111}"/>
    <cellStyle name="Вычисление 2 4 4 2 3" xfId="1170" xr:uid="{00000000-0005-0000-0000-00006F160000}"/>
    <cellStyle name="Вычисление 2 4 4 2 3 2" xfId="2538" xr:uid="{00000000-0005-0000-0000-000070160000}"/>
    <cellStyle name="Вычисление 2 4 4 2 3 2 2" xfId="6435" xr:uid="{00000000-0005-0000-0000-000071160000}"/>
    <cellStyle name="Вычисление 2 4 4 2 3 2 3" xfId="10444" xr:uid="{8CFCAAAA-32EE-4EC7-9C12-9B41B8426A7B}"/>
    <cellStyle name="Вычисление 2 4 4 2 3 3" xfId="3665" xr:uid="{00000000-0005-0000-0000-000072160000}"/>
    <cellStyle name="Вычисление 2 4 4 2 3 3 2" xfId="7559" xr:uid="{00000000-0005-0000-0000-000073160000}"/>
    <cellStyle name="Вычисление 2 4 4 2 3 3 3" xfId="11568" xr:uid="{028CA428-481A-419A-BD84-4D6DD6505744}"/>
    <cellStyle name="Вычисление 2 4 4 2 3 4" xfId="5071" xr:uid="{00000000-0005-0000-0000-000074160000}"/>
    <cellStyle name="Вычисление 2 4 4 2 3 5" xfId="9080" xr:uid="{A8EF348A-FF2F-488C-9DB2-C3EC5317286A}"/>
    <cellStyle name="Вычисление 2 4 4 2 3 6" xfId="12971" xr:uid="{489A78A8-9A84-43D5-BEAE-79210095C80C}"/>
    <cellStyle name="Вычисление 2 4 4 2 4" xfId="2535" xr:uid="{00000000-0005-0000-0000-000075160000}"/>
    <cellStyle name="Вычисление 2 4 4 2 4 2" xfId="6432" xr:uid="{00000000-0005-0000-0000-000076160000}"/>
    <cellStyle name="Вычисление 2 4 4 2 4 3" xfId="10441" xr:uid="{E776BC43-1811-4F67-9A8C-D53C7C4748A5}"/>
    <cellStyle name="Вычисление 2 4 4 2 5" xfId="3115" xr:uid="{00000000-0005-0000-0000-000077160000}"/>
    <cellStyle name="Вычисление 2 4 4 2 5 2" xfId="7009" xr:uid="{00000000-0005-0000-0000-000078160000}"/>
    <cellStyle name="Вычисление 2 4 4 2 5 3" xfId="11018" xr:uid="{FD076239-0BBB-4624-B251-8C5E73B12B96}"/>
    <cellStyle name="Вычисление 2 4 4 2 6" xfId="4293" xr:uid="{00000000-0005-0000-0000-000079160000}"/>
    <cellStyle name="Вычисление 2 4 4 2 7" xfId="8302" xr:uid="{843B695A-E07D-4F6D-B26E-2AED3DFB55D2}"/>
    <cellStyle name="Вычисление 2 4 4 2 8" xfId="12193" xr:uid="{5F23C698-6BC3-4F6C-8807-7F7068CB7B91}"/>
    <cellStyle name="Вычисление 2 4 4 3" xfId="548" xr:uid="{00000000-0005-0000-0000-00007A160000}"/>
    <cellStyle name="Вычисление 2 4 4 3 2" xfId="1329" xr:uid="{00000000-0005-0000-0000-00007B160000}"/>
    <cellStyle name="Вычисление 2 4 4 3 2 2" xfId="2540" xr:uid="{00000000-0005-0000-0000-00007C160000}"/>
    <cellStyle name="Вычисление 2 4 4 3 2 2 2" xfId="6437" xr:uid="{00000000-0005-0000-0000-00007D160000}"/>
    <cellStyle name="Вычисление 2 4 4 3 2 2 3" xfId="10446" xr:uid="{D6DC8B40-3A83-45DC-A5FE-7245A22E4766}"/>
    <cellStyle name="Вычисление 2 4 4 3 2 3" xfId="3764" xr:uid="{00000000-0005-0000-0000-00007E160000}"/>
    <cellStyle name="Вычисление 2 4 4 3 2 3 2" xfId="7658" xr:uid="{00000000-0005-0000-0000-00007F160000}"/>
    <cellStyle name="Вычисление 2 4 4 3 2 3 3" xfId="11667" xr:uid="{1420E2C7-E174-4BC4-8B35-197A56A353E1}"/>
    <cellStyle name="Вычисление 2 4 4 3 2 4" xfId="5230" xr:uid="{00000000-0005-0000-0000-000080160000}"/>
    <cellStyle name="Вычисление 2 4 4 3 2 5" xfId="9239" xr:uid="{D855DB01-79D8-4670-8F05-EEE26DB1214C}"/>
    <cellStyle name="Вычисление 2 4 4 3 2 6" xfId="13130" xr:uid="{58E4CCF4-70D3-43C5-BE82-5BBCF56086B9}"/>
    <cellStyle name="Вычисление 2 4 4 3 3" xfId="2539" xr:uid="{00000000-0005-0000-0000-000081160000}"/>
    <cellStyle name="Вычисление 2 4 4 3 3 2" xfId="6436" xr:uid="{00000000-0005-0000-0000-000082160000}"/>
    <cellStyle name="Вычисление 2 4 4 3 3 3" xfId="10445" xr:uid="{93986626-8467-4C26-91E9-ECD013617382}"/>
    <cellStyle name="Вычисление 2 4 4 3 4" xfId="3274" xr:uid="{00000000-0005-0000-0000-000083160000}"/>
    <cellStyle name="Вычисление 2 4 4 3 4 2" xfId="7168" xr:uid="{00000000-0005-0000-0000-000084160000}"/>
    <cellStyle name="Вычисление 2 4 4 3 4 3" xfId="11177" xr:uid="{7433E3A3-9DE7-4C68-8D1D-C1B6A953FB32}"/>
    <cellStyle name="Вычисление 2 4 4 3 5" xfId="4452" xr:uid="{00000000-0005-0000-0000-000085160000}"/>
    <cellStyle name="Вычисление 2 4 4 3 6" xfId="8461" xr:uid="{4F021206-0831-4DE3-9A98-C89084473EA9}"/>
    <cellStyle name="Вычисление 2 4 4 3 7" xfId="12352" xr:uid="{82DDD0DC-4B39-47D4-9991-D961C23CFA77}"/>
    <cellStyle name="Вычисление 2 4 4 4" xfId="1008" xr:uid="{00000000-0005-0000-0000-000086160000}"/>
    <cellStyle name="Вычисление 2 4 4 4 2" xfId="2541" xr:uid="{00000000-0005-0000-0000-000087160000}"/>
    <cellStyle name="Вычисление 2 4 4 4 2 2" xfId="6438" xr:uid="{00000000-0005-0000-0000-000088160000}"/>
    <cellStyle name="Вычисление 2 4 4 4 2 3" xfId="10447" xr:uid="{086FA9A9-1C89-494E-BB0D-AD0D7062293B}"/>
    <cellStyle name="Вычисление 2 4 4 4 3" xfId="3566" xr:uid="{00000000-0005-0000-0000-000089160000}"/>
    <cellStyle name="Вычисление 2 4 4 4 3 2" xfId="7460" xr:uid="{00000000-0005-0000-0000-00008A160000}"/>
    <cellStyle name="Вычисление 2 4 4 4 3 3" xfId="11469" xr:uid="{9C489139-D015-4A59-97FE-DD34E8EC6B07}"/>
    <cellStyle name="Вычисление 2 4 4 4 4" xfId="4909" xr:uid="{00000000-0005-0000-0000-00008B160000}"/>
    <cellStyle name="Вычисление 2 4 4 4 5" xfId="8918" xr:uid="{C616F33A-7457-4479-BE3B-78C9EABE12EA}"/>
    <cellStyle name="Вычисление 2 4 4 4 6" xfId="12809" xr:uid="{EAD11C81-9770-4842-8900-4F8987AD75C2}"/>
    <cellStyle name="Вычисление 2 4 4 5" xfId="2534" xr:uid="{00000000-0005-0000-0000-00008C160000}"/>
    <cellStyle name="Вычисление 2 4 4 5 2" xfId="6431" xr:uid="{00000000-0005-0000-0000-00008D160000}"/>
    <cellStyle name="Вычисление 2 4 4 5 3" xfId="10440" xr:uid="{6B0FE4A9-60E3-4F96-A269-759FAA04A1B8}"/>
    <cellStyle name="Вычисление 2 4 4 6" xfId="2953" xr:uid="{00000000-0005-0000-0000-00008E160000}"/>
    <cellStyle name="Вычисление 2 4 4 6 2" xfId="6847" xr:uid="{00000000-0005-0000-0000-00008F160000}"/>
    <cellStyle name="Вычисление 2 4 4 6 3" xfId="10856" xr:uid="{0230FD18-E34E-416E-91B9-A8243F314E8D}"/>
    <cellStyle name="Вычисление 2 4 4 7" xfId="4131" xr:uid="{00000000-0005-0000-0000-000090160000}"/>
    <cellStyle name="Вычисление 2 4 4 8" xfId="8140" xr:uid="{B3730EFD-5C42-4782-ACB1-819B318D4ECA}"/>
    <cellStyle name="Вычисление 2 4 4 9" xfId="12031" xr:uid="{F5CFA679-713C-43DB-AD08-FE98B542C974}"/>
    <cellStyle name="Вычисление 2 4 5" xfId="327" xr:uid="{00000000-0005-0000-0000-000091160000}"/>
    <cellStyle name="Вычисление 2 4 5 2" xfId="657" xr:uid="{00000000-0005-0000-0000-000092160000}"/>
    <cellStyle name="Вычисление 2 4 5 2 2" xfId="1438" xr:uid="{00000000-0005-0000-0000-000093160000}"/>
    <cellStyle name="Вычисление 2 4 5 2 2 2" xfId="2544" xr:uid="{00000000-0005-0000-0000-000094160000}"/>
    <cellStyle name="Вычисление 2 4 5 2 2 2 2" xfId="6441" xr:uid="{00000000-0005-0000-0000-000095160000}"/>
    <cellStyle name="Вычисление 2 4 5 2 2 2 3" xfId="10450" xr:uid="{7C0AEC11-1032-47E2-A031-C64E1FB2E852}"/>
    <cellStyle name="Вычисление 2 4 5 2 2 3" xfId="3826" xr:uid="{00000000-0005-0000-0000-000096160000}"/>
    <cellStyle name="Вычисление 2 4 5 2 2 3 2" xfId="7720" xr:uid="{00000000-0005-0000-0000-000097160000}"/>
    <cellStyle name="Вычисление 2 4 5 2 2 3 3" xfId="11729" xr:uid="{277AD808-88E5-42CA-8A11-5BDEEBEDE955}"/>
    <cellStyle name="Вычисление 2 4 5 2 2 4" xfId="5339" xr:uid="{00000000-0005-0000-0000-000098160000}"/>
    <cellStyle name="Вычисление 2 4 5 2 2 5" xfId="9348" xr:uid="{F44661C1-F7C1-4D00-98A3-CAAC1C6B0133}"/>
    <cellStyle name="Вычисление 2 4 5 2 2 6" xfId="13239" xr:uid="{5FB13BD7-A4B9-4CF5-BC71-F3C196F2261A}"/>
    <cellStyle name="Вычисление 2 4 5 2 3" xfId="2543" xr:uid="{00000000-0005-0000-0000-000099160000}"/>
    <cellStyle name="Вычисление 2 4 5 2 3 2" xfId="6440" xr:uid="{00000000-0005-0000-0000-00009A160000}"/>
    <cellStyle name="Вычисление 2 4 5 2 3 3" xfId="10449" xr:uid="{78F63C7E-6248-48F7-A50F-715311060CF8}"/>
    <cellStyle name="Вычисление 2 4 5 2 4" xfId="3383" xr:uid="{00000000-0005-0000-0000-00009B160000}"/>
    <cellStyle name="Вычисление 2 4 5 2 4 2" xfId="7277" xr:uid="{00000000-0005-0000-0000-00009C160000}"/>
    <cellStyle name="Вычисление 2 4 5 2 4 3" xfId="11286" xr:uid="{03EE5610-B041-4BB6-8F55-EED1FF3E72F2}"/>
    <cellStyle name="Вычисление 2 4 5 2 5" xfId="4561" xr:uid="{00000000-0005-0000-0000-00009D160000}"/>
    <cellStyle name="Вычисление 2 4 5 2 6" xfId="8570" xr:uid="{372B6E5B-9657-4F2F-AFB3-755CD7DAFD41}"/>
    <cellStyle name="Вычисление 2 4 5 2 7" xfId="12461" xr:uid="{1AB501FC-A884-4AD7-B514-470CEC055359}"/>
    <cellStyle name="Вычисление 2 4 5 3" xfId="1117" xr:uid="{00000000-0005-0000-0000-00009E160000}"/>
    <cellStyle name="Вычисление 2 4 5 3 2" xfId="2545" xr:uid="{00000000-0005-0000-0000-00009F160000}"/>
    <cellStyle name="Вычисление 2 4 5 3 2 2" xfId="6442" xr:uid="{00000000-0005-0000-0000-0000A0160000}"/>
    <cellStyle name="Вычисление 2 4 5 3 2 3" xfId="10451" xr:uid="{E2E1CE44-C4CA-4EAC-8E41-71DCC5BCD60E}"/>
    <cellStyle name="Вычисление 2 4 5 3 3" xfId="3628" xr:uid="{00000000-0005-0000-0000-0000A1160000}"/>
    <cellStyle name="Вычисление 2 4 5 3 3 2" xfId="7522" xr:uid="{00000000-0005-0000-0000-0000A2160000}"/>
    <cellStyle name="Вычисление 2 4 5 3 3 3" xfId="11531" xr:uid="{7FB874E3-B8F0-4B38-887D-4C50DF49D0E8}"/>
    <cellStyle name="Вычисление 2 4 5 3 4" xfId="5018" xr:uid="{00000000-0005-0000-0000-0000A3160000}"/>
    <cellStyle name="Вычисление 2 4 5 3 5" xfId="9027" xr:uid="{4D0A0D29-9C4F-4CFF-BF0A-EE83D7F19F80}"/>
    <cellStyle name="Вычисление 2 4 5 3 6" xfId="12918" xr:uid="{81E03746-502D-4214-B72D-4A55FBB98586}"/>
    <cellStyle name="Вычисление 2 4 5 4" xfId="2542" xr:uid="{00000000-0005-0000-0000-0000A4160000}"/>
    <cellStyle name="Вычисление 2 4 5 4 2" xfId="6439" xr:uid="{00000000-0005-0000-0000-0000A5160000}"/>
    <cellStyle name="Вычисление 2 4 5 4 3" xfId="10448" xr:uid="{70AD7934-B320-4436-9072-798233D40E54}"/>
    <cellStyle name="Вычисление 2 4 5 5" xfId="3062" xr:uid="{00000000-0005-0000-0000-0000A6160000}"/>
    <cellStyle name="Вычисление 2 4 5 5 2" xfId="6956" xr:uid="{00000000-0005-0000-0000-0000A7160000}"/>
    <cellStyle name="Вычисление 2 4 5 5 3" xfId="10965" xr:uid="{C57944A4-FEF0-4339-8CAC-BEEE400E510A}"/>
    <cellStyle name="Вычисление 2 4 5 6" xfId="4240" xr:uid="{00000000-0005-0000-0000-0000A8160000}"/>
    <cellStyle name="Вычисление 2 4 5 7" xfId="8249" xr:uid="{74EC41D7-694C-4240-9DBD-9D89118103D3}"/>
    <cellStyle name="Вычисление 2 4 5 8" xfId="12140" xr:uid="{5D884B35-7275-478F-9A96-8F1B905899EA}"/>
    <cellStyle name="Вычисление 2 4 6" xfId="489" xr:uid="{00000000-0005-0000-0000-0000A9160000}"/>
    <cellStyle name="Вычисление 2 4 6 2" xfId="1273" xr:uid="{00000000-0005-0000-0000-0000AA160000}"/>
    <cellStyle name="Вычисление 2 4 6 2 2" xfId="2547" xr:uid="{00000000-0005-0000-0000-0000AB160000}"/>
    <cellStyle name="Вычисление 2 4 6 2 2 2" xfId="6444" xr:uid="{00000000-0005-0000-0000-0000AC160000}"/>
    <cellStyle name="Вычисление 2 4 6 2 2 3" xfId="10453" xr:uid="{5E83FABB-3F70-44E3-A5C8-4E82D7F4A846}"/>
    <cellStyle name="Вычисление 2 4 6 2 3" xfId="3727" xr:uid="{00000000-0005-0000-0000-0000AD160000}"/>
    <cellStyle name="Вычисление 2 4 6 2 3 2" xfId="7621" xr:uid="{00000000-0005-0000-0000-0000AE160000}"/>
    <cellStyle name="Вычисление 2 4 6 2 3 3" xfId="11630" xr:uid="{22D35D80-3E6D-402D-A570-6638A056F650}"/>
    <cellStyle name="Вычисление 2 4 6 2 4" xfId="5174" xr:uid="{00000000-0005-0000-0000-0000AF160000}"/>
    <cellStyle name="Вычисление 2 4 6 2 5" xfId="9183" xr:uid="{122B7DD0-8806-42C1-8324-94D24C66598A}"/>
    <cellStyle name="Вычисление 2 4 6 2 6" xfId="13074" xr:uid="{1E7D0324-4D4C-420F-9E18-82756FB619E7}"/>
    <cellStyle name="Вычисление 2 4 6 3" xfId="2546" xr:uid="{00000000-0005-0000-0000-0000B0160000}"/>
    <cellStyle name="Вычисление 2 4 6 3 2" xfId="6443" xr:uid="{00000000-0005-0000-0000-0000B1160000}"/>
    <cellStyle name="Вычисление 2 4 6 3 3" xfId="10452" xr:uid="{DBE695B5-B1D1-4904-9C0F-EFF844FF6808}"/>
    <cellStyle name="Вычисление 2 4 6 4" xfId="3218" xr:uid="{00000000-0005-0000-0000-0000B2160000}"/>
    <cellStyle name="Вычисление 2 4 6 4 2" xfId="7112" xr:uid="{00000000-0005-0000-0000-0000B3160000}"/>
    <cellStyle name="Вычисление 2 4 6 4 3" xfId="11121" xr:uid="{F0A32EB3-57D9-400F-AE9D-81932CBA9543}"/>
    <cellStyle name="Вычисление 2 4 6 5" xfId="4396" xr:uid="{00000000-0005-0000-0000-0000B4160000}"/>
    <cellStyle name="Вычисление 2 4 6 6" xfId="8405" xr:uid="{52322FEE-9F77-431D-9726-16994CA7F4E6}"/>
    <cellStyle name="Вычисление 2 4 6 7" xfId="12296" xr:uid="{4AD3ED6F-A1AA-457B-A5D2-E6F37107EC41}"/>
    <cellStyle name="Вычисление 2 4 7" xfId="952" xr:uid="{00000000-0005-0000-0000-0000B5160000}"/>
    <cellStyle name="Вычисление 2 4 7 2" xfId="2548" xr:uid="{00000000-0005-0000-0000-0000B6160000}"/>
    <cellStyle name="Вычисление 2 4 7 2 2" xfId="6445" xr:uid="{00000000-0005-0000-0000-0000B7160000}"/>
    <cellStyle name="Вычисление 2 4 7 2 3" xfId="10454" xr:uid="{C623463D-28A7-46D0-ABE7-C2D1E4E088DF}"/>
    <cellStyle name="Вычисление 2 4 7 3" xfId="3529" xr:uid="{00000000-0005-0000-0000-0000B8160000}"/>
    <cellStyle name="Вычисление 2 4 7 3 2" xfId="7423" xr:uid="{00000000-0005-0000-0000-0000B9160000}"/>
    <cellStyle name="Вычисление 2 4 7 3 3" xfId="11432" xr:uid="{B1A71319-882F-4084-83C3-824270569624}"/>
    <cellStyle name="Вычисление 2 4 7 4" xfId="4853" xr:uid="{00000000-0005-0000-0000-0000BA160000}"/>
    <cellStyle name="Вычисление 2 4 7 5" xfId="8862" xr:uid="{078284CC-A9D0-4013-A90E-4C7EEB1B7A98}"/>
    <cellStyle name="Вычисление 2 4 7 6" xfId="12753" xr:uid="{B8434C27-FF3B-4B30-BD77-56F73E7A1C1A}"/>
    <cellStyle name="Вычисление 2 4 8" xfId="2501" xr:uid="{00000000-0005-0000-0000-0000BB160000}"/>
    <cellStyle name="Вычисление 2 4 8 2" xfId="6398" xr:uid="{00000000-0005-0000-0000-0000BC160000}"/>
    <cellStyle name="Вычисление 2 4 8 3" xfId="10407" xr:uid="{8CEA8A9C-85BD-48C6-BC66-4E9CF5845CD0}"/>
    <cellStyle name="Вычисление 2 4 9" xfId="2897" xr:uid="{00000000-0005-0000-0000-0000BD160000}"/>
    <cellStyle name="Вычисление 2 4 9 2" xfId="6791" xr:uid="{00000000-0005-0000-0000-0000BE160000}"/>
    <cellStyle name="Вычисление 2 4 9 3" xfId="10800" xr:uid="{D318BE92-DA94-44DA-8086-D26C7D9926E5}"/>
    <cellStyle name="Вычисление 2 5" xfId="201" xr:uid="{00000000-0005-0000-0000-0000BF160000}"/>
    <cellStyle name="Вычисление 2 5 10" xfId="13450" xr:uid="{ECE8DE12-E9D0-4695-9389-D1DBF1CBF98E}"/>
    <cellStyle name="Вычисление 2 5 2" xfId="365" xr:uid="{00000000-0005-0000-0000-0000C0160000}"/>
    <cellStyle name="Вычисление 2 5 2 2" xfId="695" xr:uid="{00000000-0005-0000-0000-0000C1160000}"/>
    <cellStyle name="Вычисление 2 5 2 2 2" xfId="1476" xr:uid="{00000000-0005-0000-0000-0000C2160000}"/>
    <cellStyle name="Вычисление 2 5 2 2 2 2" xfId="2552" xr:uid="{00000000-0005-0000-0000-0000C3160000}"/>
    <cellStyle name="Вычисление 2 5 2 2 2 2 2" xfId="6449" xr:uid="{00000000-0005-0000-0000-0000C4160000}"/>
    <cellStyle name="Вычисление 2 5 2 2 2 2 3" xfId="10458" xr:uid="{9BDE482F-7F5D-4EFE-8FF5-055708E6D344}"/>
    <cellStyle name="Вычисление 2 5 2 2 2 3" xfId="3850" xr:uid="{00000000-0005-0000-0000-0000C5160000}"/>
    <cellStyle name="Вычисление 2 5 2 2 2 3 2" xfId="7744" xr:uid="{00000000-0005-0000-0000-0000C6160000}"/>
    <cellStyle name="Вычисление 2 5 2 2 2 3 3" xfId="11753" xr:uid="{2C138F31-511D-4374-B3E8-0A676287E21C}"/>
    <cellStyle name="Вычисление 2 5 2 2 2 4" xfId="5377" xr:uid="{00000000-0005-0000-0000-0000C7160000}"/>
    <cellStyle name="Вычисление 2 5 2 2 2 5" xfId="9386" xr:uid="{818BA064-7934-4159-A661-A5CABB41A0C3}"/>
    <cellStyle name="Вычисление 2 5 2 2 2 6" xfId="13277" xr:uid="{B67198D3-8E00-40AC-91D6-80BFFDB8B457}"/>
    <cellStyle name="Вычисление 2 5 2 2 3" xfId="2551" xr:uid="{00000000-0005-0000-0000-0000C8160000}"/>
    <cellStyle name="Вычисление 2 5 2 2 3 2" xfId="6448" xr:uid="{00000000-0005-0000-0000-0000C9160000}"/>
    <cellStyle name="Вычисление 2 5 2 2 3 3" xfId="10457" xr:uid="{4EAD66AE-F119-474E-82FE-FBE3B4BB6FEE}"/>
    <cellStyle name="Вычисление 2 5 2 2 4" xfId="3421" xr:uid="{00000000-0005-0000-0000-0000CA160000}"/>
    <cellStyle name="Вычисление 2 5 2 2 4 2" xfId="7315" xr:uid="{00000000-0005-0000-0000-0000CB160000}"/>
    <cellStyle name="Вычисление 2 5 2 2 4 3" xfId="11324" xr:uid="{E29A21D1-B0A4-4488-A857-432155FEB300}"/>
    <cellStyle name="Вычисление 2 5 2 2 5" xfId="4599" xr:uid="{00000000-0005-0000-0000-0000CC160000}"/>
    <cellStyle name="Вычисление 2 5 2 2 6" xfId="8608" xr:uid="{3009DFF4-0C7A-4FCA-B712-E3F8B5A1A6C1}"/>
    <cellStyle name="Вычисление 2 5 2 2 7" xfId="12499" xr:uid="{5873A31F-3A8F-47C6-B573-97AC0E975AB7}"/>
    <cellStyle name="Вычисление 2 5 2 3" xfId="1155" xr:uid="{00000000-0005-0000-0000-0000CD160000}"/>
    <cellStyle name="Вычисление 2 5 2 3 2" xfId="2553" xr:uid="{00000000-0005-0000-0000-0000CE160000}"/>
    <cellStyle name="Вычисление 2 5 2 3 2 2" xfId="6450" xr:uid="{00000000-0005-0000-0000-0000CF160000}"/>
    <cellStyle name="Вычисление 2 5 2 3 2 3" xfId="10459" xr:uid="{18000BBB-87CA-4054-AC13-A4ECF982E7A5}"/>
    <cellStyle name="Вычисление 2 5 2 3 3" xfId="3652" xr:uid="{00000000-0005-0000-0000-0000D0160000}"/>
    <cellStyle name="Вычисление 2 5 2 3 3 2" xfId="7546" xr:uid="{00000000-0005-0000-0000-0000D1160000}"/>
    <cellStyle name="Вычисление 2 5 2 3 3 3" xfId="11555" xr:uid="{C0AA9480-9832-4543-B8E6-BFABAC491F0E}"/>
    <cellStyle name="Вычисление 2 5 2 3 4" xfId="5056" xr:uid="{00000000-0005-0000-0000-0000D2160000}"/>
    <cellStyle name="Вычисление 2 5 2 3 5" xfId="9065" xr:uid="{26CEE5B2-79EF-4E4A-B3E6-36D44A006133}"/>
    <cellStyle name="Вычисление 2 5 2 3 6" xfId="12956" xr:uid="{008AB0A6-D2B0-4C47-BCB9-531EB337A4C6}"/>
    <cellStyle name="Вычисление 2 5 2 4" xfId="2550" xr:uid="{00000000-0005-0000-0000-0000D3160000}"/>
    <cellStyle name="Вычисление 2 5 2 4 2" xfId="6447" xr:uid="{00000000-0005-0000-0000-0000D4160000}"/>
    <cellStyle name="Вычисление 2 5 2 4 3" xfId="10456" xr:uid="{2783CD31-89F6-44C6-96CF-446E6DEE5C94}"/>
    <cellStyle name="Вычисление 2 5 2 5" xfId="3100" xr:uid="{00000000-0005-0000-0000-0000D5160000}"/>
    <cellStyle name="Вычисление 2 5 2 5 2" xfId="6994" xr:uid="{00000000-0005-0000-0000-0000D6160000}"/>
    <cellStyle name="Вычисление 2 5 2 5 3" xfId="11003" xr:uid="{63171709-68AC-46AA-A8AA-5EB868CA99F8}"/>
    <cellStyle name="Вычисление 2 5 2 6" xfId="4278" xr:uid="{00000000-0005-0000-0000-0000D7160000}"/>
    <cellStyle name="Вычисление 2 5 2 7" xfId="8287" xr:uid="{7D3E8C3B-FE0E-4BC2-AD0E-583B41809E98}"/>
    <cellStyle name="Вычисление 2 5 2 8" xfId="12178" xr:uid="{58D27516-EB11-4E64-A797-219FF774FDF1}"/>
    <cellStyle name="Вычисление 2 5 3" xfId="531" xr:uid="{00000000-0005-0000-0000-0000D8160000}"/>
    <cellStyle name="Вычисление 2 5 3 2" xfId="1312" xr:uid="{00000000-0005-0000-0000-0000D9160000}"/>
    <cellStyle name="Вычисление 2 5 3 2 2" xfId="2555" xr:uid="{00000000-0005-0000-0000-0000DA160000}"/>
    <cellStyle name="Вычисление 2 5 3 2 2 2" xfId="6452" xr:uid="{00000000-0005-0000-0000-0000DB160000}"/>
    <cellStyle name="Вычисление 2 5 3 2 2 3" xfId="10461" xr:uid="{92223555-8353-491D-9175-CC131E22B3C9}"/>
    <cellStyle name="Вычисление 2 5 3 2 3" xfId="3751" xr:uid="{00000000-0005-0000-0000-0000DC160000}"/>
    <cellStyle name="Вычисление 2 5 3 2 3 2" xfId="7645" xr:uid="{00000000-0005-0000-0000-0000DD160000}"/>
    <cellStyle name="Вычисление 2 5 3 2 3 3" xfId="11654" xr:uid="{61F52701-A71E-4674-A2BF-5B75D8A83870}"/>
    <cellStyle name="Вычисление 2 5 3 2 4" xfId="5213" xr:uid="{00000000-0005-0000-0000-0000DE160000}"/>
    <cellStyle name="Вычисление 2 5 3 2 5" xfId="9222" xr:uid="{C290E049-ACF5-4192-8193-10E82802F226}"/>
    <cellStyle name="Вычисление 2 5 3 2 6" xfId="13113" xr:uid="{87E5D700-7FB4-47AA-A87E-1D664952A4F1}"/>
    <cellStyle name="Вычисление 2 5 3 3" xfId="2554" xr:uid="{00000000-0005-0000-0000-0000DF160000}"/>
    <cellStyle name="Вычисление 2 5 3 3 2" xfId="6451" xr:uid="{00000000-0005-0000-0000-0000E0160000}"/>
    <cellStyle name="Вычисление 2 5 3 3 3" xfId="10460" xr:uid="{99230061-C8D6-4AF0-A90E-789A33E59426}"/>
    <cellStyle name="Вычисление 2 5 3 4" xfId="3257" xr:uid="{00000000-0005-0000-0000-0000E1160000}"/>
    <cellStyle name="Вычисление 2 5 3 4 2" xfId="7151" xr:uid="{00000000-0005-0000-0000-0000E2160000}"/>
    <cellStyle name="Вычисление 2 5 3 4 3" xfId="11160" xr:uid="{E310B52A-C3F9-4857-A0AD-C25DEF6732B4}"/>
    <cellStyle name="Вычисление 2 5 3 5" xfId="4435" xr:uid="{00000000-0005-0000-0000-0000E3160000}"/>
    <cellStyle name="Вычисление 2 5 3 6" xfId="8444" xr:uid="{2C2A3293-DEF5-483E-A314-53B3DDE6670A}"/>
    <cellStyle name="Вычисление 2 5 3 7" xfId="12335" xr:uid="{8C5B8DA6-DC70-4E6A-A83D-3FFB6D9C4C2E}"/>
    <cellStyle name="Вычисление 2 5 4" xfId="991" xr:uid="{00000000-0005-0000-0000-0000E4160000}"/>
    <cellStyle name="Вычисление 2 5 4 2" xfId="2556" xr:uid="{00000000-0005-0000-0000-0000E5160000}"/>
    <cellStyle name="Вычисление 2 5 4 2 2" xfId="6453" xr:uid="{00000000-0005-0000-0000-0000E6160000}"/>
    <cellStyle name="Вычисление 2 5 4 2 3" xfId="10462" xr:uid="{74212EB7-F296-42B4-9BA6-83C6F7FAE259}"/>
    <cellStyle name="Вычисление 2 5 4 3" xfId="3553" xr:uid="{00000000-0005-0000-0000-0000E7160000}"/>
    <cellStyle name="Вычисление 2 5 4 3 2" xfId="7447" xr:uid="{00000000-0005-0000-0000-0000E8160000}"/>
    <cellStyle name="Вычисление 2 5 4 3 3" xfId="11456" xr:uid="{ABAA5D31-A544-445A-8D58-89C8F2EBDB3E}"/>
    <cellStyle name="Вычисление 2 5 4 4" xfId="4892" xr:uid="{00000000-0005-0000-0000-0000E9160000}"/>
    <cellStyle name="Вычисление 2 5 4 5" xfId="8901" xr:uid="{4349BC3B-565C-4D3E-A000-048C5200FA50}"/>
    <cellStyle name="Вычисление 2 5 4 6" xfId="12792" xr:uid="{C42C234E-4686-4D85-ABDE-BB2B7352B11C}"/>
    <cellStyle name="Вычисление 2 5 5" xfId="2549" xr:uid="{00000000-0005-0000-0000-0000EA160000}"/>
    <cellStyle name="Вычисление 2 5 5 2" xfId="6446" xr:uid="{00000000-0005-0000-0000-0000EB160000}"/>
    <cellStyle name="Вычисление 2 5 5 3" xfId="10455" xr:uid="{701C6327-300C-41F5-9C81-2B59B723B0D5}"/>
    <cellStyle name="Вычисление 2 5 6" xfId="2936" xr:uid="{00000000-0005-0000-0000-0000EC160000}"/>
    <cellStyle name="Вычисление 2 5 6 2" xfId="6830" xr:uid="{00000000-0005-0000-0000-0000ED160000}"/>
    <cellStyle name="Вычисление 2 5 6 3" xfId="10839" xr:uid="{7F14E672-A662-4058-A4A3-86ADAABD2DA0}"/>
    <cellStyle name="Вычисление 2 5 7" xfId="4114" xr:uid="{00000000-0005-0000-0000-0000EE160000}"/>
    <cellStyle name="Вычисление 2 5 8" xfId="8123" xr:uid="{B42430CE-5013-4AD7-AD45-6E903A33DD95}"/>
    <cellStyle name="Вычисление 2 5 9" xfId="12014" xr:uid="{B935784F-549D-4F6B-8FFA-1A49D5877CC2}"/>
    <cellStyle name="Вычисление 2 6" xfId="260" xr:uid="{00000000-0005-0000-0000-0000EF160000}"/>
    <cellStyle name="Вычисление 2 6 10" xfId="13509" xr:uid="{F792A90C-6E3C-4396-B6FA-0F617D098305}"/>
    <cellStyle name="Вычисление 2 6 2" xfId="417" xr:uid="{00000000-0005-0000-0000-0000F0160000}"/>
    <cellStyle name="Вычисление 2 6 2 2" xfId="747" xr:uid="{00000000-0005-0000-0000-0000F1160000}"/>
    <cellStyle name="Вычисление 2 6 2 2 2" xfId="1528" xr:uid="{00000000-0005-0000-0000-0000F2160000}"/>
    <cellStyle name="Вычисление 2 6 2 2 2 2" xfId="2560" xr:uid="{00000000-0005-0000-0000-0000F3160000}"/>
    <cellStyle name="Вычисление 2 6 2 2 2 2 2" xfId="6457" xr:uid="{00000000-0005-0000-0000-0000F4160000}"/>
    <cellStyle name="Вычисление 2 6 2 2 2 2 3" xfId="10466" xr:uid="{24BD1222-13E2-4E96-A362-4D81CAD5ED60}"/>
    <cellStyle name="Вычисление 2 6 2 2 2 3" xfId="3884" xr:uid="{00000000-0005-0000-0000-0000F5160000}"/>
    <cellStyle name="Вычисление 2 6 2 2 2 3 2" xfId="7778" xr:uid="{00000000-0005-0000-0000-0000F6160000}"/>
    <cellStyle name="Вычисление 2 6 2 2 2 3 3" xfId="11787" xr:uid="{3473270A-F1A6-48EF-86C1-EE93021CE421}"/>
    <cellStyle name="Вычисление 2 6 2 2 2 4" xfId="5429" xr:uid="{00000000-0005-0000-0000-0000F7160000}"/>
    <cellStyle name="Вычисление 2 6 2 2 2 5" xfId="9438" xr:uid="{3D2791D7-7CE3-429C-8F14-25AC79E46EAA}"/>
    <cellStyle name="Вычисление 2 6 2 2 2 6" xfId="13329" xr:uid="{6319081A-5346-4797-8075-918748391EFD}"/>
    <cellStyle name="Вычисление 2 6 2 2 3" xfId="2559" xr:uid="{00000000-0005-0000-0000-0000F8160000}"/>
    <cellStyle name="Вычисление 2 6 2 2 3 2" xfId="6456" xr:uid="{00000000-0005-0000-0000-0000F9160000}"/>
    <cellStyle name="Вычисление 2 6 2 2 3 3" xfId="10465" xr:uid="{B32166C5-971B-4313-ABC2-822330A49757}"/>
    <cellStyle name="Вычисление 2 6 2 2 4" xfId="3473" xr:uid="{00000000-0005-0000-0000-0000FA160000}"/>
    <cellStyle name="Вычисление 2 6 2 2 4 2" xfId="7367" xr:uid="{00000000-0005-0000-0000-0000FB160000}"/>
    <cellStyle name="Вычисление 2 6 2 2 4 3" xfId="11376" xr:uid="{7B00FEDB-4112-45A0-A93C-88F94A4A00EC}"/>
    <cellStyle name="Вычисление 2 6 2 2 5" xfId="4651" xr:uid="{00000000-0005-0000-0000-0000FC160000}"/>
    <cellStyle name="Вычисление 2 6 2 2 6" xfId="8660" xr:uid="{EE1E690D-3381-48E8-86ED-F979A15258F4}"/>
    <cellStyle name="Вычисление 2 6 2 2 7" xfId="12551" xr:uid="{86DA1470-829B-4F88-B27C-C53D8ACB34DA}"/>
    <cellStyle name="Вычисление 2 6 2 3" xfId="1207" xr:uid="{00000000-0005-0000-0000-0000FD160000}"/>
    <cellStyle name="Вычисление 2 6 2 3 2" xfId="2561" xr:uid="{00000000-0005-0000-0000-0000FE160000}"/>
    <cellStyle name="Вычисление 2 6 2 3 2 2" xfId="6458" xr:uid="{00000000-0005-0000-0000-0000FF160000}"/>
    <cellStyle name="Вычисление 2 6 2 3 2 3" xfId="10467" xr:uid="{EE45FE27-B376-42DD-9F57-8710BFC6B296}"/>
    <cellStyle name="Вычисление 2 6 2 3 3" xfId="3686" xr:uid="{00000000-0005-0000-0000-000000170000}"/>
    <cellStyle name="Вычисление 2 6 2 3 3 2" xfId="7580" xr:uid="{00000000-0005-0000-0000-000001170000}"/>
    <cellStyle name="Вычисление 2 6 2 3 3 3" xfId="11589" xr:uid="{B8B94FA0-FDB6-4CA9-ACF7-818451C497CA}"/>
    <cellStyle name="Вычисление 2 6 2 3 4" xfId="5108" xr:uid="{00000000-0005-0000-0000-000002170000}"/>
    <cellStyle name="Вычисление 2 6 2 3 5" xfId="9117" xr:uid="{8B0CDA18-3EFB-4DEB-A2C9-4E2065BF4B67}"/>
    <cellStyle name="Вычисление 2 6 2 3 6" xfId="13008" xr:uid="{656768E0-C468-4427-819F-F9799D445CE9}"/>
    <cellStyle name="Вычисление 2 6 2 4" xfId="2558" xr:uid="{00000000-0005-0000-0000-000003170000}"/>
    <cellStyle name="Вычисление 2 6 2 4 2" xfId="6455" xr:uid="{00000000-0005-0000-0000-000004170000}"/>
    <cellStyle name="Вычисление 2 6 2 4 3" xfId="10464" xr:uid="{CBA72F03-7376-495D-8C5F-B08E5193C91A}"/>
    <cellStyle name="Вычисление 2 6 2 5" xfId="3152" xr:uid="{00000000-0005-0000-0000-000005170000}"/>
    <cellStyle name="Вычисление 2 6 2 5 2" xfId="7046" xr:uid="{00000000-0005-0000-0000-000006170000}"/>
    <cellStyle name="Вычисление 2 6 2 5 3" xfId="11055" xr:uid="{931DF37C-1D0A-4564-BE48-ED758ACD1F71}"/>
    <cellStyle name="Вычисление 2 6 2 6" xfId="4330" xr:uid="{00000000-0005-0000-0000-000007170000}"/>
    <cellStyle name="Вычисление 2 6 2 7" xfId="8339" xr:uid="{BC868749-8F82-432B-9FF6-BD7D2576238F}"/>
    <cellStyle name="Вычисление 2 6 2 8" xfId="12230" xr:uid="{E7312582-5533-4831-80E1-BFA8EBF6E95A}"/>
    <cellStyle name="Вычисление 2 6 3" xfId="590" xr:uid="{00000000-0005-0000-0000-000008170000}"/>
    <cellStyle name="Вычисление 2 6 3 2" xfId="1371" xr:uid="{00000000-0005-0000-0000-000009170000}"/>
    <cellStyle name="Вычисление 2 6 3 2 2" xfId="2563" xr:uid="{00000000-0005-0000-0000-00000A170000}"/>
    <cellStyle name="Вычисление 2 6 3 2 2 2" xfId="6460" xr:uid="{00000000-0005-0000-0000-00000B170000}"/>
    <cellStyle name="Вычисление 2 6 3 2 2 3" xfId="10469" xr:uid="{382BE90F-1EE1-432F-8B02-55CC01467CC5}"/>
    <cellStyle name="Вычисление 2 6 3 2 3" xfId="3785" xr:uid="{00000000-0005-0000-0000-00000C170000}"/>
    <cellStyle name="Вычисление 2 6 3 2 3 2" xfId="7679" xr:uid="{00000000-0005-0000-0000-00000D170000}"/>
    <cellStyle name="Вычисление 2 6 3 2 3 3" xfId="11688" xr:uid="{3AAD336A-1788-47DB-923E-85F9CDB28A1E}"/>
    <cellStyle name="Вычисление 2 6 3 2 4" xfId="5272" xr:uid="{00000000-0005-0000-0000-00000E170000}"/>
    <cellStyle name="Вычисление 2 6 3 2 5" xfId="9281" xr:uid="{4CF75633-B567-4CC0-9CEC-B688FD36B435}"/>
    <cellStyle name="Вычисление 2 6 3 2 6" xfId="13172" xr:uid="{824FBBF0-1913-4C1F-8E77-2A648EF2FB7B}"/>
    <cellStyle name="Вычисление 2 6 3 3" xfId="2562" xr:uid="{00000000-0005-0000-0000-00000F170000}"/>
    <cellStyle name="Вычисление 2 6 3 3 2" xfId="6459" xr:uid="{00000000-0005-0000-0000-000010170000}"/>
    <cellStyle name="Вычисление 2 6 3 3 3" xfId="10468" xr:uid="{6723FB13-8585-4120-9DE7-FFF522C1CF1C}"/>
    <cellStyle name="Вычисление 2 6 3 4" xfId="3316" xr:uid="{00000000-0005-0000-0000-000011170000}"/>
    <cellStyle name="Вычисление 2 6 3 4 2" xfId="7210" xr:uid="{00000000-0005-0000-0000-000012170000}"/>
    <cellStyle name="Вычисление 2 6 3 4 3" xfId="11219" xr:uid="{DFB42A6F-1EFE-4474-A563-2B90670E39E4}"/>
    <cellStyle name="Вычисление 2 6 3 5" xfId="4494" xr:uid="{00000000-0005-0000-0000-000013170000}"/>
    <cellStyle name="Вычисление 2 6 3 6" xfId="8503" xr:uid="{7052688C-65C8-4C7F-90E5-6BCC74E50CF5}"/>
    <cellStyle name="Вычисление 2 6 3 7" xfId="12394" xr:uid="{5AFD0305-7D73-4AEC-A8F5-E4EE438ED0CD}"/>
    <cellStyle name="Вычисление 2 6 4" xfId="1050" xr:uid="{00000000-0005-0000-0000-000014170000}"/>
    <cellStyle name="Вычисление 2 6 4 2" xfId="2564" xr:uid="{00000000-0005-0000-0000-000015170000}"/>
    <cellStyle name="Вычисление 2 6 4 2 2" xfId="6461" xr:uid="{00000000-0005-0000-0000-000016170000}"/>
    <cellStyle name="Вычисление 2 6 4 2 3" xfId="10470" xr:uid="{21E0A37D-7BCC-46D0-81D4-0B1C34ED760C}"/>
    <cellStyle name="Вычисление 2 6 4 3" xfId="3587" xr:uid="{00000000-0005-0000-0000-000017170000}"/>
    <cellStyle name="Вычисление 2 6 4 3 2" xfId="7481" xr:uid="{00000000-0005-0000-0000-000018170000}"/>
    <cellStyle name="Вычисление 2 6 4 3 3" xfId="11490" xr:uid="{7A4A5BD2-9DB0-467D-B12B-C9B8D307E66E}"/>
    <cellStyle name="Вычисление 2 6 4 4" xfId="4951" xr:uid="{00000000-0005-0000-0000-000019170000}"/>
    <cellStyle name="Вычисление 2 6 4 5" xfId="8960" xr:uid="{E5581B5B-78D8-4CDD-A617-82761195604E}"/>
    <cellStyle name="Вычисление 2 6 4 6" xfId="12851" xr:uid="{F417EDFD-EA59-4AEE-9BD9-BECFB36896DA}"/>
    <cellStyle name="Вычисление 2 6 5" xfId="2557" xr:uid="{00000000-0005-0000-0000-00001A170000}"/>
    <cellStyle name="Вычисление 2 6 5 2" xfId="6454" xr:uid="{00000000-0005-0000-0000-00001B170000}"/>
    <cellStyle name="Вычисление 2 6 5 3" xfId="10463" xr:uid="{432AA6E2-C531-4B46-A1BA-492FC2C695AC}"/>
    <cellStyle name="Вычисление 2 6 6" xfId="2995" xr:uid="{00000000-0005-0000-0000-00001C170000}"/>
    <cellStyle name="Вычисление 2 6 6 2" xfId="6889" xr:uid="{00000000-0005-0000-0000-00001D170000}"/>
    <cellStyle name="Вычисление 2 6 6 3" xfId="10898" xr:uid="{C4A3C39C-F661-499A-BEBA-40FF387474B8}"/>
    <cellStyle name="Вычисление 2 6 7" xfId="4173" xr:uid="{00000000-0005-0000-0000-00001E170000}"/>
    <cellStyle name="Вычисление 2 6 8" xfId="8182" xr:uid="{E7163B75-7105-46B6-8CA5-F3F5FAA1B540}"/>
    <cellStyle name="Вычисление 2 6 9" xfId="12073" xr:uid="{62EB2346-DB95-4CC9-A022-26E31D78479F}"/>
    <cellStyle name="Вычисление 2 7" xfId="305" xr:uid="{00000000-0005-0000-0000-00001F170000}"/>
    <cellStyle name="Вычисление 2 7 2" xfId="635" xr:uid="{00000000-0005-0000-0000-000020170000}"/>
    <cellStyle name="Вычисление 2 7 2 2" xfId="1416" xr:uid="{00000000-0005-0000-0000-000021170000}"/>
    <cellStyle name="Вычисление 2 7 2 2 2" xfId="2567" xr:uid="{00000000-0005-0000-0000-000022170000}"/>
    <cellStyle name="Вычисление 2 7 2 2 2 2" xfId="6464" xr:uid="{00000000-0005-0000-0000-000023170000}"/>
    <cellStyle name="Вычисление 2 7 2 2 2 3" xfId="10473" xr:uid="{A1DBBB7C-0007-4CBB-9760-B56810EBB0DF}"/>
    <cellStyle name="Вычисление 2 7 2 2 3" xfId="3813" xr:uid="{00000000-0005-0000-0000-000024170000}"/>
    <cellStyle name="Вычисление 2 7 2 2 3 2" xfId="7707" xr:uid="{00000000-0005-0000-0000-000025170000}"/>
    <cellStyle name="Вычисление 2 7 2 2 3 3" xfId="11716" xr:uid="{759B92CB-38D7-431C-A56B-BBFAC069D4B6}"/>
    <cellStyle name="Вычисление 2 7 2 2 4" xfId="5317" xr:uid="{00000000-0005-0000-0000-000026170000}"/>
    <cellStyle name="Вычисление 2 7 2 2 5" xfId="9326" xr:uid="{0A74EA96-38E0-4A8D-AA52-3577478A2665}"/>
    <cellStyle name="Вычисление 2 7 2 2 6" xfId="13217" xr:uid="{85961D17-DA97-4F61-951B-A495E698174E}"/>
    <cellStyle name="Вычисление 2 7 2 3" xfId="2566" xr:uid="{00000000-0005-0000-0000-000027170000}"/>
    <cellStyle name="Вычисление 2 7 2 3 2" xfId="6463" xr:uid="{00000000-0005-0000-0000-000028170000}"/>
    <cellStyle name="Вычисление 2 7 2 3 3" xfId="10472" xr:uid="{280CAAE6-E58C-4E53-9E4F-2CE61157AE54}"/>
    <cellStyle name="Вычисление 2 7 2 4" xfId="3361" xr:uid="{00000000-0005-0000-0000-000029170000}"/>
    <cellStyle name="Вычисление 2 7 2 4 2" xfId="7255" xr:uid="{00000000-0005-0000-0000-00002A170000}"/>
    <cellStyle name="Вычисление 2 7 2 4 3" xfId="11264" xr:uid="{7ED1A17D-B0CC-4477-BCF0-1FE24879F66F}"/>
    <cellStyle name="Вычисление 2 7 2 5" xfId="4539" xr:uid="{00000000-0005-0000-0000-00002B170000}"/>
    <cellStyle name="Вычисление 2 7 2 6" xfId="8548" xr:uid="{E7D746F9-A0C2-42A0-B98F-9441ED5AB4A8}"/>
    <cellStyle name="Вычисление 2 7 2 7" xfId="12439" xr:uid="{B8843094-D58D-426E-96DC-F04520B1D014}"/>
    <cellStyle name="Вычисление 2 7 3" xfId="1095" xr:uid="{00000000-0005-0000-0000-00002C170000}"/>
    <cellStyle name="Вычисление 2 7 3 2" xfId="2568" xr:uid="{00000000-0005-0000-0000-00002D170000}"/>
    <cellStyle name="Вычисление 2 7 3 2 2" xfId="6465" xr:uid="{00000000-0005-0000-0000-00002E170000}"/>
    <cellStyle name="Вычисление 2 7 3 2 3" xfId="10474" xr:uid="{BE52F3BF-38FA-42F6-A28F-9DA57BB99069}"/>
    <cellStyle name="Вычисление 2 7 3 3" xfId="3615" xr:uid="{00000000-0005-0000-0000-00002F170000}"/>
    <cellStyle name="Вычисление 2 7 3 3 2" xfId="7509" xr:uid="{00000000-0005-0000-0000-000030170000}"/>
    <cellStyle name="Вычисление 2 7 3 3 3" xfId="11518" xr:uid="{CF5AEB84-5452-4FBB-8050-0E4784AEB114}"/>
    <cellStyle name="Вычисление 2 7 3 4" xfId="4996" xr:uid="{00000000-0005-0000-0000-000031170000}"/>
    <cellStyle name="Вычисление 2 7 3 5" xfId="9005" xr:uid="{DE19DCB4-4338-4AC9-A6AA-09AE7CB82173}"/>
    <cellStyle name="Вычисление 2 7 3 6" xfId="12896" xr:uid="{9058162B-82AD-44C5-8ABE-F4FB23C4E270}"/>
    <cellStyle name="Вычисление 2 7 4" xfId="2565" xr:uid="{00000000-0005-0000-0000-000032170000}"/>
    <cellStyle name="Вычисление 2 7 4 2" xfId="6462" xr:uid="{00000000-0005-0000-0000-000033170000}"/>
    <cellStyle name="Вычисление 2 7 4 3" xfId="10471" xr:uid="{04837B1B-11FE-4CA9-A872-ACE4092F86DF}"/>
    <cellStyle name="Вычисление 2 7 5" xfId="3040" xr:uid="{00000000-0005-0000-0000-000034170000}"/>
    <cellStyle name="Вычисление 2 7 5 2" xfId="6934" xr:uid="{00000000-0005-0000-0000-000035170000}"/>
    <cellStyle name="Вычисление 2 7 5 3" xfId="10943" xr:uid="{E35BBC35-2F23-4B51-ACD6-FF5BCDB7A04D}"/>
    <cellStyle name="Вычисление 2 7 6" xfId="4218" xr:uid="{00000000-0005-0000-0000-000036170000}"/>
    <cellStyle name="Вычисление 2 7 7" xfId="8227" xr:uid="{DD928F8F-6DE4-4DFF-AEE1-2F8C1B07E01A}"/>
    <cellStyle name="Вычисление 2 7 8" xfId="12118" xr:uid="{D3967D93-B802-42B4-9535-8BDDD760C2E8}"/>
    <cellStyle name="Вычисление 2 8" xfId="466" xr:uid="{00000000-0005-0000-0000-000037170000}"/>
    <cellStyle name="Вычисление 2 8 2" xfId="1251" xr:uid="{00000000-0005-0000-0000-000038170000}"/>
    <cellStyle name="Вычисление 2 8 2 2" xfId="2570" xr:uid="{00000000-0005-0000-0000-000039170000}"/>
    <cellStyle name="Вычисление 2 8 2 2 2" xfId="6467" xr:uid="{00000000-0005-0000-0000-00003A170000}"/>
    <cellStyle name="Вычисление 2 8 2 2 3" xfId="10476" xr:uid="{98509B10-A7AC-41DF-8DD5-D2AD94EA2A82}"/>
    <cellStyle name="Вычисление 2 8 2 3" xfId="3714" xr:uid="{00000000-0005-0000-0000-00003B170000}"/>
    <cellStyle name="Вычисление 2 8 2 3 2" xfId="7608" xr:uid="{00000000-0005-0000-0000-00003C170000}"/>
    <cellStyle name="Вычисление 2 8 2 3 3" xfId="11617" xr:uid="{4A1C7E54-470A-47B0-B00F-73E00E27130A}"/>
    <cellStyle name="Вычисление 2 8 2 4" xfId="5152" xr:uid="{00000000-0005-0000-0000-00003D170000}"/>
    <cellStyle name="Вычисление 2 8 2 5" xfId="9161" xr:uid="{1524D26A-E880-4EB4-B70B-CBCCFF3A967F}"/>
    <cellStyle name="Вычисление 2 8 2 6" xfId="13052" xr:uid="{DC3F7BF2-6D19-43A1-AFCF-859ABACFAA5C}"/>
    <cellStyle name="Вычисление 2 8 3" xfId="2569" xr:uid="{00000000-0005-0000-0000-00003E170000}"/>
    <cellStyle name="Вычисление 2 8 3 2" xfId="6466" xr:uid="{00000000-0005-0000-0000-00003F170000}"/>
    <cellStyle name="Вычисление 2 8 3 3" xfId="10475" xr:uid="{63462A18-BE9F-4848-914F-EB531F9360B0}"/>
    <cellStyle name="Вычисление 2 8 4" xfId="3196" xr:uid="{00000000-0005-0000-0000-000040170000}"/>
    <cellStyle name="Вычисление 2 8 4 2" xfId="7090" xr:uid="{00000000-0005-0000-0000-000041170000}"/>
    <cellStyle name="Вычисление 2 8 4 3" xfId="11099" xr:uid="{6BB52334-26CA-4BB0-906D-821EB531C34E}"/>
    <cellStyle name="Вычисление 2 8 5" xfId="4374" xr:uid="{00000000-0005-0000-0000-000042170000}"/>
    <cellStyle name="Вычисление 2 8 6" xfId="8383" xr:uid="{32C2E51F-3E60-4C11-B607-97D21E4B45B1}"/>
    <cellStyle name="Вычисление 2 8 7" xfId="12274" xr:uid="{1F59535E-51A4-439E-90BD-1BEE57328523}"/>
    <cellStyle name="Вычисление 2 9" xfId="930" xr:uid="{00000000-0005-0000-0000-000043170000}"/>
    <cellStyle name="Вычисление 2 9 2" xfId="2571" xr:uid="{00000000-0005-0000-0000-000044170000}"/>
    <cellStyle name="Вычисление 2 9 2 2" xfId="6468" xr:uid="{00000000-0005-0000-0000-000045170000}"/>
    <cellStyle name="Вычисление 2 9 2 3" xfId="10477" xr:uid="{BB9FBCFC-4979-4674-A8B1-23F689D53DEC}"/>
    <cellStyle name="Вычисление 2 9 3" xfId="3516" xr:uid="{00000000-0005-0000-0000-000046170000}"/>
    <cellStyle name="Вычисление 2 9 3 2" xfId="7410" xr:uid="{00000000-0005-0000-0000-000047170000}"/>
    <cellStyle name="Вычисление 2 9 3 3" xfId="11419" xr:uid="{A9CB594B-A169-4B46-85DD-C73322DF8530}"/>
    <cellStyle name="Вычисление 2 9 4" xfId="4831" xr:uid="{00000000-0005-0000-0000-000048170000}"/>
    <cellStyle name="Вычисление 2 9 5" xfId="8840" xr:uid="{E5B7E3A8-3196-4325-B873-22B55FAB7FC7}"/>
    <cellStyle name="Вычисление 2 9 6" xfId="12731" xr:uid="{DDDF3B80-6BFD-422F-AD00-9B7AABC6FA56}"/>
    <cellStyle name="Вычисление 3" xfId="8051" xr:uid="{AD336D47-6D5F-426B-A1EF-FCA161714E92}"/>
    <cellStyle name="Вычисление 4" xfId="8013" xr:uid="{8392E452-3B99-4AA2-8074-4B75D966B0F2}"/>
    <cellStyle name="Денежный" xfId="11" builtinId="4"/>
    <cellStyle name="Денежный 10" xfId="7940" xr:uid="{EE38A766-AA9C-4FEC-8401-AC7ADC51186E}"/>
    <cellStyle name="Денежный 11" xfId="8054" xr:uid="{83C1C142-97F6-4450-B6A9-563D09F8F898}"/>
    <cellStyle name="Денежный 2" xfId="13" xr:uid="{00000000-0005-0000-0000-00004A170000}"/>
    <cellStyle name="Денежный 2 10" xfId="11949" xr:uid="{6FF4008D-226B-4157-8F9E-36029A45712B}"/>
    <cellStyle name="Денежный 2 2" xfId="794" xr:uid="{00000000-0005-0000-0000-00004B170000}"/>
    <cellStyle name="Денежный 2 2 2" xfId="2574" xr:uid="{00000000-0005-0000-0000-00004C170000}"/>
    <cellStyle name="Денежный 2 2 2 2" xfId="6471" xr:uid="{00000000-0005-0000-0000-00004D170000}"/>
    <cellStyle name="Денежный 2 2 2 3" xfId="7954" xr:uid="{17A9038C-D5BD-44E6-84BC-5B35E3CFE3CF}"/>
    <cellStyle name="Денежный 2 2 2 4" xfId="10480" xr:uid="{A8428E4A-E0E8-444E-92D7-24498E728D0E}"/>
    <cellStyle name="Денежный 2 2 3" xfId="3913" xr:uid="{00000000-0005-0000-0000-00004E170000}"/>
    <cellStyle name="Денежный 2 2 3 2" xfId="7807" xr:uid="{00000000-0005-0000-0000-00004F170000}"/>
    <cellStyle name="Денежный 2 2 3 3" xfId="7964" xr:uid="{4E227F6F-BB62-4A46-ACF3-976D35106B9D}"/>
    <cellStyle name="Денежный 2 2 3 4" xfId="11816" xr:uid="{43715984-01EC-4FE7-AAB2-45FB02A8BEAD}"/>
    <cellStyle name="Денежный 2 2 4" xfId="4695" xr:uid="{00000000-0005-0000-0000-000050170000}"/>
    <cellStyle name="Денежный 2 2 5" xfId="7948" xr:uid="{EA808C55-0D0B-468A-BDFA-4A801764D6DB}"/>
    <cellStyle name="Денежный 2 2 6" xfId="8704" xr:uid="{238973D2-A3BA-4653-AC00-DDCD222CE357}"/>
    <cellStyle name="Денежный 2 2 7" xfId="12595" xr:uid="{8C10A263-5F21-4977-9325-E9DB9689FD96}"/>
    <cellStyle name="Денежный 2 3" xfId="1571" xr:uid="{00000000-0005-0000-0000-000051170000}"/>
    <cellStyle name="Денежный 2 3 2" xfId="2575" xr:uid="{00000000-0005-0000-0000-000052170000}"/>
    <cellStyle name="Денежный 2 3 2 2" xfId="6472" xr:uid="{00000000-0005-0000-0000-000053170000}"/>
    <cellStyle name="Денежный 2 3 2 3" xfId="7955" xr:uid="{7145714F-2EA0-42F9-BC6C-D4B21DF71353}"/>
    <cellStyle name="Денежный 2 3 2 4" xfId="10481" xr:uid="{50906219-9BD2-4D79-8A69-E0705F009BD9}"/>
    <cellStyle name="Денежный 2 3 3" xfId="5472" xr:uid="{00000000-0005-0000-0000-000054170000}"/>
    <cellStyle name="Денежный 2 3 4" xfId="7951" xr:uid="{49E9F53F-D297-49F5-BBBE-5D9BC42EEEBC}"/>
    <cellStyle name="Денежный 2 3 5" xfId="9481" xr:uid="{C5455BB0-AA0D-4A0C-977B-9B84B8202754}"/>
    <cellStyle name="Денежный 2 3 6" xfId="13372" xr:uid="{F069DA90-8AC2-4A63-B5EB-7642F0CE3798}"/>
    <cellStyle name="Денежный 2 4" xfId="2573" xr:uid="{00000000-0005-0000-0000-000055170000}"/>
    <cellStyle name="Денежный 2 4 2" xfId="6470" xr:uid="{00000000-0005-0000-0000-000056170000}"/>
    <cellStyle name="Денежный 2 4 3" xfId="7953" xr:uid="{C36AC493-33CB-4435-85F1-AF46B287FFF0}"/>
    <cellStyle name="Денежный 2 4 4" xfId="10479" xr:uid="{15DFF11C-5300-4700-AEC4-307E9B1ED90D}"/>
    <cellStyle name="Денежный 2 5" xfId="2872" xr:uid="{00000000-0005-0000-0000-000057170000}"/>
    <cellStyle name="Денежный 2 5 2" xfId="6766" xr:uid="{00000000-0005-0000-0000-000058170000}"/>
    <cellStyle name="Денежный 2 5 3" xfId="7961" xr:uid="{3A97E034-2C18-4910-9D9E-2B68CCE9D5D3}"/>
    <cellStyle name="Денежный 2 5 4" xfId="10775" xr:uid="{6A9679E7-8B12-4601-B4A1-3C09F2F460E3}"/>
    <cellStyle name="Денежный 2 6" xfId="4049" xr:uid="{00000000-0005-0000-0000-000059170000}"/>
    <cellStyle name="Денежный 2 6 2" xfId="7944" xr:uid="{4C2533F8-B052-4D83-88D1-520D3097EE64}"/>
    <cellStyle name="Денежный 2 6 3" xfId="8058" xr:uid="{2F417E6B-4F8A-4D91-88BF-69672CBDC0CE}"/>
    <cellStyle name="Денежный 2 7" xfId="4047" xr:uid="{00000000-0005-0000-0000-00005A170000}"/>
    <cellStyle name="Денежный 2 8" xfId="7941" xr:uid="{8E55FB6C-10D5-457B-BB5B-3CF257FAD13D}"/>
    <cellStyle name="Денежный 2 9" xfId="8055" xr:uid="{BD8C61E8-0349-4362-A664-722311C010B6}"/>
    <cellStyle name="Денежный 3" xfId="15" xr:uid="{00000000-0005-0000-0000-00005B170000}"/>
    <cellStyle name="Денежный 3 2" xfId="793" xr:uid="{00000000-0005-0000-0000-00005C170000}"/>
    <cellStyle name="Денежный 3 2 2" xfId="3912" xr:uid="{00000000-0005-0000-0000-00005D170000}"/>
    <cellStyle name="Денежный 3 2 2 2" xfId="7806" xr:uid="{00000000-0005-0000-0000-00005E170000}"/>
    <cellStyle name="Денежный 3 2 2 3" xfId="7963" xr:uid="{5BB450F3-105B-4B39-B6F6-8D1FBEEF29C7}"/>
    <cellStyle name="Денежный 3 2 2 4" xfId="11815" xr:uid="{B03E0C7F-4D3D-47A0-A527-170D8ACF7398}"/>
    <cellStyle name="Денежный 3 2 3" xfId="4694" xr:uid="{00000000-0005-0000-0000-00005F170000}"/>
    <cellStyle name="Денежный 3 2 4" xfId="7947" xr:uid="{1EC295E9-5AFB-4A64-92FE-0E990F2675DD}"/>
    <cellStyle name="Денежный 3 2 5" xfId="8703" xr:uid="{7EF48E66-5142-44DC-B4DE-F038E56FDFD0}"/>
    <cellStyle name="Денежный 3 2 6" xfId="12594" xr:uid="{4CF3EF16-EA24-4E7A-BDDB-AC05D65A76BA}"/>
    <cellStyle name="Денежный 3 3" xfId="1570" xr:uid="{00000000-0005-0000-0000-000060170000}"/>
    <cellStyle name="Денежный 3 3 2" xfId="5471" xr:uid="{00000000-0005-0000-0000-000061170000}"/>
    <cellStyle name="Денежный 3 3 3" xfId="7950" xr:uid="{E8001F87-27A4-4AC8-BD6B-93D22F6EE1AB}"/>
    <cellStyle name="Денежный 3 3 4" xfId="9480" xr:uid="{DF157045-3FA2-4B3A-979B-326A8B0E2309}"/>
    <cellStyle name="Денежный 3 3 5" xfId="13371" xr:uid="{81A415E0-3A58-436F-BC76-B2387B023402}"/>
    <cellStyle name="Денежный 3 4" xfId="2576" xr:uid="{00000000-0005-0000-0000-000062170000}"/>
    <cellStyle name="Денежный 3 4 2" xfId="6473" xr:uid="{00000000-0005-0000-0000-000063170000}"/>
    <cellStyle name="Денежный 3 4 3" xfId="7956" xr:uid="{762A87AE-6904-4570-9143-F54E73560C15}"/>
    <cellStyle name="Денежный 3 4 4" xfId="10482" xr:uid="{C4D66D6B-FC14-4EF8-818E-BC1BDB308B18}"/>
    <cellStyle name="Денежный 3 5" xfId="2871" xr:uid="{00000000-0005-0000-0000-000064170000}"/>
    <cellStyle name="Денежный 3 5 2" xfId="6765" xr:uid="{00000000-0005-0000-0000-000065170000}"/>
    <cellStyle name="Денежный 3 5 3" xfId="7960" xr:uid="{053BD44C-2E8D-46AA-B9AE-2B8768152AB2}"/>
    <cellStyle name="Денежный 3 5 4" xfId="10774" xr:uid="{61435509-2A68-4249-AE9C-A7C0EFCC8FDC}"/>
    <cellStyle name="Денежный 3 6" xfId="4050" xr:uid="{00000000-0005-0000-0000-000066170000}"/>
    <cellStyle name="Денежный 3 6 2" xfId="7945" xr:uid="{FB9307E6-F92D-40B1-88A2-50B86E6633CB}"/>
    <cellStyle name="Денежный 3 6 3" xfId="8059" xr:uid="{D3EC0E29-3AA8-49EF-B0DE-B7CD4CF2AD3F}"/>
    <cellStyle name="Денежный 3 7" xfId="7942" xr:uid="{50DCB9DB-606C-4044-A5B8-0DC519079844}"/>
    <cellStyle name="Денежный 3 8" xfId="8056" xr:uid="{278730B9-9B4A-4160-91B0-38CF3082DBFF}"/>
    <cellStyle name="Денежный 3 9" xfId="11950" xr:uid="{A511EEBA-F3D4-4AE5-9538-D88B574C05F3}"/>
    <cellStyle name="Денежный 4" xfId="790" xr:uid="{00000000-0005-0000-0000-000067170000}"/>
    <cellStyle name="Денежный 4 2" xfId="2577" xr:uid="{00000000-0005-0000-0000-000068170000}"/>
    <cellStyle name="Денежный 4 2 2" xfId="6474" xr:uid="{00000000-0005-0000-0000-000069170000}"/>
    <cellStyle name="Денежный 4 2 3" xfId="7957" xr:uid="{95FC9627-578F-46D0-8BD3-7A2BE22C2505}"/>
    <cellStyle name="Денежный 4 2 4" xfId="10483" xr:uid="{4289B494-37C9-4906-B7DF-B6DD4FA12174}"/>
    <cellStyle name="Денежный 4 3" xfId="3911" xr:uid="{00000000-0005-0000-0000-00006A170000}"/>
    <cellStyle name="Денежный 4 3 2" xfId="7805" xr:uid="{00000000-0005-0000-0000-00006B170000}"/>
    <cellStyle name="Денежный 4 3 3" xfId="7962" xr:uid="{89664CFF-A6E4-4B69-861B-83EC744E94B2}"/>
    <cellStyle name="Денежный 4 3 4" xfId="11814" xr:uid="{979754F5-D1D7-4A4F-9FBB-F27A1AEB8539}"/>
    <cellStyle name="Денежный 4 4" xfId="4693" xr:uid="{00000000-0005-0000-0000-00006C170000}"/>
    <cellStyle name="Денежный 4 5" xfId="7946" xr:uid="{E60DC9D8-0A2A-4FF6-8B5D-7805544B9489}"/>
    <cellStyle name="Денежный 4 6" xfId="8702" xr:uid="{A0224F3D-F093-42FD-8438-1D791D4B1729}"/>
    <cellStyle name="Денежный 4 7" xfId="12593" xr:uid="{D5137C19-4B90-4203-B519-480F209A1D7B}"/>
    <cellStyle name="Денежный 5" xfId="927" xr:uid="{00000000-0005-0000-0000-00006D170000}"/>
    <cellStyle name="Денежный 5 2" xfId="2578" xr:uid="{00000000-0005-0000-0000-00006E170000}"/>
    <cellStyle name="Денежный 5 2 2" xfId="6475" xr:uid="{00000000-0005-0000-0000-00006F170000}"/>
    <cellStyle name="Денежный 5 2 3" xfId="7958" xr:uid="{6C9FCF10-4A9B-400E-843C-014AE892A320}"/>
    <cellStyle name="Денежный 5 2 4" xfId="10484" xr:uid="{F2416DAF-68B9-4DBD-81CB-750BB529B936}"/>
    <cellStyle name="Денежный 5 3" xfId="4828" xr:uid="{00000000-0005-0000-0000-000070170000}"/>
    <cellStyle name="Денежный 5 4" xfId="7949" xr:uid="{9DB2CF1C-F5EC-426A-B997-260CB6E2A61D}"/>
    <cellStyle name="Денежный 5 5" xfId="8837" xr:uid="{065EC33E-02B7-44D8-B289-16EE20608297}"/>
    <cellStyle name="Денежный 5 6" xfId="12728" xr:uid="{2719F3F8-E0C3-43D9-8122-FDD537833FD2}"/>
    <cellStyle name="Денежный 6" xfId="2572" xr:uid="{00000000-0005-0000-0000-000071170000}"/>
    <cellStyle name="Денежный 6 2" xfId="6469" xr:uid="{00000000-0005-0000-0000-000072170000}"/>
    <cellStyle name="Денежный 6 3" xfId="7952" xr:uid="{2039A2AE-3F28-47EC-8CA4-F33CD491D763}"/>
    <cellStyle name="Денежный 6 4" xfId="10478" xr:uid="{DE367199-4AD0-4FD9-A8D5-EEE5A49C3C08}"/>
    <cellStyle name="Денежный 7" xfId="2870" xr:uid="{00000000-0005-0000-0000-000073170000}"/>
    <cellStyle name="Денежный 7 2" xfId="6764" xr:uid="{00000000-0005-0000-0000-000074170000}"/>
    <cellStyle name="Денежный 7 3" xfId="7959" xr:uid="{C6C9160A-1829-4613-A421-81B503BAFCC4}"/>
    <cellStyle name="Денежный 7 4" xfId="10773" xr:uid="{B3B8B817-6396-4DEA-A28B-466374830886}"/>
    <cellStyle name="Денежный 8" xfId="4048" xr:uid="{00000000-0005-0000-0000-000075170000}"/>
    <cellStyle name="Денежный 8 2" xfId="7943" xr:uid="{5F9DEED2-254D-4767-B3EC-B0907772BFD9}"/>
    <cellStyle name="Денежный 8 3" xfId="8057" xr:uid="{384C1EA9-D81C-47A7-A682-7BBD28E00D45}"/>
    <cellStyle name="Денежный 9" xfId="4046" xr:uid="{00000000-0005-0000-0000-000076170000}"/>
    <cellStyle name="Заголовок 1 2" xfId="48" xr:uid="{00000000-0005-0000-0000-000077170000}"/>
    <cellStyle name="Заголовок 1 2 2" xfId="150" xr:uid="{00000000-0005-0000-0000-000078170000}"/>
    <cellStyle name="Заголовок 2 2" xfId="49" xr:uid="{00000000-0005-0000-0000-000079170000}"/>
    <cellStyle name="Заголовок 2 2 2" xfId="151" xr:uid="{00000000-0005-0000-0000-00007A170000}"/>
    <cellStyle name="Заголовок 3 2" xfId="50" xr:uid="{00000000-0005-0000-0000-00007B170000}"/>
    <cellStyle name="Заголовок 3 2 2" xfId="152" xr:uid="{00000000-0005-0000-0000-00007C170000}"/>
    <cellStyle name="Заголовок 4 2" xfId="51" xr:uid="{00000000-0005-0000-0000-00007D170000}"/>
    <cellStyle name="Заголовок 4 2 2" xfId="153" xr:uid="{00000000-0005-0000-0000-00007E170000}"/>
    <cellStyle name="Итог 2" xfId="52" xr:uid="{00000000-0005-0000-0000-00007F170000}"/>
    <cellStyle name="Итог 2 10" xfId="2579" xr:uid="{00000000-0005-0000-0000-000080170000}"/>
    <cellStyle name="Итог 2 10 2" xfId="6476" xr:uid="{00000000-0005-0000-0000-000081170000}"/>
    <cellStyle name="Итог 2 10 3" xfId="10485" xr:uid="{19DA998D-F0CA-43C4-ACFD-F859DED0C444}"/>
    <cellStyle name="Итог 2 11" xfId="2876" xr:uid="{00000000-0005-0000-0000-000082170000}"/>
    <cellStyle name="Итог 2 11 2" xfId="6770" xr:uid="{00000000-0005-0000-0000-000083170000}"/>
    <cellStyle name="Итог 2 11 3" xfId="10779" xr:uid="{C2B4DE04-06FC-4BB7-87DE-93D4D77AD32A}"/>
    <cellStyle name="Итог 2 12" xfId="4054" xr:uid="{00000000-0005-0000-0000-000084170000}"/>
    <cellStyle name="Итог 2 13" xfId="8063" xr:uid="{D571A227-DEB9-4E33-91C0-2C8C63026D12}"/>
    <cellStyle name="Итог 2 14" xfId="11954" xr:uid="{12AC3D76-6157-4AE5-818C-4085B0BABED7}"/>
    <cellStyle name="Итог 2 15" xfId="13390" xr:uid="{95BC43D3-216A-4118-8A55-C2B182DF773E}"/>
    <cellStyle name="Итог 2 2" xfId="110" xr:uid="{00000000-0005-0000-0000-000085170000}"/>
    <cellStyle name="Итог 2 2 10" xfId="4064" xr:uid="{00000000-0005-0000-0000-000086170000}"/>
    <cellStyle name="Итог 2 2 11" xfId="8073" xr:uid="{F0D894A6-2A37-4D94-8B16-2ED78D3A35EB}"/>
    <cellStyle name="Итог 2 2 12" xfId="11964" xr:uid="{854674D0-E5DA-4346-92D3-3D9B65FE9356}"/>
    <cellStyle name="Итог 2 2 13" xfId="13400" xr:uid="{A3C251BD-5E7D-4815-987D-038049CECEAB}"/>
    <cellStyle name="Итог 2 2 2" xfId="186" xr:uid="{00000000-0005-0000-0000-000087170000}"/>
    <cellStyle name="Итог 2 2 2 10" xfId="8111" xr:uid="{2E3BF280-98FD-4994-B81A-293E381B97E3}"/>
    <cellStyle name="Итог 2 2 2 11" xfId="12002" xr:uid="{1D34F7FD-DECE-4790-8AA3-4E08D41766C8}"/>
    <cellStyle name="Итог 2 2 2 12" xfId="13438" xr:uid="{1C5B7FB2-A6B5-43A2-A895-C2299C03B930}"/>
    <cellStyle name="Итог 2 2 2 2" xfId="287" xr:uid="{00000000-0005-0000-0000-000088170000}"/>
    <cellStyle name="Итог 2 2 2 2 10" xfId="13536" xr:uid="{54B57949-84F8-49C0-B5EE-9675D331C44D}"/>
    <cellStyle name="Итог 2 2 2 2 2" xfId="443" xr:uid="{00000000-0005-0000-0000-000089170000}"/>
    <cellStyle name="Итог 2 2 2 2 2 2" xfId="773" xr:uid="{00000000-0005-0000-0000-00008A170000}"/>
    <cellStyle name="Итог 2 2 2 2 2 2 2" xfId="1554" xr:uid="{00000000-0005-0000-0000-00008B170000}"/>
    <cellStyle name="Итог 2 2 2 2 2 2 2 2" xfId="2585" xr:uid="{00000000-0005-0000-0000-00008C170000}"/>
    <cellStyle name="Итог 2 2 2 2 2 2 2 2 2" xfId="6482" xr:uid="{00000000-0005-0000-0000-00008D170000}"/>
    <cellStyle name="Итог 2 2 2 2 2 2 2 2 3" xfId="10491" xr:uid="{78DDD313-1E50-48DA-9335-A0F5BD327C0B}"/>
    <cellStyle name="Итог 2 2 2 2 2 2 2 3" xfId="3902" xr:uid="{00000000-0005-0000-0000-00008E170000}"/>
    <cellStyle name="Итог 2 2 2 2 2 2 2 3 2" xfId="7796" xr:uid="{00000000-0005-0000-0000-00008F170000}"/>
    <cellStyle name="Итог 2 2 2 2 2 2 2 3 3" xfId="11805" xr:uid="{778BB9E1-9E33-464C-8F00-40ED42230285}"/>
    <cellStyle name="Итог 2 2 2 2 2 2 2 4" xfId="5455" xr:uid="{00000000-0005-0000-0000-000090170000}"/>
    <cellStyle name="Итог 2 2 2 2 2 2 2 5" xfId="9464" xr:uid="{2873698C-9992-46C5-B0D3-D61E60E209BB}"/>
    <cellStyle name="Итог 2 2 2 2 2 2 2 6" xfId="13355" xr:uid="{51DDC386-A174-4C13-B43D-8CD6D185576A}"/>
    <cellStyle name="Итог 2 2 2 2 2 2 3" xfId="2584" xr:uid="{00000000-0005-0000-0000-000091170000}"/>
    <cellStyle name="Итог 2 2 2 2 2 2 3 2" xfId="6481" xr:uid="{00000000-0005-0000-0000-000092170000}"/>
    <cellStyle name="Итог 2 2 2 2 2 2 3 3" xfId="10490" xr:uid="{B339BF04-0E36-4A4C-A281-A1A9026ED426}"/>
    <cellStyle name="Итог 2 2 2 2 2 2 4" xfId="3499" xr:uid="{00000000-0005-0000-0000-000093170000}"/>
    <cellStyle name="Итог 2 2 2 2 2 2 4 2" xfId="7393" xr:uid="{00000000-0005-0000-0000-000094170000}"/>
    <cellStyle name="Итог 2 2 2 2 2 2 4 3" xfId="11402" xr:uid="{7AA5E0DE-AFC6-40FE-BFAE-0DE3AA865918}"/>
    <cellStyle name="Итог 2 2 2 2 2 2 5" xfId="4677" xr:uid="{00000000-0005-0000-0000-000095170000}"/>
    <cellStyle name="Итог 2 2 2 2 2 2 6" xfId="8686" xr:uid="{61BEE46F-2D18-4509-849D-998436D3081F}"/>
    <cellStyle name="Итог 2 2 2 2 2 2 7" xfId="12577" xr:uid="{3192BF19-9EA3-4545-8F19-274E372C88CD}"/>
    <cellStyle name="Итог 2 2 2 2 2 3" xfId="1233" xr:uid="{00000000-0005-0000-0000-000096170000}"/>
    <cellStyle name="Итог 2 2 2 2 2 3 2" xfId="2586" xr:uid="{00000000-0005-0000-0000-000097170000}"/>
    <cellStyle name="Итог 2 2 2 2 2 3 2 2" xfId="6483" xr:uid="{00000000-0005-0000-0000-000098170000}"/>
    <cellStyle name="Итог 2 2 2 2 2 3 2 3" xfId="10492" xr:uid="{2372CDF2-B0E6-49F6-9E16-FBC4C460C1F2}"/>
    <cellStyle name="Итог 2 2 2 2 2 3 3" xfId="3704" xr:uid="{00000000-0005-0000-0000-000099170000}"/>
    <cellStyle name="Итог 2 2 2 2 2 3 3 2" xfId="7598" xr:uid="{00000000-0005-0000-0000-00009A170000}"/>
    <cellStyle name="Итог 2 2 2 2 2 3 3 3" xfId="11607" xr:uid="{7792333F-3E7C-4DAC-BA4C-102A5064DC8D}"/>
    <cellStyle name="Итог 2 2 2 2 2 3 4" xfId="5134" xr:uid="{00000000-0005-0000-0000-00009B170000}"/>
    <cellStyle name="Итог 2 2 2 2 2 3 5" xfId="9143" xr:uid="{21081826-8BD9-48BC-BD6F-03A9E1DD2EAD}"/>
    <cellStyle name="Итог 2 2 2 2 2 3 6" xfId="13034" xr:uid="{AE3809AF-3D5A-4E0B-9B7D-63C7026CADC0}"/>
    <cellStyle name="Итог 2 2 2 2 2 4" xfId="2583" xr:uid="{00000000-0005-0000-0000-00009C170000}"/>
    <cellStyle name="Итог 2 2 2 2 2 4 2" xfId="6480" xr:uid="{00000000-0005-0000-0000-00009D170000}"/>
    <cellStyle name="Итог 2 2 2 2 2 4 3" xfId="10489" xr:uid="{690E184F-6D29-489B-A3E4-91D735318E9C}"/>
    <cellStyle name="Итог 2 2 2 2 2 5" xfId="3178" xr:uid="{00000000-0005-0000-0000-00009E170000}"/>
    <cellStyle name="Итог 2 2 2 2 2 5 2" xfId="7072" xr:uid="{00000000-0005-0000-0000-00009F170000}"/>
    <cellStyle name="Итог 2 2 2 2 2 5 3" xfId="11081" xr:uid="{F8F59C69-99C9-46E2-B588-92CB453E3972}"/>
    <cellStyle name="Итог 2 2 2 2 2 6" xfId="4356" xr:uid="{00000000-0005-0000-0000-0000A0170000}"/>
    <cellStyle name="Итог 2 2 2 2 2 7" xfId="8365" xr:uid="{EF3B47CD-AD03-4C09-AF1A-3679B3186F78}"/>
    <cellStyle name="Итог 2 2 2 2 2 8" xfId="12256" xr:uid="{03A0CCAB-3A91-4F00-BFB3-8F4FEA9A9EE9}"/>
    <cellStyle name="Итог 2 2 2 2 3" xfId="617" xr:uid="{00000000-0005-0000-0000-0000A1170000}"/>
    <cellStyle name="Итог 2 2 2 2 3 2" xfId="1398" xr:uid="{00000000-0005-0000-0000-0000A2170000}"/>
    <cellStyle name="Итог 2 2 2 2 3 2 2" xfId="2588" xr:uid="{00000000-0005-0000-0000-0000A3170000}"/>
    <cellStyle name="Итог 2 2 2 2 3 2 2 2" xfId="6485" xr:uid="{00000000-0005-0000-0000-0000A4170000}"/>
    <cellStyle name="Итог 2 2 2 2 3 2 2 3" xfId="10494" xr:uid="{B7BC1EAA-9527-416E-A59A-711B62C0C793}"/>
    <cellStyle name="Итог 2 2 2 2 3 2 3" xfId="3803" xr:uid="{00000000-0005-0000-0000-0000A5170000}"/>
    <cellStyle name="Итог 2 2 2 2 3 2 3 2" xfId="7697" xr:uid="{00000000-0005-0000-0000-0000A6170000}"/>
    <cellStyle name="Итог 2 2 2 2 3 2 3 3" xfId="11706" xr:uid="{DBA5B1E0-E360-43E2-AC2C-A1FEB423DDE9}"/>
    <cellStyle name="Итог 2 2 2 2 3 2 4" xfId="5299" xr:uid="{00000000-0005-0000-0000-0000A7170000}"/>
    <cellStyle name="Итог 2 2 2 2 3 2 5" xfId="9308" xr:uid="{2E7EC568-2D24-43D5-BBA7-CCAD9DC751A5}"/>
    <cellStyle name="Итог 2 2 2 2 3 2 6" xfId="13199" xr:uid="{2476B43F-EE7B-429B-9B38-8847597CC884}"/>
    <cellStyle name="Итог 2 2 2 2 3 3" xfId="2587" xr:uid="{00000000-0005-0000-0000-0000A8170000}"/>
    <cellStyle name="Итог 2 2 2 2 3 3 2" xfId="6484" xr:uid="{00000000-0005-0000-0000-0000A9170000}"/>
    <cellStyle name="Итог 2 2 2 2 3 3 3" xfId="10493" xr:uid="{921BEB42-90FC-475C-8AAF-6741E62FFC01}"/>
    <cellStyle name="Итог 2 2 2 2 3 4" xfId="3343" xr:uid="{00000000-0005-0000-0000-0000AA170000}"/>
    <cellStyle name="Итог 2 2 2 2 3 4 2" xfId="7237" xr:uid="{00000000-0005-0000-0000-0000AB170000}"/>
    <cellStyle name="Итог 2 2 2 2 3 4 3" xfId="11246" xr:uid="{CBB4BD9F-43A5-46CA-9783-01E91364D54F}"/>
    <cellStyle name="Итог 2 2 2 2 3 5" xfId="4521" xr:uid="{00000000-0005-0000-0000-0000AC170000}"/>
    <cellStyle name="Итог 2 2 2 2 3 6" xfId="8530" xr:uid="{F617DC3F-F995-424A-9DD2-2F7A3EB020FA}"/>
    <cellStyle name="Итог 2 2 2 2 3 7" xfId="12421" xr:uid="{50F74610-EBC1-4827-967F-B214384D2AE5}"/>
    <cellStyle name="Итог 2 2 2 2 4" xfId="1077" xr:uid="{00000000-0005-0000-0000-0000AD170000}"/>
    <cellStyle name="Итог 2 2 2 2 4 2" xfId="2589" xr:uid="{00000000-0005-0000-0000-0000AE170000}"/>
    <cellStyle name="Итог 2 2 2 2 4 2 2" xfId="6486" xr:uid="{00000000-0005-0000-0000-0000AF170000}"/>
    <cellStyle name="Итог 2 2 2 2 4 2 3" xfId="10495" xr:uid="{3F3BF4E6-7738-433D-B88C-6D3B2489BAC4}"/>
    <cellStyle name="Итог 2 2 2 2 4 3" xfId="3605" xr:uid="{00000000-0005-0000-0000-0000B0170000}"/>
    <cellStyle name="Итог 2 2 2 2 4 3 2" xfId="7499" xr:uid="{00000000-0005-0000-0000-0000B1170000}"/>
    <cellStyle name="Итог 2 2 2 2 4 3 3" xfId="11508" xr:uid="{2C170BC7-DDD4-440B-A2C7-2581ACAB2E33}"/>
    <cellStyle name="Итог 2 2 2 2 4 4" xfId="4978" xr:uid="{00000000-0005-0000-0000-0000B2170000}"/>
    <cellStyle name="Итог 2 2 2 2 4 5" xfId="8987" xr:uid="{66454FE0-A905-44B7-A60B-69E3185310F0}"/>
    <cellStyle name="Итог 2 2 2 2 4 6" xfId="12878" xr:uid="{D65BB8BB-5477-4172-9199-472A41900070}"/>
    <cellStyle name="Итог 2 2 2 2 5" xfId="2582" xr:uid="{00000000-0005-0000-0000-0000B3170000}"/>
    <cellStyle name="Итог 2 2 2 2 5 2" xfId="6479" xr:uid="{00000000-0005-0000-0000-0000B4170000}"/>
    <cellStyle name="Итог 2 2 2 2 5 3" xfId="10488" xr:uid="{FA3C14D1-A911-40AD-8436-0B64BD1C6519}"/>
    <cellStyle name="Итог 2 2 2 2 6" xfId="3022" xr:uid="{00000000-0005-0000-0000-0000B5170000}"/>
    <cellStyle name="Итог 2 2 2 2 6 2" xfId="6916" xr:uid="{00000000-0005-0000-0000-0000B6170000}"/>
    <cellStyle name="Итог 2 2 2 2 6 3" xfId="10925" xr:uid="{40862A8F-4FDA-4CBE-8C93-66B2DCD50797}"/>
    <cellStyle name="Итог 2 2 2 2 7" xfId="4200" xr:uid="{00000000-0005-0000-0000-0000B7170000}"/>
    <cellStyle name="Итог 2 2 2 2 8" xfId="8209" xr:uid="{260C5200-0D21-4ED9-AEF7-AA4E21D05C78}"/>
    <cellStyle name="Итог 2 2 2 2 9" xfId="12100" xr:uid="{D41FF658-ECF9-40FA-B96F-AC80FCB0115F}"/>
    <cellStyle name="Итог 2 2 2 3" xfId="206" xr:uid="{00000000-0005-0000-0000-0000B8170000}"/>
    <cellStyle name="Итог 2 2 2 3 10" xfId="13455" xr:uid="{5FC555BB-08F0-4B5F-B501-9704F35F275A}"/>
    <cellStyle name="Итог 2 2 2 3 2" xfId="370" xr:uid="{00000000-0005-0000-0000-0000B9170000}"/>
    <cellStyle name="Итог 2 2 2 3 2 2" xfId="700" xr:uid="{00000000-0005-0000-0000-0000BA170000}"/>
    <cellStyle name="Итог 2 2 2 3 2 2 2" xfId="1481" xr:uid="{00000000-0005-0000-0000-0000BB170000}"/>
    <cellStyle name="Итог 2 2 2 3 2 2 2 2" xfId="2593" xr:uid="{00000000-0005-0000-0000-0000BC170000}"/>
    <cellStyle name="Итог 2 2 2 3 2 2 2 2 2" xfId="6490" xr:uid="{00000000-0005-0000-0000-0000BD170000}"/>
    <cellStyle name="Итог 2 2 2 3 2 2 2 2 3" xfId="10499" xr:uid="{7264F9CE-FBA1-411B-8417-B78705E178D7}"/>
    <cellStyle name="Итог 2 2 2 3 2 2 2 3" xfId="3854" xr:uid="{00000000-0005-0000-0000-0000BE170000}"/>
    <cellStyle name="Итог 2 2 2 3 2 2 2 3 2" xfId="7748" xr:uid="{00000000-0005-0000-0000-0000BF170000}"/>
    <cellStyle name="Итог 2 2 2 3 2 2 2 3 3" xfId="11757" xr:uid="{3BFD3178-241E-49F7-9E7F-3C2BAA28ABB7}"/>
    <cellStyle name="Итог 2 2 2 3 2 2 2 4" xfId="5382" xr:uid="{00000000-0005-0000-0000-0000C0170000}"/>
    <cellStyle name="Итог 2 2 2 3 2 2 2 5" xfId="9391" xr:uid="{23E3F30B-FCEF-4F77-A6B0-BC107C602E1E}"/>
    <cellStyle name="Итог 2 2 2 3 2 2 2 6" xfId="13282" xr:uid="{6EEFC7C1-27FB-443C-8708-7955B1F3D9F6}"/>
    <cellStyle name="Итог 2 2 2 3 2 2 3" xfId="2592" xr:uid="{00000000-0005-0000-0000-0000C1170000}"/>
    <cellStyle name="Итог 2 2 2 3 2 2 3 2" xfId="6489" xr:uid="{00000000-0005-0000-0000-0000C2170000}"/>
    <cellStyle name="Итог 2 2 2 3 2 2 3 3" xfId="10498" xr:uid="{A616F1E5-E48F-44F2-B7E6-63239BF159C6}"/>
    <cellStyle name="Итог 2 2 2 3 2 2 4" xfId="3426" xr:uid="{00000000-0005-0000-0000-0000C3170000}"/>
    <cellStyle name="Итог 2 2 2 3 2 2 4 2" xfId="7320" xr:uid="{00000000-0005-0000-0000-0000C4170000}"/>
    <cellStyle name="Итог 2 2 2 3 2 2 4 3" xfId="11329" xr:uid="{34288A20-24BE-4B65-90CB-3C484140B730}"/>
    <cellStyle name="Итог 2 2 2 3 2 2 5" xfId="4604" xr:uid="{00000000-0005-0000-0000-0000C5170000}"/>
    <cellStyle name="Итог 2 2 2 3 2 2 6" xfId="8613" xr:uid="{369204B7-9FBA-4F76-B5FD-019FB9E3C3FA}"/>
    <cellStyle name="Итог 2 2 2 3 2 2 7" xfId="12504" xr:uid="{DDB66884-69DC-4384-AB8D-BF6FBDB62C20}"/>
    <cellStyle name="Итог 2 2 2 3 2 3" xfId="1160" xr:uid="{00000000-0005-0000-0000-0000C6170000}"/>
    <cellStyle name="Итог 2 2 2 3 2 3 2" xfId="2594" xr:uid="{00000000-0005-0000-0000-0000C7170000}"/>
    <cellStyle name="Итог 2 2 2 3 2 3 2 2" xfId="6491" xr:uid="{00000000-0005-0000-0000-0000C8170000}"/>
    <cellStyle name="Итог 2 2 2 3 2 3 2 3" xfId="10500" xr:uid="{6C60B9F9-60F3-49D7-99AA-8E35A1626830}"/>
    <cellStyle name="Итог 2 2 2 3 2 3 3" xfId="3656" xr:uid="{00000000-0005-0000-0000-0000C9170000}"/>
    <cellStyle name="Итог 2 2 2 3 2 3 3 2" xfId="7550" xr:uid="{00000000-0005-0000-0000-0000CA170000}"/>
    <cellStyle name="Итог 2 2 2 3 2 3 3 3" xfId="11559" xr:uid="{8719E6A3-BCA8-4E4F-8F89-84AC727899A9}"/>
    <cellStyle name="Итог 2 2 2 3 2 3 4" xfId="5061" xr:uid="{00000000-0005-0000-0000-0000CB170000}"/>
    <cellStyle name="Итог 2 2 2 3 2 3 5" xfId="9070" xr:uid="{BBF1EBCD-11B7-4741-A904-469808244CBB}"/>
    <cellStyle name="Итог 2 2 2 3 2 3 6" xfId="12961" xr:uid="{6F6C5FF7-F5C7-4034-AD27-0452599BE38F}"/>
    <cellStyle name="Итог 2 2 2 3 2 4" xfId="2591" xr:uid="{00000000-0005-0000-0000-0000CC170000}"/>
    <cellStyle name="Итог 2 2 2 3 2 4 2" xfId="6488" xr:uid="{00000000-0005-0000-0000-0000CD170000}"/>
    <cellStyle name="Итог 2 2 2 3 2 4 3" xfId="10497" xr:uid="{4D9A05CB-881D-4056-AFD4-D5E745B5EA2B}"/>
    <cellStyle name="Итог 2 2 2 3 2 5" xfId="3105" xr:uid="{00000000-0005-0000-0000-0000CE170000}"/>
    <cellStyle name="Итог 2 2 2 3 2 5 2" xfId="6999" xr:uid="{00000000-0005-0000-0000-0000CF170000}"/>
    <cellStyle name="Итог 2 2 2 3 2 5 3" xfId="11008" xr:uid="{46FCA527-2957-4185-A799-21A3D2F4CBC1}"/>
    <cellStyle name="Итог 2 2 2 3 2 6" xfId="4283" xr:uid="{00000000-0005-0000-0000-0000D0170000}"/>
    <cellStyle name="Итог 2 2 2 3 2 7" xfId="8292" xr:uid="{D0DD3540-DCFC-4672-95B3-98AFBF82125C}"/>
    <cellStyle name="Итог 2 2 2 3 2 8" xfId="12183" xr:uid="{E85EE406-9ABC-4356-8E26-F7E6BF16C3F3}"/>
    <cellStyle name="Итог 2 2 2 3 3" xfId="536" xr:uid="{00000000-0005-0000-0000-0000D1170000}"/>
    <cellStyle name="Итог 2 2 2 3 3 2" xfId="1317" xr:uid="{00000000-0005-0000-0000-0000D2170000}"/>
    <cellStyle name="Итог 2 2 2 3 3 2 2" xfId="2596" xr:uid="{00000000-0005-0000-0000-0000D3170000}"/>
    <cellStyle name="Итог 2 2 2 3 3 2 2 2" xfId="6493" xr:uid="{00000000-0005-0000-0000-0000D4170000}"/>
    <cellStyle name="Итог 2 2 2 3 3 2 2 3" xfId="10502" xr:uid="{C8CF9946-12B2-4C5B-A4C5-B3711E481587}"/>
    <cellStyle name="Итог 2 2 2 3 3 2 3" xfId="3755" xr:uid="{00000000-0005-0000-0000-0000D5170000}"/>
    <cellStyle name="Итог 2 2 2 3 3 2 3 2" xfId="7649" xr:uid="{00000000-0005-0000-0000-0000D6170000}"/>
    <cellStyle name="Итог 2 2 2 3 3 2 3 3" xfId="11658" xr:uid="{F4249C6D-2EF7-498D-9F52-1E08E9114D94}"/>
    <cellStyle name="Итог 2 2 2 3 3 2 4" xfId="5218" xr:uid="{00000000-0005-0000-0000-0000D7170000}"/>
    <cellStyle name="Итог 2 2 2 3 3 2 5" xfId="9227" xr:uid="{4D23AAEC-7A56-424C-9628-B8B626E9115F}"/>
    <cellStyle name="Итог 2 2 2 3 3 2 6" xfId="13118" xr:uid="{E6CB2E2D-5150-4B13-9748-42E9FA8D513D}"/>
    <cellStyle name="Итог 2 2 2 3 3 3" xfId="2595" xr:uid="{00000000-0005-0000-0000-0000D8170000}"/>
    <cellStyle name="Итог 2 2 2 3 3 3 2" xfId="6492" xr:uid="{00000000-0005-0000-0000-0000D9170000}"/>
    <cellStyle name="Итог 2 2 2 3 3 3 3" xfId="10501" xr:uid="{060D00ED-C131-453B-877A-3901CABB82C3}"/>
    <cellStyle name="Итог 2 2 2 3 3 4" xfId="3262" xr:uid="{00000000-0005-0000-0000-0000DA170000}"/>
    <cellStyle name="Итог 2 2 2 3 3 4 2" xfId="7156" xr:uid="{00000000-0005-0000-0000-0000DB170000}"/>
    <cellStyle name="Итог 2 2 2 3 3 4 3" xfId="11165" xr:uid="{02461CD0-4DA6-487E-9847-1225E3D98D10}"/>
    <cellStyle name="Итог 2 2 2 3 3 5" xfId="4440" xr:uid="{00000000-0005-0000-0000-0000DC170000}"/>
    <cellStyle name="Итог 2 2 2 3 3 6" xfId="8449" xr:uid="{B53B2CEE-82DF-441D-9B10-CEA5C75A6954}"/>
    <cellStyle name="Итог 2 2 2 3 3 7" xfId="12340" xr:uid="{E3C037B0-C1BF-4581-8E84-E8BD3F98F703}"/>
    <cellStyle name="Итог 2 2 2 3 4" xfId="996" xr:uid="{00000000-0005-0000-0000-0000DD170000}"/>
    <cellStyle name="Итог 2 2 2 3 4 2" xfId="2597" xr:uid="{00000000-0005-0000-0000-0000DE170000}"/>
    <cellStyle name="Итог 2 2 2 3 4 2 2" xfId="6494" xr:uid="{00000000-0005-0000-0000-0000DF170000}"/>
    <cellStyle name="Итог 2 2 2 3 4 2 3" xfId="10503" xr:uid="{95D86F5E-EB53-4DEF-A437-A40CDBD72268}"/>
    <cellStyle name="Итог 2 2 2 3 4 3" xfId="3557" xr:uid="{00000000-0005-0000-0000-0000E0170000}"/>
    <cellStyle name="Итог 2 2 2 3 4 3 2" xfId="7451" xr:uid="{00000000-0005-0000-0000-0000E1170000}"/>
    <cellStyle name="Итог 2 2 2 3 4 3 3" xfId="11460" xr:uid="{638FED95-5F2D-4784-8FE9-9E8493CB3A16}"/>
    <cellStyle name="Итог 2 2 2 3 4 4" xfId="4897" xr:uid="{00000000-0005-0000-0000-0000E2170000}"/>
    <cellStyle name="Итог 2 2 2 3 4 5" xfId="8906" xr:uid="{D33724AE-C4ED-4AAD-8337-4F713930A745}"/>
    <cellStyle name="Итог 2 2 2 3 4 6" xfId="12797" xr:uid="{B59A4C18-4ECA-48FB-875E-70BA8C3845CE}"/>
    <cellStyle name="Итог 2 2 2 3 5" xfId="2590" xr:uid="{00000000-0005-0000-0000-0000E3170000}"/>
    <cellStyle name="Итог 2 2 2 3 5 2" xfId="6487" xr:uid="{00000000-0005-0000-0000-0000E4170000}"/>
    <cellStyle name="Итог 2 2 2 3 5 3" xfId="10496" xr:uid="{A4C3104D-BAD4-4D92-A2F0-44F10D095FF0}"/>
    <cellStyle name="Итог 2 2 2 3 6" xfId="2941" xr:uid="{00000000-0005-0000-0000-0000E5170000}"/>
    <cellStyle name="Итог 2 2 2 3 6 2" xfId="6835" xr:uid="{00000000-0005-0000-0000-0000E6170000}"/>
    <cellStyle name="Итог 2 2 2 3 6 3" xfId="10844" xr:uid="{7336569A-FEF4-448D-8849-ED64D532576E}"/>
    <cellStyle name="Итог 2 2 2 3 7" xfId="4119" xr:uid="{00000000-0005-0000-0000-0000E7170000}"/>
    <cellStyle name="Итог 2 2 2 3 8" xfId="8128" xr:uid="{ECDE7985-E7F0-414F-8EDE-42CC72A024BB}"/>
    <cellStyle name="Итог 2 2 2 3 9" xfId="12019" xr:uid="{9D315EBF-51C5-4562-A23A-20A96C2C1177}"/>
    <cellStyle name="Итог 2 2 2 4" xfId="354" xr:uid="{00000000-0005-0000-0000-0000E8170000}"/>
    <cellStyle name="Итог 2 2 2 4 2" xfId="684" xr:uid="{00000000-0005-0000-0000-0000E9170000}"/>
    <cellStyle name="Итог 2 2 2 4 2 2" xfId="1465" xr:uid="{00000000-0005-0000-0000-0000EA170000}"/>
    <cellStyle name="Итог 2 2 2 4 2 2 2" xfId="2600" xr:uid="{00000000-0005-0000-0000-0000EB170000}"/>
    <cellStyle name="Итог 2 2 2 4 2 2 2 2" xfId="6497" xr:uid="{00000000-0005-0000-0000-0000EC170000}"/>
    <cellStyle name="Итог 2 2 2 4 2 2 2 3" xfId="10506" xr:uid="{CA1D10C9-A288-42E3-A4DA-E0AADC95820E}"/>
    <cellStyle name="Итог 2 2 2 4 2 2 3" xfId="3843" xr:uid="{00000000-0005-0000-0000-0000ED170000}"/>
    <cellStyle name="Итог 2 2 2 4 2 2 3 2" xfId="7737" xr:uid="{00000000-0005-0000-0000-0000EE170000}"/>
    <cellStyle name="Итог 2 2 2 4 2 2 3 3" xfId="11746" xr:uid="{4EA22FF3-E599-4662-B3D2-B39B9BE00CF8}"/>
    <cellStyle name="Итог 2 2 2 4 2 2 4" xfId="5366" xr:uid="{00000000-0005-0000-0000-0000EF170000}"/>
    <cellStyle name="Итог 2 2 2 4 2 2 5" xfId="9375" xr:uid="{5572F499-E522-4483-B665-C477D569925C}"/>
    <cellStyle name="Итог 2 2 2 4 2 2 6" xfId="13266" xr:uid="{FDC7ECE8-0D0D-4FDA-AA5B-C7A711E6CE7D}"/>
    <cellStyle name="Итог 2 2 2 4 2 3" xfId="2599" xr:uid="{00000000-0005-0000-0000-0000F0170000}"/>
    <cellStyle name="Итог 2 2 2 4 2 3 2" xfId="6496" xr:uid="{00000000-0005-0000-0000-0000F1170000}"/>
    <cellStyle name="Итог 2 2 2 4 2 3 3" xfId="10505" xr:uid="{1433E8AF-CF4E-4B95-8BB9-6AAF527E4047}"/>
    <cellStyle name="Итог 2 2 2 4 2 4" xfId="3410" xr:uid="{00000000-0005-0000-0000-0000F2170000}"/>
    <cellStyle name="Итог 2 2 2 4 2 4 2" xfId="7304" xr:uid="{00000000-0005-0000-0000-0000F3170000}"/>
    <cellStyle name="Итог 2 2 2 4 2 4 3" xfId="11313" xr:uid="{575064A2-276C-4014-B473-B9FC0222493D}"/>
    <cellStyle name="Итог 2 2 2 4 2 5" xfId="4588" xr:uid="{00000000-0005-0000-0000-0000F4170000}"/>
    <cellStyle name="Итог 2 2 2 4 2 6" xfId="8597" xr:uid="{08EAC537-A8D6-484D-BE64-9D71D58D9735}"/>
    <cellStyle name="Итог 2 2 2 4 2 7" xfId="12488" xr:uid="{EC66C1C2-C3E8-4D92-8B6D-8103AE4FF2DF}"/>
    <cellStyle name="Итог 2 2 2 4 3" xfId="1144" xr:uid="{00000000-0005-0000-0000-0000F5170000}"/>
    <cellStyle name="Итог 2 2 2 4 3 2" xfId="2601" xr:uid="{00000000-0005-0000-0000-0000F6170000}"/>
    <cellStyle name="Итог 2 2 2 4 3 2 2" xfId="6498" xr:uid="{00000000-0005-0000-0000-0000F7170000}"/>
    <cellStyle name="Итог 2 2 2 4 3 2 3" xfId="10507" xr:uid="{84573442-5FE0-4C39-8DCA-D84C4309E825}"/>
    <cellStyle name="Итог 2 2 2 4 3 3" xfId="3645" xr:uid="{00000000-0005-0000-0000-0000F8170000}"/>
    <cellStyle name="Итог 2 2 2 4 3 3 2" xfId="7539" xr:uid="{00000000-0005-0000-0000-0000F9170000}"/>
    <cellStyle name="Итог 2 2 2 4 3 3 3" xfId="11548" xr:uid="{B7884CE2-97D5-4BE9-A6C6-B8E29CAB7191}"/>
    <cellStyle name="Итог 2 2 2 4 3 4" xfId="5045" xr:uid="{00000000-0005-0000-0000-0000FA170000}"/>
    <cellStyle name="Итог 2 2 2 4 3 5" xfId="9054" xr:uid="{0D3EFE06-DF5A-4590-A380-31A3AEE0F1BD}"/>
    <cellStyle name="Итог 2 2 2 4 3 6" xfId="12945" xr:uid="{89EDD3C0-DB53-49F6-9DCA-52A5F66381D2}"/>
    <cellStyle name="Итог 2 2 2 4 4" xfId="2598" xr:uid="{00000000-0005-0000-0000-0000FB170000}"/>
    <cellStyle name="Итог 2 2 2 4 4 2" xfId="6495" xr:uid="{00000000-0005-0000-0000-0000FC170000}"/>
    <cellStyle name="Итог 2 2 2 4 4 3" xfId="10504" xr:uid="{00A1DC5C-447A-41AF-ADAC-66EA7F983C41}"/>
    <cellStyle name="Итог 2 2 2 4 5" xfId="3089" xr:uid="{00000000-0005-0000-0000-0000FD170000}"/>
    <cellStyle name="Итог 2 2 2 4 5 2" xfId="6983" xr:uid="{00000000-0005-0000-0000-0000FE170000}"/>
    <cellStyle name="Итог 2 2 2 4 5 3" xfId="10992" xr:uid="{ED734B60-F9C3-4D4D-B595-C181A2F8B003}"/>
    <cellStyle name="Итог 2 2 2 4 6" xfId="4267" xr:uid="{00000000-0005-0000-0000-0000FF170000}"/>
    <cellStyle name="Итог 2 2 2 4 7" xfId="8276" xr:uid="{C421EC90-8C88-4A1F-A8CF-FB5EF83F164B}"/>
    <cellStyle name="Итог 2 2 2 4 8" xfId="12167" xr:uid="{4E8A3796-DE02-406A-B355-B3AEB3173DBC}"/>
    <cellStyle name="Итог 2 2 2 5" xfId="519" xr:uid="{00000000-0005-0000-0000-000000180000}"/>
    <cellStyle name="Итог 2 2 2 5 2" xfId="1300" xr:uid="{00000000-0005-0000-0000-000001180000}"/>
    <cellStyle name="Итог 2 2 2 5 2 2" xfId="2603" xr:uid="{00000000-0005-0000-0000-000002180000}"/>
    <cellStyle name="Итог 2 2 2 5 2 2 2" xfId="6500" xr:uid="{00000000-0005-0000-0000-000003180000}"/>
    <cellStyle name="Итог 2 2 2 5 2 2 3" xfId="10509" xr:uid="{8BF2B495-014E-426D-8F53-BD014E875247}"/>
    <cellStyle name="Итог 2 2 2 5 2 3" xfId="3744" xr:uid="{00000000-0005-0000-0000-000004180000}"/>
    <cellStyle name="Итог 2 2 2 5 2 3 2" xfId="7638" xr:uid="{00000000-0005-0000-0000-000005180000}"/>
    <cellStyle name="Итог 2 2 2 5 2 3 3" xfId="11647" xr:uid="{232643C5-36AE-46A0-886F-A16676FCB620}"/>
    <cellStyle name="Итог 2 2 2 5 2 4" xfId="5201" xr:uid="{00000000-0005-0000-0000-000006180000}"/>
    <cellStyle name="Итог 2 2 2 5 2 5" xfId="9210" xr:uid="{2326E408-8D38-4DD9-A918-F08125C3D12D}"/>
    <cellStyle name="Итог 2 2 2 5 2 6" xfId="13101" xr:uid="{0E22F8DC-7394-44DC-891D-7820A6185A28}"/>
    <cellStyle name="Итог 2 2 2 5 3" xfId="2602" xr:uid="{00000000-0005-0000-0000-000007180000}"/>
    <cellStyle name="Итог 2 2 2 5 3 2" xfId="6499" xr:uid="{00000000-0005-0000-0000-000008180000}"/>
    <cellStyle name="Итог 2 2 2 5 3 3" xfId="10508" xr:uid="{057C38E2-7023-44F3-A830-6FCE2770E0E6}"/>
    <cellStyle name="Итог 2 2 2 5 4" xfId="3245" xr:uid="{00000000-0005-0000-0000-000009180000}"/>
    <cellStyle name="Итог 2 2 2 5 4 2" xfId="7139" xr:uid="{00000000-0005-0000-0000-00000A180000}"/>
    <cellStyle name="Итог 2 2 2 5 4 3" xfId="11148" xr:uid="{078AA096-0ED7-48B4-8D59-BD2EDF3752C1}"/>
    <cellStyle name="Итог 2 2 2 5 5" xfId="4423" xr:uid="{00000000-0005-0000-0000-00000B180000}"/>
    <cellStyle name="Итог 2 2 2 5 6" xfId="8432" xr:uid="{26F0BE1B-8FF8-46FF-9B78-4CB8EFD74B51}"/>
    <cellStyle name="Итог 2 2 2 5 7" xfId="12323" xr:uid="{EDF56E79-8B5A-4A87-BCBB-FCAD2CABBD44}"/>
    <cellStyle name="Итог 2 2 2 6" xfId="979" xr:uid="{00000000-0005-0000-0000-00000C180000}"/>
    <cellStyle name="Итог 2 2 2 6 2" xfId="2604" xr:uid="{00000000-0005-0000-0000-00000D180000}"/>
    <cellStyle name="Итог 2 2 2 6 2 2" xfId="6501" xr:uid="{00000000-0005-0000-0000-00000E180000}"/>
    <cellStyle name="Итог 2 2 2 6 2 3" xfId="10510" xr:uid="{88B5C9E8-0B10-48A3-84E3-383DAF3D2472}"/>
    <cellStyle name="Итог 2 2 2 6 3" xfId="3546" xr:uid="{00000000-0005-0000-0000-00000F180000}"/>
    <cellStyle name="Итог 2 2 2 6 3 2" xfId="7440" xr:uid="{00000000-0005-0000-0000-000010180000}"/>
    <cellStyle name="Итог 2 2 2 6 3 3" xfId="11449" xr:uid="{F13B939D-BCD7-4FD7-A06E-15D6EE854BD8}"/>
    <cellStyle name="Итог 2 2 2 6 4" xfId="4880" xr:uid="{00000000-0005-0000-0000-000011180000}"/>
    <cellStyle name="Итог 2 2 2 6 5" xfId="8889" xr:uid="{3D032571-79BC-40B8-87B4-F9E5FF3824C7}"/>
    <cellStyle name="Итог 2 2 2 6 6" xfId="12780" xr:uid="{1C6EC824-EED4-409C-B252-BF73FC51D60D}"/>
    <cellStyle name="Итог 2 2 2 7" xfId="2581" xr:uid="{00000000-0005-0000-0000-000012180000}"/>
    <cellStyle name="Итог 2 2 2 7 2" xfId="6478" xr:uid="{00000000-0005-0000-0000-000013180000}"/>
    <cellStyle name="Итог 2 2 2 7 3" xfId="10487" xr:uid="{4DD2D3B3-7931-4506-8273-871CC27A36FF}"/>
    <cellStyle name="Итог 2 2 2 8" xfId="2924" xr:uid="{00000000-0005-0000-0000-000014180000}"/>
    <cellStyle name="Итог 2 2 2 8 2" xfId="6818" xr:uid="{00000000-0005-0000-0000-000015180000}"/>
    <cellStyle name="Итог 2 2 2 8 3" xfId="10827" xr:uid="{83E5738B-7A58-45B7-AAE0-4EB2159C1DD0}"/>
    <cellStyle name="Итог 2 2 2 9" xfId="4102" xr:uid="{00000000-0005-0000-0000-000016180000}"/>
    <cellStyle name="Итог 2 2 3" xfId="236" xr:uid="{00000000-0005-0000-0000-000017180000}"/>
    <cellStyle name="Итог 2 2 3 10" xfId="13485" xr:uid="{D8BA897C-6AF5-492A-9AFF-867158AAD78D}"/>
    <cellStyle name="Итог 2 2 3 2" xfId="395" xr:uid="{00000000-0005-0000-0000-000018180000}"/>
    <cellStyle name="Итог 2 2 3 2 2" xfId="725" xr:uid="{00000000-0005-0000-0000-000019180000}"/>
    <cellStyle name="Итог 2 2 3 2 2 2" xfId="1506" xr:uid="{00000000-0005-0000-0000-00001A180000}"/>
    <cellStyle name="Итог 2 2 3 2 2 2 2" xfId="2608" xr:uid="{00000000-0005-0000-0000-00001B180000}"/>
    <cellStyle name="Итог 2 2 3 2 2 2 2 2" xfId="6505" xr:uid="{00000000-0005-0000-0000-00001C180000}"/>
    <cellStyle name="Итог 2 2 3 2 2 2 2 3" xfId="10514" xr:uid="{150E660E-2A43-4D2C-9E26-113BC45FB777}"/>
    <cellStyle name="Итог 2 2 3 2 2 2 3" xfId="3872" xr:uid="{00000000-0005-0000-0000-00001D180000}"/>
    <cellStyle name="Итог 2 2 3 2 2 2 3 2" xfId="7766" xr:uid="{00000000-0005-0000-0000-00001E180000}"/>
    <cellStyle name="Итог 2 2 3 2 2 2 3 3" xfId="11775" xr:uid="{4F3E619F-C7CB-4B7B-A5C7-B2C688BE88D5}"/>
    <cellStyle name="Итог 2 2 3 2 2 2 4" xfId="5407" xr:uid="{00000000-0005-0000-0000-00001F180000}"/>
    <cellStyle name="Итог 2 2 3 2 2 2 5" xfId="9416" xr:uid="{DFCD57FB-A29F-4D6B-BFB8-7F00119C9358}"/>
    <cellStyle name="Итог 2 2 3 2 2 2 6" xfId="13307" xr:uid="{4387FC0F-EB4F-4600-A540-C25826DF15CF}"/>
    <cellStyle name="Итог 2 2 3 2 2 3" xfId="2607" xr:uid="{00000000-0005-0000-0000-000020180000}"/>
    <cellStyle name="Итог 2 2 3 2 2 3 2" xfId="6504" xr:uid="{00000000-0005-0000-0000-000021180000}"/>
    <cellStyle name="Итог 2 2 3 2 2 3 3" xfId="10513" xr:uid="{4D5CBAA6-E226-4C5B-A99A-7C4F7E964BFA}"/>
    <cellStyle name="Итог 2 2 3 2 2 4" xfId="3451" xr:uid="{00000000-0005-0000-0000-000022180000}"/>
    <cellStyle name="Итог 2 2 3 2 2 4 2" xfId="7345" xr:uid="{00000000-0005-0000-0000-000023180000}"/>
    <cellStyle name="Итог 2 2 3 2 2 4 3" xfId="11354" xr:uid="{EBADC54C-E855-4E3B-8CB8-C8573B5B9566}"/>
    <cellStyle name="Итог 2 2 3 2 2 5" xfId="4629" xr:uid="{00000000-0005-0000-0000-000024180000}"/>
    <cellStyle name="Итог 2 2 3 2 2 6" xfId="8638" xr:uid="{4CF861FB-A867-4817-898E-918A22AA215C}"/>
    <cellStyle name="Итог 2 2 3 2 2 7" xfId="12529" xr:uid="{8CA0E076-141F-480D-A702-252C28686714}"/>
    <cellStyle name="Итог 2 2 3 2 3" xfId="1185" xr:uid="{00000000-0005-0000-0000-000025180000}"/>
    <cellStyle name="Итог 2 2 3 2 3 2" xfId="2609" xr:uid="{00000000-0005-0000-0000-000026180000}"/>
    <cellStyle name="Итог 2 2 3 2 3 2 2" xfId="6506" xr:uid="{00000000-0005-0000-0000-000027180000}"/>
    <cellStyle name="Итог 2 2 3 2 3 2 3" xfId="10515" xr:uid="{023DEC21-65CF-4795-9C1F-20DE275E5DEB}"/>
    <cellStyle name="Итог 2 2 3 2 3 3" xfId="3674" xr:uid="{00000000-0005-0000-0000-000028180000}"/>
    <cellStyle name="Итог 2 2 3 2 3 3 2" xfId="7568" xr:uid="{00000000-0005-0000-0000-000029180000}"/>
    <cellStyle name="Итог 2 2 3 2 3 3 3" xfId="11577" xr:uid="{35F3C5FC-71DA-4381-9848-98E7D6A58F93}"/>
    <cellStyle name="Итог 2 2 3 2 3 4" xfId="5086" xr:uid="{00000000-0005-0000-0000-00002A180000}"/>
    <cellStyle name="Итог 2 2 3 2 3 5" xfId="9095" xr:uid="{10B15723-B348-44C9-83D4-F8648F8FFC72}"/>
    <cellStyle name="Итог 2 2 3 2 3 6" xfId="12986" xr:uid="{EA58A6B8-691C-4FD4-B815-95D3967FA012}"/>
    <cellStyle name="Итог 2 2 3 2 4" xfId="2606" xr:uid="{00000000-0005-0000-0000-00002B180000}"/>
    <cellStyle name="Итог 2 2 3 2 4 2" xfId="6503" xr:uid="{00000000-0005-0000-0000-00002C180000}"/>
    <cellStyle name="Итог 2 2 3 2 4 3" xfId="10512" xr:uid="{C3793D11-97BB-41FA-862D-9B93550397EA}"/>
    <cellStyle name="Итог 2 2 3 2 5" xfId="3130" xr:uid="{00000000-0005-0000-0000-00002D180000}"/>
    <cellStyle name="Итог 2 2 3 2 5 2" xfId="7024" xr:uid="{00000000-0005-0000-0000-00002E180000}"/>
    <cellStyle name="Итог 2 2 3 2 5 3" xfId="11033" xr:uid="{F926D95B-C540-4A03-B9C5-1B1357EA91AB}"/>
    <cellStyle name="Итог 2 2 3 2 6" xfId="4308" xr:uid="{00000000-0005-0000-0000-00002F180000}"/>
    <cellStyle name="Итог 2 2 3 2 7" xfId="8317" xr:uid="{C899E84C-6B61-44F1-AE18-4481BE772829}"/>
    <cellStyle name="Итог 2 2 3 2 8" xfId="12208" xr:uid="{3D0829DA-D37B-4CBB-B7D0-0F2B57A4D562}"/>
    <cellStyle name="Итог 2 2 3 3" xfId="566" xr:uid="{00000000-0005-0000-0000-000030180000}"/>
    <cellStyle name="Итог 2 2 3 3 2" xfId="1347" xr:uid="{00000000-0005-0000-0000-000031180000}"/>
    <cellStyle name="Итог 2 2 3 3 2 2" xfId="2611" xr:uid="{00000000-0005-0000-0000-000032180000}"/>
    <cellStyle name="Итог 2 2 3 3 2 2 2" xfId="6508" xr:uid="{00000000-0005-0000-0000-000033180000}"/>
    <cellStyle name="Итог 2 2 3 3 2 2 3" xfId="10517" xr:uid="{C04C9689-AD92-4080-A960-98084933B9BB}"/>
    <cellStyle name="Итог 2 2 3 3 2 3" xfId="3773" xr:uid="{00000000-0005-0000-0000-000034180000}"/>
    <cellStyle name="Итог 2 2 3 3 2 3 2" xfId="7667" xr:uid="{00000000-0005-0000-0000-000035180000}"/>
    <cellStyle name="Итог 2 2 3 3 2 3 3" xfId="11676" xr:uid="{6F8DAC26-6D9C-4914-8BB5-F92C16FE38FA}"/>
    <cellStyle name="Итог 2 2 3 3 2 4" xfId="5248" xr:uid="{00000000-0005-0000-0000-000036180000}"/>
    <cellStyle name="Итог 2 2 3 3 2 5" xfId="9257" xr:uid="{E00E67D8-BDB8-459B-B01B-3CE6C26C7FD7}"/>
    <cellStyle name="Итог 2 2 3 3 2 6" xfId="13148" xr:uid="{BC9C6DFC-EED2-4214-8F07-4B2EFFEC6BED}"/>
    <cellStyle name="Итог 2 2 3 3 3" xfId="2610" xr:uid="{00000000-0005-0000-0000-000037180000}"/>
    <cellStyle name="Итог 2 2 3 3 3 2" xfId="6507" xr:uid="{00000000-0005-0000-0000-000038180000}"/>
    <cellStyle name="Итог 2 2 3 3 3 3" xfId="10516" xr:uid="{517BBABC-D9E9-4F14-A61F-550A88A250F6}"/>
    <cellStyle name="Итог 2 2 3 3 4" xfId="3292" xr:uid="{00000000-0005-0000-0000-000039180000}"/>
    <cellStyle name="Итог 2 2 3 3 4 2" xfId="7186" xr:uid="{00000000-0005-0000-0000-00003A180000}"/>
    <cellStyle name="Итог 2 2 3 3 4 3" xfId="11195" xr:uid="{EB95B97D-4CCD-43CF-9452-42B14ABA563F}"/>
    <cellStyle name="Итог 2 2 3 3 5" xfId="4470" xr:uid="{00000000-0005-0000-0000-00003B180000}"/>
    <cellStyle name="Итог 2 2 3 3 6" xfId="8479" xr:uid="{0FF32224-DA6F-4838-AF30-F3D3020FEFE5}"/>
    <cellStyle name="Итог 2 2 3 3 7" xfId="12370" xr:uid="{C2322686-764E-4C3B-A34C-C2F3B4487457}"/>
    <cellStyle name="Итог 2 2 3 4" xfId="1026" xr:uid="{00000000-0005-0000-0000-00003C180000}"/>
    <cellStyle name="Итог 2 2 3 4 2" xfId="2612" xr:uid="{00000000-0005-0000-0000-00003D180000}"/>
    <cellStyle name="Итог 2 2 3 4 2 2" xfId="6509" xr:uid="{00000000-0005-0000-0000-00003E180000}"/>
    <cellStyle name="Итог 2 2 3 4 2 3" xfId="10518" xr:uid="{0BA037EF-6504-4AC9-93B8-F17C29A886DE}"/>
    <cellStyle name="Итог 2 2 3 4 3" xfId="3575" xr:uid="{00000000-0005-0000-0000-00003F180000}"/>
    <cellStyle name="Итог 2 2 3 4 3 2" xfId="7469" xr:uid="{00000000-0005-0000-0000-000040180000}"/>
    <cellStyle name="Итог 2 2 3 4 3 3" xfId="11478" xr:uid="{85A6A690-BFB1-44BB-B057-39232C562A6D}"/>
    <cellStyle name="Итог 2 2 3 4 4" xfId="4927" xr:uid="{00000000-0005-0000-0000-000041180000}"/>
    <cellStyle name="Итог 2 2 3 4 5" xfId="8936" xr:uid="{33B00125-5288-4CD0-B784-23FBAF8146FD}"/>
    <cellStyle name="Итог 2 2 3 4 6" xfId="12827" xr:uid="{EE2B7062-2CED-4242-8788-926C5930FEA3}"/>
    <cellStyle name="Итог 2 2 3 5" xfId="2605" xr:uid="{00000000-0005-0000-0000-000042180000}"/>
    <cellStyle name="Итог 2 2 3 5 2" xfId="6502" xr:uid="{00000000-0005-0000-0000-000043180000}"/>
    <cellStyle name="Итог 2 2 3 5 3" xfId="10511" xr:uid="{71EBD0D9-E0D2-4C59-A5DF-28BB13F63037}"/>
    <cellStyle name="Итог 2 2 3 6" xfId="2971" xr:uid="{00000000-0005-0000-0000-000044180000}"/>
    <cellStyle name="Итог 2 2 3 6 2" xfId="6865" xr:uid="{00000000-0005-0000-0000-000045180000}"/>
    <cellStyle name="Итог 2 2 3 6 3" xfId="10874" xr:uid="{86D9142C-EDDC-4C04-81DF-933ADAB2FA3C}"/>
    <cellStyle name="Итог 2 2 3 7" xfId="4149" xr:uid="{00000000-0005-0000-0000-000046180000}"/>
    <cellStyle name="Итог 2 2 3 8" xfId="8158" xr:uid="{F5A5BC9B-C948-4B79-B8BD-95C31D633920}"/>
    <cellStyle name="Итог 2 2 3 9" xfId="12049" xr:uid="{9BF50FB4-3995-42E8-B283-A0FF0E25B474}"/>
    <cellStyle name="Итог 2 2 4" xfId="216" xr:uid="{00000000-0005-0000-0000-000047180000}"/>
    <cellStyle name="Итог 2 2 4 10" xfId="13465" xr:uid="{72437D61-F3B0-492F-95EB-B0A6DD8BD941}"/>
    <cellStyle name="Итог 2 2 4 2" xfId="379" xr:uid="{00000000-0005-0000-0000-000048180000}"/>
    <cellStyle name="Итог 2 2 4 2 2" xfId="709" xr:uid="{00000000-0005-0000-0000-000049180000}"/>
    <cellStyle name="Итог 2 2 4 2 2 2" xfId="1490" xr:uid="{00000000-0005-0000-0000-00004A180000}"/>
    <cellStyle name="Итог 2 2 4 2 2 2 2" xfId="2616" xr:uid="{00000000-0005-0000-0000-00004B180000}"/>
    <cellStyle name="Итог 2 2 4 2 2 2 2 2" xfId="6513" xr:uid="{00000000-0005-0000-0000-00004C180000}"/>
    <cellStyle name="Итог 2 2 4 2 2 2 2 3" xfId="10522" xr:uid="{BA74846C-4C52-4031-9286-4D0F51BD1B89}"/>
    <cellStyle name="Итог 2 2 4 2 2 2 3" xfId="3862" xr:uid="{00000000-0005-0000-0000-00004D180000}"/>
    <cellStyle name="Итог 2 2 4 2 2 2 3 2" xfId="7756" xr:uid="{00000000-0005-0000-0000-00004E180000}"/>
    <cellStyle name="Итог 2 2 4 2 2 2 3 3" xfId="11765" xr:uid="{156144B2-DB91-47D0-8807-F8B0BB9FF71C}"/>
    <cellStyle name="Итог 2 2 4 2 2 2 4" xfId="5391" xr:uid="{00000000-0005-0000-0000-00004F180000}"/>
    <cellStyle name="Итог 2 2 4 2 2 2 5" xfId="9400" xr:uid="{C584091C-B998-4D14-AF09-D0BCFCEEFFEB}"/>
    <cellStyle name="Итог 2 2 4 2 2 2 6" xfId="13291" xr:uid="{2531EB32-A44A-4366-9CA5-2C2122B1EC3E}"/>
    <cellStyle name="Итог 2 2 4 2 2 3" xfId="2615" xr:uid="{00000000-0005-0000-0000-000050180000}"/>
    <cellStyle name="Итог 2 2 4 2 2 3 2" xfId="6512" xr:uid="{00000000-0005-0000-0000-000051180000}"/>
    <cellStyle name="Итог 2 2 4 2 2 3 3" xfId="10521" xr:uid="{E2920F65-0C2B-4E6A-8BA7-1C80A60B5BCB}"/>
    <cellStyle name="Итог 2 2 4 2 2 4" xfId="3435" xr:uid="{00000000-0005-0000-0000-000052180000}"/>
    <cellStyle name="Итог 2 2 4 2 2 4 2" xfId="7329" xr:uid="{00000000-0005-0000-0000-000053180000}"/>
    <cellStyle name="Итог 2 2 4 2 2 4 3" xfId="11338" xr:uid="{2419AE4E-27CE-48BF-9371-C70A90AAF776}"/>
    <cellStyle name="Итог 2 2 4 2 2 5" xfId="4613" xr:uid="{00000000-0005-0000-0000-000054180000}"/>
    <cellStyle name="Итог 2 2 4 2 2 6" xfId="8622" xr:uid="{4F8EBE99-36D8-4577-A387-398BB87695D6}"/>
    <cellStyle name="Итог 2 2 4 2 2 7" xfId="12513" xr:uid="{F28144D3-C264-48DB-BD48-C83BBFB8C19B}"/>
    <cellStyle name="Итог 2 2 4 2 3" xfId="1169" xr:uid="{00000000-0005-0000-0000-000055180000}"/>
    <cellStyle name="Итог 2 2 4 2 3 2" xfId="2617" xr:uid="{00000000-0005-0000-0000-000056180000}"/>
    <cellStyle name="Итог 2 2 4 2 3 2 2" xfId="6514" xr:uid="{00000000-0005-0000-0000-000057180000}"/>
    <cellStyle name="Итог 2 2 4 2 3 2 3" xfId="10523" xr:uid="{CE5A37DE-F5D8-484D-AA1B-0784CFE06AC0}"/>
    <cellStyle name="Итог 2 2 4 2 3 3" xfId="3664" xr:uid="{00000000-0005-0000-0000-000058180000}"/>
    <cellStyle name="Итог 2 2 4 2 3 3 2" xfId="7558" xr:uid="{00000000-0005-0000-0000-000059180000}"/>
    <cellStyle name="Итог 2 2 4 2 3 3 3" xfId="11567" xr:uid="{80B2BFE0-8EF7-43E4-9826-3CB0BD5145CE}"/>
    <cellStyle name="Итог 2 2 4 2 3 4" xfId="5070" xr:uid="{00000000-0005-0000-0000-00005A180000}"/>
    <cellStyle name="Итог 2 2 4 2 3 5" xfId="9079" xr:uid="{037C700B-4609-4E63-8BC0-CB23320946B8}"/>
    <cellStyle name="Итог 2 2 4 2 3 6" xfId="12970" xr:uid="{7A1C9150-ADED-45C6-9BBD-1E050B33E277}"/>
    <cellStyle name="Итог 2 2 4 2 4" xfId="2614" xr:uid="{00000000-0005-0000-0000-00005B180000}"/>
    <cellStyle name="Итог 2 2 4 2 4 2" xfId="6511" xr:uid="{00000000-0005-0000-0000-00005C180000}"/>
    <cellStyle name="Итог 2 2 4 2 4 3" xfId="10520" xr:uid="{5C6BD364-7F3D-437E-B134-664F5E92891B}"/>
    <cellStyle name="Итог 2 2 4 2 5" xfId="3114" xr:uid="{00000000-0005-0000-0000-00005D180000}"/>
    <cellStyle name="Итог 2 2 4 2 5 2" xfId="7008" xr:uid="{00000000-0005-0000-0000-00005E180000}"/>
    <cellStyle name="Итог 2 2 4 2 5 3" xfId="11017" xr:uid="{C4132471-9896-41AE-ACCC-F6AE08F49891}"/>
    <cellStyle name="Итог 2 2 4 2 6" xfId="4292" xr:uid="{00000000-0005-0000-0000-00005F180000}"/>
    <cellStyle name="Итог 2 2 4 2 7" xfId="8301" xr:uid="{22F24B70-6CC3-428E-8D26-EB54D5A6FCFF}"/>
    <cellStyle name="Итог 2 2 4 2 8" xfId="12192" xr:uid="{45051136-6975-4CF8-B498-182C14F05D66}"/>
    <cellStyle name="Итог 2 2 4 3" xfId="546" xr:uid="{00000000-0005-0000-0000-000060180000}"/>
    <cellStyle name="Итог 2 2 4 3 2" xfId="1327" xr:uid="{00000000-0005-0000-0000-000061180000}"/>
    <cellStyle name="Итог 2 2 4 3 2 2" xfId="2619" xr:uid="{00000000-0005-0000-0000-000062180000}"/>
    <cellStyle name="Итог 2 2 4 3 2 2 2" xfId="6516" xr:uid="{00000000-0005-0000-0000-000063180000}"/>
    <cellStyle name="Итог 2 2 4 3 2 2 3" xfId="10525" xr:uid="{5849F552-08E6-4EF8-B982-F541FDC4957C}"/>
    <cellStyle name="Итог 2 2 4 3 2 3" xfId="3763" xr:uid="{00000000-0005-0000-0000-000064180000}"/>
    <cellStyle name="Итог 2 2 4 3 2 3 2" xfId="7657" xr:uid="{00000000-0005-0000-0000-000065180000}"/>
    <cellStyle name="Итог 2 2 4 3 2 3 3" xfId="11666" xr:uid="{894A1BE4-2893-4B00-B7E5-F9E6CA3C8C06}"/>
    <cellStyle name="Итог 2 2 4 3 2 4" xfId="5228" xr:uid="{00000000-0005-0000-0000-000066180000}"/>
    <cellStyle name="Итог 2 2 4 3 2 5" xfId="9237" xr:uid="{59575069-FD32-451E-9AD0-6B3C96D36027}"/>
    <cellStyle name="Итог 2 2 4 3 2 6" xfId="13128" xr:uid="{6BE8EAF1-1C00-41A5-B324-0D261409D9F5}"/>
    <cellStyle name="Итог 2 2 4 3 3" xfId="2618" xr:uid="{00000000-0005-0000-0000-000067180000}"/>
    <cellStyle name="Итог 2 2 4 3 3 2" xfId="6515" xr:uid="{00000000-0005-0000-0000-000068180000}"/>
    <cellStyle name="Итог 2 2 4 3 3 3" xfId="10524" xr:uid="{1025EA77-E275-48A5-AC38-5601FA5BC4D6}"/>
    <cellStyle name="Итог 2 2 4 3 4" xfId="3272" xr:uid="{00000000-0005-0000-0000-000069180000}"/>
    <cellStyle name="Итог 2 2 4 3 4 2" xfId="7166" xr:uid="{00000000-0005-0000-0000-00006A180000}"/>
    <cellStyle name="Итог 2 2 4 3 4 3" xfId="11175" xr:uid="{9205D166-E4B3-4C3A-AB0F-8C27FFD068DF}"/>
    <cellStyle name="Итог 2 2 4 3 5" xfId="4450" xr:uid="{00000000-0005-0000-0000-00006B180000}"/>
    <cellStyle name="Итог 2 2 4 3 6" xfId="8459" xr:uid="{23131829-896F-4307-B570-3E9A05345EAE}"/>
    <cellStyle name="Итог 2 2 4 3 7" xfId="12350" xr:uid="{BF0B4043-54A6-43A7-937D-DA746EBB13D1}"/>
    <cellStyle name="Итог 2 2 4 4" xfId="1006" xr:uid="{00000000-0005-0000-0000-00006C180000}"/>
    <cellStyle name="Итог 2 2 4 4 2" xfId="2620" xr:uid="{00000000-0005-0000-0000-00006D180000}"/>
    <cellStyle name="Итог 2 2 4 4 2 2" xfId="6517" xr:uid="{00000000-0005-0000-0000-00006E180000}"/>
    <cellStyle name="Итог 2 2 4 4 2 3" xfId="10526" xr:uid="{93C70857-6D10-432F-8A81-1F7B391F3146}"/>
    <cellStyle name="Итог 2 2 4 4 3" xfId="3565" xr:uid="{00000000-0005-0000-0000-00006F180000}"/>
    <cellStyle name="Итог 2 2 4 4 3 2" xfId="7459" xr:uid="{00000000-0005-0000-0000-000070180000}"/>
    <cellStyle name="Итог 2 2 4 4 3 3" xfId="11468" xr:uid="{783F6D83-EA27-481B-9B88-1A2937045DF9}"/>
    <cellStyle name="Итог 2 2 4 4 4" xfId="4907" xr:uid="{00000000-0005-0000-0000-000071180000}"/>
    <cellStyle name="Итог 2 2 4 4 5" xfId="8916" xr:uid="{D3C1C8B0-7AEA-4CC8-B29F-8CC58C64C62C}"/>
    <cellStyle name="Итог 2 2 4 4 6" xfId="12807" xr:uid="{24A8F949-8BAE-4F08-81F0-17151AEE8153}"/>
    <cellStyle name="Итог 2 2 4 5" xfId="2613" xr:uid="{00000000-0005-0000-0000-000072180000}"/>
    <cellStyle name="Итог 2 2 4 5 2" xfId="6510" xr:uid="{00000000-0005-0000-0000-000073180000}"/>
    <cellStyle name="Итог 2 2 4 5 3" xfId="10519" xr:uid="{B8498CBF-841F-4705-932B-A2145F2D3BA8}"/>
    <cellStyle name="Итог 2 2 4 6" xfId="2951" xr:uid="{00000000-0005-0000-0000-000074180000}"/>
    <cellStyle name="Итог 2 2 4 6 2" xfId="6845" xr:uid="{00000000-0005-0000-0000-000075180000}"/>
    <cellStyle name="Итог 2 2 4 6 3" xfId="10854" xr:uid="{343BC329-8854-4FF2-952F-40D02FAA486C}"/>
    <cellStyle name="Итог 2 2 4 7" xfId="4129" xr:uid="{00000000-0005-0000-0000-000076180000}"/>
    <cellStyle name="Итог 2 2 4 8" xfId="8138" xr:uid="{C21DA9B4-8317-4CC5-ACE0-405AAFE21E99}"/>
    <cellStyle name="Итог 2 2 4 9" xfId="12029" xr:uid="{42D41189-E8DB-47B7-A9C0-C2FAF96ECDE6}"/>
    <cellStyle name="Итог 2 2 5" xfId="316" xr:uid="{00000000-0005-0000-0000-000077180000}"/>
    <cellStyle name="Итог 2 2 5 2" xfId="646" xr:uid="{00000000-0005-0000-0000-000078180000}"/>
    <cellStyle name="Итог 2 2 5 2 2" xfId="1427" xr:uid="{00000000-0005-0000-0000-000079180000}"/>
    <cellStyle name="Итог 2 2 5 2 2 2" xfId="2623" xr:uid="{00000000-0005-0000-0000-00007A180000}"/>
    <cellStyle name="Итог 2 2 5 2 2 2 2" xfId="6520" xr:uid="{00000000-0005-0000-0000-00007B180000}"/>
    <cellStyle name="Итог 2 2 5 2 2 2 3" xfId="10529" xr:uid="{96CB4D39-26C5-4A43-B734-C1CB5AAD0DA2}"/>
    <cellStyle name="Итог 2 2 5 2 2 3" xfId="3820" xr:uid="{00000000-0005-0000-0000-00007C180000}"/>
    <cellStyle name="Итог 2 2 5 2 2 3 2" xfId="7714" xr:uid="{00000000-0005-0000-0000-00007D180000}"/>
    <cellStyle name="Итог 2 2 5 2 2 3 3" xfId="11723" xr:uid="{B57C3401-16B7-4149-9D66-7E64289247D4}"/>
    <cellStyle name="Итог 2 2 5 2 2 4" xfId="5328" xr:uid="{00000000-0005-0000-0000-00007E180000}"/>
    <cellStyle name="Итог 2 2 5 2 2 5" xfId="9337" xr:uid="{CF79C86D-F1C1-4799-AB16-4438A4A554CD}"/>
    <cellStyle name="Итог 2 2 5 2 2 6" xfId="13228" xr:uid="{994F5DAD-E98E-4640-9E40-6DC8FA456281}"/>
    <cellStyle name="Итог 2 2 5 2 3" xfId="2622" xr:uid="{00000000-0005-0000-0000-00007F180000}"/>
    <cellStyle name="Итог 2 2 5 2 3 2" xfId="6519" xr:uid="{00000000-0005-0000-0000-000080180000}"/>
    <cellStyle name="Итог 2 2 5 2 3 3" xfId="10528" xr:uid="{1BD71C7A-A34B-4363-B7BB-C99AB7D8F84D}"/>
    <cellStyle name="Итог 2 2 5 2 4" xfId="3372" xr:uid="{00000000-0005-0000-0000-000081180000}"/>
    <cellStyle name="Итог 2 2 5 2 4 2" xfId="7266" xr:uid="{00000000-0005-0000-0000-000082180000}"/>
    <cellStyle name="Итог 2 2 5 2 4 3" xfId="11275" xr:uid="{8447DF1E-8750-4EFD-8C22-68F7F35C0A2F}"/>
    <cellStyle name="Итог 2 2 5 2 5" xfId="4550" xr:uid="{00000000-0005-0000-0000-000083180000}"/>
    <cellStyle name="Итог 2 2 5 2 6" xfId="8559" xr:uid="{ECFDD836-A7A8-4CC8-A4BF-7145802780C6}"/>
    <cellStyle name="Итог 2 2 5 2 7" xfId="12450" xr:uid="{DAF0B06E-42BE-4220-9F06-F7137175F3D9}"/>
    <cellStyle name="Итог 2 2 5 3" xfId="1106" xr:uid="{00000000-0005-0000-0000-000084180000}"/>
    <cellStyle name="Итог 2 2 5 3 2" xfId="2624" xr:uid="{00000000-0005-0000-0000-000085180000}"/>
    <cellStyle name="Итог 2 2 5 3 2 2" xfId="6521" xr:uid="{00000000-0005-0000-0000-000086180000}"/>
    <cellStyle name="Итог 2 2 5 3 2 3" xfId="10530" xr:uid="{F37299A4-367E-470F-B608-93EC2C22855A}"/>
    <cellStyle name="Итог 2 2 5 3 3" xfId="3622" xr:uid="{00000000-0005-0000-0000-000087180000}"/>
    <cellStyle name="Итог 2 2 5 3 3 2" xfId="7516" xr:uid="{00000000-0005-0000-0000-000088180000}"/>
    <cellStyle name="Итог 2 2 5 3 3 3" xfId="11525" xr:uid="{49E19350-4A1F-471C-9A32-CC27A9E7EC7E}"/>
    <cellStyle name="Итог 2 2 5 3 4" xfId="5007" xr:uid="{00000000-0005-0000-0000-000089180000}"/>
    <cellStyle name="Итог 2 2 5 3 5" xfId="9016" xr:uid="{AC85F03F-F3F4-4D64-82FB-2D5AAE31B728}"/>
    <cellStyle name="Итог 2 2 5 3 6" xfId="12907" xr:uid="{8B6CBBD5-00ED-4A72-A415-43275EE8745A}"/>
    <cellStyle name="Итог 2 2 5 4" xfId="2621" xr:uid="{00000000-0005-0000-0000-00008A180000}"/>
    <cellStyle name="Итог 2 2 5 4 2" xfId="6518" xr:uid="{00000000-0005-0000-0000-00008B180000}"/>
    <cellStyle name="Итог 2 2 5 4 3" xfId="10527" xr:uid="{40784A2A-8548-4D7D-9D66-99AF796A4002}"/>
    <cellStyle name="Итог 2 2 5 5" xfId="3051" xr:uid="{00000000-0005-0000-0000-00008C180000}"/>
    <cellStyle name="Итог 2 2 5 5 2" xfId="6945" xr:uid="{00000000-0005-0000-0000-00008D180000}"/>
    <cellStyle name="Итог 2 2 5 5 3" xfId="10954" xr:uid="{7DD9F66F-B78D-4822-B17D-CAB32E825512}"/>
    <cellStyle name="Итог 2 2 5 6" xfId="4229" xr:uid="{00000000-0005-0000-0000-00008E180000}"/>
    <cellStyle name="Итог 2 2 5 7" xfId="8238" xr:uid="{291C7C7C-84DB-45E0-8F36-0AC15A37EF57}"/>
    <cellStyle name="Итог 2 2 5 8" xfId="12129" xr:uid="{52AD77F0-8487-4FB4-9296-5D0AEA11F6F5}"/>
    <cellStyle name="Итог 2 2 6" xfId="478" xr:uid="{00000000-0005-0000-0000-00008F180000}"/>
    <cellStyle name="Итог 2 2 6 2" xfId="1262" xr:uid="{00000000-0005-0000-0000-000090180000}"/>
    <cellStyle name="Итог 2 2 6 2 2" xfId="2626" xr:uid="{00000000-0005-0000-0000-000091180000}"/>
    <cellStyle name="Итог 2 2 6 2 2 2" xfId="6523" xr:uid="{00000000-0005-0000-0000-000092180000}"/>
    <cellStyle name="Итог 2 2 6 2 2 3" xfId="10532" xr:uid="{BFFC1B91-C334-4ADF-96C5-EB38F374D933}"/>
    <cellStyle name="Итог 2 2 6 2 3" xfId="3721" xr:uid="{00000000-0005-0000-0000-000093180000}"/>
    <cellStyle name="Итог 2 2 6 2 3 2" xfId="7615" xr:uid="{00000000-0005-0000-0000-000094180000}"/>
    <cellStyle name="Итог 2 2 6 2 3 3" xfId="11624" xr:uid="{1E31644B-B81F-44D0-B5A0-0A24F04E600A}"/>
    <cellStyle name="Итог 2 2 6 2 4" xfId="5163" xr:uid="{00000000-0005-0000-0000-000095180000}"/>
    <cellStyle name="Итог 2 2 6 2 5" xfId="9172" xr:uid="{78C010AF-C00E-4721-8000-6C8015051F28}"/>
    <cellStyle name="Итог 2 2 6 2 6" xfId="13063" xr:uid="{F082693D-9F43-4C04-A21A-B7FF45B33B84}"/>
    <cellStyle name="Итог 2 2 6 3" xfId="2625" xr:uid="{00000000-0005-0000-0000-000096180000}"/>
    <cellStyle name="Итог 2 2 6 3 2" xfId="6522" xr:uid="{00000000-0005-0000-0000-000097180000}"/>
    <cellStyle name="Итог 2 2 6 3 3" xfId="10531" xr:uid="{66C4B741-D747-4ACB-9514-BF3326D9A68F}"/>
    <cellStyle name="Итог 2 2 6 4" xfId="3207" xr:uid="{00000000-0005-0000-0000-000098180000}"/>
    <cellStyle name="Итог 2 2 6 4 2" xfId="7101" xr:uid="{00000000-0005-0000-0000-000099180000}"/>
    <cellStyle name="Итог 2 2 6 4 3" xfId="11110" xr:uid="{75DA583B-6C34-4846-8EFC-6EF4157F14F5}"/>
    <cellStyle name="Итог 2 2 6 5" xfId="4385" xr:uid="{00000000-0005-0000-0000-00009A180000}"/>
    <cellStyle name="Итог 2 2 6 6" xfId="8394" xr:uid="{22876CFE-59BF-4F11-9287-9FB465DB7CCC}"/>
    <cellStyle name="Итог 2 2 6 7" xfId="12285" xr:uid="{9CE47E75-3DAF-4A8B-81E4-FA6716353EDD}"/>
    <cellStyle name="Итог 2 2 7" xfId="941" xr:uid="{00000000-0005-0000-0000-00009B180000}"/>
    <cellStyle name="Итог 2 2 7 2" xfId="2627" xr:uid="{00000000-0005-0000-0000-00009C180000}"/>
    <cellStyle name="Итог 2 2 7 2 2" xfId="6524" xr:uid="{00000000-0005-0000-0000-00009D180000}"/>
    <cellStyle name="Итог 2 2 7 2 3" xfId="10533" xr:uid="{371A145F-B12C-4161-A09E-31FD51D902CD}"/>
    <cellStyle name="Итог 2 2 7 3" xfId="3523" xr:uid="{00000000-0005-0000-0000-00009E180000}"/>
    <cellStyle name="Итог 2 2 7 3 2" xfId="7417" xr:uid="{00000000-0005-0000-0000-00009F180000}"/>
    <cellStyle name="Итог 2 2 7 3 3" xfId="11426" xr:uid="{300A36B9-E2B0-46E1-8E4D-FF3FB33EFB78}"/>
    <cellStyle name="Итог 2 2 7 4" xfId="4842" xr:uid="{00000000-0005-0000-0000-0000A0180000}"/>
    <cellStyle name="Итог 2 2 7 5" xfId="8851" xr:uid="{11477012-9F82-4CF5-B0AC-20BB4B15FF52}"/>
    <cellStyle name="Итог 2 2 7 6" xfId="12742" xr:uid="{F11F8A5D-14D5-4BBB-A2E0-CC2363C1B1E9}"/>
    <cellStyle name="Итог 2 2 8" xfId="2580" xr:uid="{00000000-0005-0000-0000-0000A1180000}"/>
    <cellStyle name="Итог 2 2 8 2" xfId="6477" xr:uid="{00000000-0005-0000-0000-0000A2180000}"/>
    <cellStyle name="Итог 2 2 8 3" xfId="10486" xr:uid="{7115D0D3-BB5E-464A-9D7B-2D772BA33627}"/>
    <cellStyle name="Итог 2 2 9" xfId="2886" xr:uid="{00000000-0005-0000-0000-0000A3180000}"/>
    <cellStyle name="Итог 2 2 9 2" xfId="6780" xr:uid="{00000000-0005-0000-0000-0000A4180000}"/>
    <cellStyle name="Итог 2 2 9 3" xfId="10789" xr:uid="{AA744B93-AC70-4185-ABD8-F44F4A543C95}"/>
    <cellStyle name="Итог 2 3" xfId="154" xr:uid="{00000000-0005-0000-0000-0000A5180000}"/>
    <cellStyle name="Итог 2 3 10" xfId="8091" xr:uid="{14296FB2-5A45-4A92-BDC0-A23983F254AC}"/>
    <cellStyle name="Итог 2 3 11" xfId="11982" xr:uid="{EA701D0A-1C7C-4A89-8F88-484E1A879FFF}"/>
    <cellStyle name="Итог 2 3 12" xfId="13418" xr:uid="{FFD8FA4F-0063-4CAC-B2DB-B975545E9B27}"/>
    <cellStyle name="Итог 2 3 2" xfId="261" xr:uid="{00000000-0005-0000-0000-0000A6180000}"/>
    <cellStyle name="Итог 2 3 2 10" xfId="13510" xr:uid="{DC645BFA-C6E7-4830-9513-A4901FB303D6}"/>
    <cellStyle name="Итог 2 3 2 2" xfId="418" xr:uid="{00000000-0005-0000-0000-0000A7180000}"/>
    <cellStyle name="Итог 2 3 2 2 2" xfId="748" xr:uid="{00000000-0005-0000-0000-0000A8180000}"/>
    <cellStyle name="Итог 2 3 2 2 2 2" xfId="1529" xr:uid="{00000000-0005-0000-0000-0000A9180000}"/>
    <cellStyle name="Итог 2 3 2 2 2 2 2" xfId="2632" xr:uid="{00000000-0005-0000-0000-0000AA180000}"/>
    <cellStyle name="Итог 2 3 2 2 2 2 2 2" xfId="6529" xr:uid="{00000000-0005-0000-0000-0000AB180000}"/>
    <cellStyle name="Итог 2 3 2 2 2 2 2 3" xfId="10538" xr:uid="{E4FE76A0-1F8C-4060-AEB9-7B12A7367BC6}"/>
    <cellStyle name="Итог 2 3 2 2 2 2 3" xfId="3885" xr:uid="{00000000-0005-0000-0000-0000AC180000}"/>
    <cellStyle name="Итог 2 3 2 2 2 2 3 2" xfId="7779" xr:uid="{00000000-0005-0000-0000-0000AD180000}"/>
    <cellStyle name="Итог 2 3 2 2 2 2 3 3" xfId="11788" xr:uid="{18EA7490-A2C6-4903-826D-8853674E4865}"/>
    <cellStyle name="Итог 2 3 2 2 2 2 4" xfId="5430" xr:uid="{00000000-0005-0000-0000-0000AE180000}"/>
    <cellStyle name="Итог 2 3 2 2 2 2 5" xfId="9439" xr:uid="{F2E548AE-F9C1-4F48-94A1-D03EAA82CC9B}"/>
    <cellStyle name="Итог 2 3 2 2 2 2 6" xfId="13330" xr:uid="{2052A783-E280-4844-A57F-B65BCDCDC72A}"/>
    <cellStyle name="Итог 2 3 2 2 2 3" xfId="2631" xr:uid="{00000000-0005-0000-0000-0000AF180000}"/>
    <cellStyle name="Итог 2 3 2 2 2 3 2" xfId="6528" xr:uid="{00000000-0005-0000-0000-0000B0180000}"/>
    <cellStyle name="Итог 2 3 2 2 2 3 3" xfId="10537" xr:uid="{A9EBC72C-F1D0-4042-A1C3-99A20046FB55}"/>
    <cellStyle name="Итог 2 3 2 2 2 4" xfId="3474" xr:uid="{00000000-0005-0000-0000-0000B1180000}"/>
    <cellStyle name="Итог 2 3 2 2 2 4 2" xfId="7368" xr:uid="{00000000-0005-0000-0000-0000B2180000}"/>
    <cellStyle name="Итог 2 3 2 2 2 4 3" xfId="11377" xr:uid="{38BD39B6-1C93-471E-A2A7-2EE4F9B00068}"/>
    <cellStyle name="Итог 2 3 2 2 2 5" xfId="4652" xr:uid="{00000000-0005-0000-0000-0000B3180000}"/>
    <cellStyle name="Итог 2 3 2 2 2 6" xfId="8661" xr:uid="{DA49BB94-F7F3-4AE8-8EC4-00DB8C2CA99C}"/>
    <cellStyle name="Итог 2 3 2 2 2 7" xfId="12552" xr:uid="{CA710338-BAEA-4E88-8CA4-ABF670EFF49C}"/>
    <cellStyle name="Итог 2 3 2 2 3" xfId="1208" xr:uid="{00000000-0005-0000-0000-0000B4180000}"/>
    <cellStyle name="Итог 2 3 2 2 3 2" xfId="2633" xr:uid="{00000000-0005-0000-0000-0000B5180000}"/>
    <cellStyle name="Итог 2 3 2 2 3 2 2" xfId="6530" xr:uid="{00000000-0005-0000-0000-0000B6180000}"/>
    <cellStyle name="Итог 2 3 2 2 3 2 3" xfId="10539" xr:uid="{909EE3EE-5A27-4B55-8CBC-DD5DB4F6F16E}"/>
    <cellStyle name="Итог 2 3 2 2 3 3" xfId="3687" xr:uid="{00000000-0005-0000-0000-0000B7180000}"/>
    <cellStyle name="Итог 2 3 2 2 3 3 2" xfId="7581" xr:uid="{00000000-0005-0000-0000-0000B8180000}"/>
    <cellStyle name="Итог 2 3 2 2 3 3 3" xfId="11590" xr:uid="{65646C3C-B888-43EA-9241-1B34F421D38F}"/>
    <cellStyle name="Итог 2 3 2 2 3 4" xfId="5109" xr:uid="{00000000-0005-0000-0000-0000B9180000}"/>
    <cellStyle name="Итог 2 3 2 2 3 5" xfId="9118" xr:uid="{3E29A08E-4A37-4690-96F0-A7AD8E133949}"/>
    <cellStyle name="Итог 2 3 2 2 3 6" xfId="13009" xr:uid="{04634940-C4F6-4F56-9DEC-96DA9E5C4A12}"/>
    <cellStyle name="Итог 2 3 2 2 4" xfId="2630" xr:uid="{00000000-0005-0000-0000-0000BA180000}"/>
    <cellStyle name="Итог 2 3 2 2 4 2" xfId="6527" xr:uid="{00000000-0005-0000-0000-0000BB180000}"/>
    <cellStyle name="Итог 2 3 2 2 4 3" xfId="10536" xr:uid="{07BEED80-C072-47A4-AED3-8336C411A063}"/>
    <cellStyle name="Итог 2 3 2 2 5" xfId="3153" xr:uid="{00000000-0005-0000-0000-0000BC180000}"/>
    <cellStyle name="Итог 2 3 2 2 5 2" xfId="7047" xr:uid="{00000000-0005-0000-0000-0000BD180000}"/>
    <cellStyle name="Итог 2 3 2 2 5 3" xfId="11056" xr:uid="{73EF91C7-BC3E-4F34-B474-6F10BC352402}"/>
    <cellStyle name="Итог 2 3 2 2 6" xfId="4331" xr:uid="{00000000-0005-0000-0000-0000BE180000}"/>
    <cellStyle name="Итог 2 3 2 2 7" xfId="8340" xr:uid="{6734544D-0DFA-478D-BE45-265CE819DC31}"/>
    <cellStyle name="Итог 2 3 2 2 8" xfId="12231" xr:uid="{70E1BA0A-73C7-47AB-A8E7-7929EF566DB4}"/>
    <cellStyle name="Итог 2 3 2 3" xfId="591" xr:uid="{00000000-0005-0000-0000-0000BF180000}"/>
    <cellStyle name="Итог 2 3 2 3 2" xfId="1372" xr:uid="{00000000-0005-0000-0000-0000C0180000}"/>
    <cellStyle name="Итог 2 3 2 3 2 2" xfId="2635" xr:uid="{00000000-0005-0000-0000-0000C1180000}"/>
    <cellStyle name="Итог 2 3 2 3 2 2 2" xfId="6532" xr:uid="{00000000-0005-0000-0000-0000C2180000}"/>
    <cellStyle name="Итог 2 3 2 3 2 2 3" xfId="10541" xr:uid="{66BDCF4D-2C2B-4E45-8574-06EEF6B69873}"/>
    <cellStyle name="Итог 2 3 2 3 2 3" xfId="3786" xr:uid="{00000000-0005-0000-0000-0000C3180000}"/>
    <cellStyle name="Итог 2 3 2 3 2 3 2" xfId="7680" xr:uid="{00000000-0005-0000-0000-0000C4180000}"/>
    <cellStyle name="Итог 2 3 2 3 2 3 3" xfId="11689" xr:uid="{EA91D955-4F39-4021-BD67-27E376E905CF}"/>
    <cellStyle name="Итог 2 3 2 3 2 4" xfId="5273" xr:uid="{00000000-0005-0000-0000-0000C5180000}"/>
    <cellStyle name="Итог 2 3 2 3 2 5" xfId="9282" xr:uid="{8E513270-714D-48C7-923E-55B7D4F8810B}"/>
    <cellStyle name="Итог 2 3 2 3 2 6" xfId="13173" xr:uid="{866536FD-E437-4DD4-BECC-5354EC8DE1E6}"/>
    <cellStyle name="Итог 2 3 2 3 3" xfId="2634" xr:uid="{00000000-0005-0000-0000-0000C6180000}"/>
    <cellStyle name="Итог 2 3 2 3 3 2" xfId="6531" xr:uid="{00000000-0005-0000-0000-0000C7180000}"/>
    <cellStyle name="Итог 2 3 2 3 3 3" xfId="10540" xr:uid="{46D3E910-870C-4DE0-91FA-21AB13E74CD5}"/>
    <cellStyle name="Итог 2 3 2 3 4" xfId="3317" xr:uid="{00000000-0005-0000-0000-0000C8180000}"/>
    <cellStyle name="Итог 2 3 2 3 4 2" xfId="7211" xr:uid="{00000000-0005-0000-0000-0000C9180000}"/>
    <cellStyle name="Итог 2 3 2 3 4 3" xfId="11220" xr:uid="{5BB6F2CD-0FD7-4380-828C-78CA13240B3B}"/>
    <cellStyle name="Итог 2 3 2 3 5" xfId="4495" xr:uid="{00000000-0005-0000-0000-0000CA180000}"/>
    <cellStyle name="Итог 2 3 2 3 6" xfId="8504" xr:uid="{3760F63D-B18F-42A3-B629-74C2CAF35330}"/>
    <cellStyle name="Итог 2 3 2 3 7" xfId="12395" xr:uid="{43FB8BA8-CF7B-4FDC-8876-F4848DB89A59}"/>
    <cellStyle name="Итог 2 3 2 4" xfId="1051" xr:uid="{00000000-0005-0000-0000-0000CB180000}"/>
    <cellStyle name="Итог 2 3 2 4 2" xfId="2636" xr:uid="{00000000-0005-0000-0000-0000CC180000}"/>
    <cellStyle name="Итог 2 3 2 4 2 2" xfId="6533" xr:uid="{00000000-0005-0000-0000-0000CD180000}"/>
    <cellStyle name="Итог 2 3 2 4 2 3" xfId="10542" xr:uid="{A08C5D82-5C40-4B5A-9875-875B101F569C}"/>
    <cellStyle name="Итог 2 3 2 4 3" xfId="3588" xr:uid="{00000000-0005-0000-0000-0000CE180000}"/>
    <cellStyle name="Итог 2 3 2 4 3 2" xfId="7482" xr:uid="{00000000-0005-0000-0000-0000CF180000}"/>
    <cellStyle name="Итог 2 3 2 4 3 3" xfId="11491" xr:uid="{54E9F745-0DA0-4028-A6DE-B287AC9EC8DB}"/>
    <cellStyle name="Итог 2 3 2 4 4" xfId="4952" xr:uid="{00000000-0005-0000-0000-0000D0180000}"/>
    <cellStyle name="Итог 2 3 2 4 5" xfId="8961" xr:uid="{FC80F7C8-1051-42B8-A3CC-B9835272658C}"/>
    <cellStyle name="Итог 2 3 2 4 6" xfId="12852" xr:uid="{53549620-6639-4B00-8EE0-1B853DDE48CF}"/>
    <cellStyle name="Итог 2 3 2 5" xfId="2629" xr:uid="{00000000-0005-0000-0000-0000D1180000}"/>
    <cellStyle name="Итог 2 3 2 5 2" xfId="6526" xr:uid="{00000000-0005-0000-0000-0000D2180000}"/>
    <cellStyle name="Итог 2 3 2 5 3" xfId="10535" xr:uid="{4895C233-EEE0-49A9-8E6F-DE7E6AC91869}"/>
    <cellStyle name="Итог 2 3 2 6" xfId="2996" xr:uid="{00000000-0005-0000-0000-0000D3180000}"/>
    <cellStyle name="Итог 2 3 2 6 2" xfId="6890" xr:uid="{00000000-0005-0000-0000-0000D4180000}"/>
    <cellStyle name="Итог 2 3 2 6 3" xfId="10899" xr:uid="{116C645B-D17B-472F-B7D3-B82AB75583E7}"/>
    <cellStyle name="Итог 2 3 2 7" xfId="4174" xr:uid="{00000000-0005-0000-0000-0000D5180000}"/>
    <cellStyle name="Итог 2 3 2 8" xfId="8183" xr:uid="{9AE4AB03-01FC-453D-BEED-3C2E63D52B18}"/>
    <cellStyle name="Итог 2 3 2 9" xfId="12074" xr:uid="{7423B695-B9D2-4732-AAB4-3C218321C493}"/>
    <cellStyle name="Итог 2 3 3" xfId="263" xr:uid="{00000000-0005-0000-0000-0000D6180000}"/>
    <cellStyle name="Итог 2 3 3 10" xfId="13512" xr:uid="{926A2B9A-D518-48E5-84F5-1DF89853B907}"/>
    <cellStyle name="Итог 2 3 3 2" xfId="420" xr:uid="{00000000-0005-0000-0000-0000D7180000}"/>
    <cellStyle name="Итог 2 3 3 2 2" xfId="750" xr:uid="{00000000-0005-0000-0000-0000D8180000}"/>
    <cellStyle name="Итог 2 3 3 2 2 2" xfId="1531" xr:uid="{00000000-0005-0000-0000-0000D9180000}"/>
    <cellStyle name="Итог 2 3 3 2 2 2 2" xfId="2640" xr:uid="{00000000-0005-0000-0000-0000DA180000}"/>
    <cellStyle name="Итог 2 3 3 2 2 2 2 2" xfId="6537" xr:uid="{00000000-0005-0000-0000-0000DB180000}"/>
    <cellStyle name="Итог 2 3 3 2 2 2 2 3" xfId="10546" xr:uid="{BD5B6B11-3E9E-4F5A-A615-43E0E7F874E0}"/>
    <cellStyle name="Итог 2 3 3 2 2 2 3" xfId="3887" xr:uid="{00000000-0005-0000-0000-0000DC180000}"/>
    <cellStyle name="Итог 2 3 3 2 2 2 3 2" xfId="7781" xr:uid="{00000000-0005-0000-0000-0000DD180000}"/>
    <cellStyle name="Итог 2 3 3 2 2 2 3 3" xfId="11790" xr:uid="{B1C43F4E-51AA-49A6-9913-BE23BB1CED1B}"/>
    <cellStyle name="Итог 2 3 3 2 2 2 4" xfId="5432" xr:uid="{00000000-0005-0000-0000-0000DE180000}"/>
    <cellStyle name="Итог 2 3 3 2 2 2 5" xfId="9441" xr:uid="{7D1B0F48-D65C-4732-A293-E31ABE360973}"/>
    <cellStyle name="Итог 2 3 3 2 2 2 6" xfId="13332" xr:uid="{D6EC5806-6F19-4E57-8E8A-17B244C35937}"/>
    <cellStyle name="Итог 2 3 3 2 2 3" xfId="2639" xr:uid="{00000000-0005-0000-0000-0000DF180000}"/>
    <cellStyle name="Итог 2 3 3 2 2 3 2" xfId="6536" xr:uid="{00000000-0005-0000-0000-0000E0180000}"/>
    <cellStyle name="Итог 2 3 3 2 2 3 3" xfId="10545" xr:uid="{C9234DA9-F826-4B85-BDE3-E2DF802463BD}"/>
    <cellStyle name="Итог 2 3 3 2 2 4" xfId="3476" xr:uid="{00000000-0005-0000-0000-0000E1180000}"/>
    <cellStyle name="Итог 2 3 3 2 2 4 2" xfId="7370" xr:uid="{00000000-0005-0000-0000-0000E2180000}"/>
    <cellStyle name="Итог 2 3 3 2 2 4 3" xfId="11379" xr:uid="{04F2EC5D-27C6-4EFD-8031-6E5A2A348104}"/>
    <cellStyle name="Итог 2 3 3 2 2 5" xfId="4654" xr:uid="{00000000-0005-0000-0000-0000E3180000}"/>
    <cellStyle name="Итог 2 3 3 2 2 6" xfId="8663" xr:uid="{1E111EE5-27D5-4CAC-87AB-29BD620D0D0F}"/>
    <cellStyle name="Итог 2 3 3 2 2 7" xfId="12554" xr:uid="{14A6DF4D-A23C-422C-B20D-062D81941080}"/>
    <cellStyle name="Итог 2 3 3 2 3" xfId="1210" xr:uid="{00000000-0005-0000-0000-0000E4180000}"/>
    <cellStyle name="Итог 2 3 3 2 3 2" xfId="2641" xr:uid="{00000000-0005-0000-0000-0000E5180000}"/>
    <cellStyle name="Итог 2 3 3 2 3 2 2" xfId="6538" xr:uid="{00000000-0005-0000-0000-0000E6180000}"/>
    <cellStyle name="Итог 2 3 3 2 3 2 3" xfId="10547" xr:uid="{75E7E3B9-8DF5-4EB6-A2C1-9845AD2D8D0C}"/>
    <cellStyle name="Итог 2 3 3 2 3 3" xfId="3689" xr:uid="{00000000-0005-0000-0000-0000E7180000}"/>
    <cellStyle name="Итог 2 3 3 2 3 3 2" xfId="7583" xr:uid="{00000000-0005-0000-0000-0000E8180000}"/>
    <cellStyle name="Итог 2 3 3 2 3 3 3" xfId="11592" xr:uid="{62AF1581-10CA-4CD3-887D-9A2A44E6B594}"/>
    <cellStyle name="Итог 2 3 3 2 3 4" xfId="5111" xr:uid="{00000000-0005-0000-0000-0000E9180000}"/>
    <cellStyle name="Итог 2 3 3 2 3 5" xfId="9120" xr:uid="{D87EC942-6F9D-4FD6-9ABB-FF05A94C3DF4}"/>
    <cellStyle name="Итог 2 3 3 2 3 6" xfId="13011" xr:uid="{963DFB5E-0797-42F1-898B-6A77BFCAF392}"/>
    <cellStyle name="Итог 2 3 3 2 4" xfId="2638" xr:uid="{00000000-0005-0000-0000-0000EA180000}"/>
    <cellStyle name="Итог 2 3 3 2 4 2" xfId="6535" xr:uid="{00000000-0005-0000-0000-0000EB180000}"/>
    <cellStyle name="Итог 2 3 3 2 4 3" xfId="10544" xr:uid="{A9AD781D-9A19-49A9-B2DE-16288F3F4132}"/>
    <cellStyle name="Итог 2 3 3 2 5" xfId="3155" xr:uid="{00000000-0005-0000-0000-0000EC180000}"/>
    <cellStyle name="Итог 2 3 3 2 5 2" xfId="7049" xr:uid="{00000000-0005-0000-0000-0000ED180000}"/>
    <cellStyle name="Итог 2 3 3 2 5 3" xfId="11058" xr:uid="{4E205F1B-88BE-4201-B99F-7E3C16C756EF}"/>
    <cellStyle name="Итог 2 3 3 2 6" xfId="4333" xr:uid="{00000000-0005-0000-0000-0000EE180000}"/>
    <cellStyle name="Итог 2 3 3 2 7" xfId="8342" xr:uid="{C20AC6F6-9770-4D38-A1C3-CE3E34AE2B16}"/>
    <cellStyle name="Итог 2 3 3 2 8" xfId="12233" xr:uid="{A723EF66-2618-482B-8D38-AB4FAC984FF7}"/>
    <cellStyle name="Итог 2 3 3 3" xfId="593" xr:uid="{00000000-0005-0000-0000-0000EF180000}"/>
    <cellStyle name="Итог 2 3 3 3 2" xfId="1374" xr:uid="{00000000-0005-0000-0000-0000F0180000}"/>
    <cellStyle name="Итог 2 3 3 3 2 2" xfId="2643" xr:uid="{00000000-0005-0000-0000-0000F1180000}"/>
    <cellStyle name="Итог 2 3 3 3 2 2 2" xfId="6540" xr:uid="{00000000-0005-0000-0000-0000F2180000}"/>
    <cellStyle name="Итог 2 3 3 3 2 2 3" xfId="10549" xr:uid="{C7C54955-C309-472B-A20F-90C4B2B67709}"/>
    <cellStyle name="Итог 2 3 3 3 2 3" xfId="3788" xr:uid="{00000000-0005-0000-0000-0000F3180000}"/>
    <cellStyle name="Итог 2 3 3 3 2 3 2" xfId="7682" xr:uid="{00000000-0005-0000-0000-0000F4180000}"/>
    <cellStyle name="Итог 2 3 3 3 2 3 3" xfId="11691" xr:uid="{ADDE7317-D2DB-4D5C-A985-71F6640811BD}"/>
    <cellStyle name="Итог 2 3 3 3 2 4" xfId="5275" xr:uid="{00000000-0005-0000-0000-0000F5180000}"/>
    <cellStyle name="Итог 2 3 3 3 2 5" xfId="9284" xr:uid="{F9FE615D-9FAA-43AA-97FD-F52BEFA13A93}"/>
    <cellStyle name="Итог 2 3 3 3 2 6" xfId="13175" xr:uid="{144EEAE0-0FF4-403B-BEA4-92F26E9D7E1D}"/>
    <cellStyle name="Итог 2 3 3 3 3" xfId="2642" xr:uid="{00000000-0005-0000-0000-0000F6180000}"/>
    <cellStyle name="Итог 2 3 3 3 3 2" xfId="6539" xr:uid="{00000000-0005-0000-0000-0000F7180000}"/>
    <cellStyle name="Итог 2 3 3 3 3 3" xfId="10548" xr:uid="{AE14966E-6690-4696-AEC5-09432D795851}"/>
    <cellStyle name="Итог 2 3 3 3 4" xfId="3319" xr:uid="{00000000-0005-0000-0000-0000F8180000}"/>
    <cellStyle name="Итог 2 3 3 3 4 2" xfId="7213" xr:uid="{00000000-0005-0000-0000-0000F9180000}"/>
    <cellStyle name="Итог 2 3 3 3 4 3" xfId="11222" xr:uid="{956EF9DC-3E9F-4235-8531-F94F3BD8A12A}"/>
    <cellStyle name="Итог 2 3 3 3 5" xfId="4497" xr:uid="{00000000-0005-0000-0000-0000FA180000}"/>
    <cellStyle name="Итог 2 3 3 3 6" xfId="8506" xr:uid="{68EA5CEC-87EE-4805-9271-6FE0ED8F1B8F}"/>
    <cellStyle name="Итог 2 3 3 3 7" xfId="12397" xr:uid="{C5A37431-3E47-408B-9E83-62E117A617AB}"/>
    <cellStyle name="Итог 2 3 3 4" xfId="1053" xr:uid="{00000000-0005-0000-0000-0000FB180000}"/>
    <cellStyle name="Итог 2 3 3 4 2" xfId="2644" xr:uid="{00000000-0005-0000-0000-0000FC180000}"/>
    <cellStyle name="Итог 2 3 3 4 2 2" xfId="6541" xr:uid="{00000000-0005-0000-0000-0000FD180000}"/>
    <cellStyle name="Итог 2 3 3 4 2 3" xfId="10550" xr:uid="{1EC02566-784B-45B3-B400-CA8106A91A50}"/>
    <cellStyle name="Итог 2 3 3 4 3" xfId="3590" xr:uid="{00000000-0005-0000-0000-0000FE180000}"/>
    <cellStyle name="Итог 2 3 3 4 3 2" xfId="7484" xr:uid="{00000000-0005-0000-0000-0000FF180000}"/>
    <cellStyle name="Итог 2 3 3 4 3 3" xfId="11493" xr:uid="{8CF1D8D3-E12F-4EDB-8B73-A7F57F84D786}"/>
    <cellStyle name="Итог 2 3 3 4 4" xfId="4954" xr:uid="{00000000-0005-0000-0000-000000190000}"/>
    <cellStyle name="Итог 2 3 3 4 5" xfId="8963" xr:uid="{5F2F079E-AB4C-49BE-B8A7-20CF71759C3C}"/>
    <cellStyle name="Итог 2 3 3 4 6" xfId="12854" xr:uid="{4C1C562C-684D-463C-AC9C-7868CF9D21CE}"/>
    <cellStyle name="Итог 2 3 3 5" xfId="2637" xr:uid="{00000000-0005-0000-0000-000001190000}"/>
    <cellStyle name="Итог 2 3 3 5 2" xfId="6534" xr:uid="{00000000-0005-0000-0000-000002190000}"/>
    <cellStyle name="Итог 2 3 3 5 3" xfId="10543" xr:uid="{616FCA22-039D-4E1B-A3EF-02EF68FA7056}"/>
    <cellStyle name="Итог 2 3 3 6" xfId="2998" xr:uid="{00000000-0005-0000-0000-000003190000}"/>
    <cellStyle name="Итог 2 3 3 6 2" xfId="6892" xr:uid="{00000000-0005-0000-0000-000004190000}"/>
    <cellStyle name="Итог 2 3 3 6 3" xfId="10901" xr:uid="{F611B499-659F-456D-A154-DA6B25DEB679}"/>
    <cellStyle name="Итог 2 3 3 7" xfId="4176" xr:uid="{00000000-0005-0000-0000-000005190000}"/>
    <cellStyle name="Итог 2 3 3 8" xfId="8185" xr:uid="{3684B863-05BE-4AEF-AA63-20D35E97ED25}"/>
    <cellStyle name="Итог 2 3 3 9" xfId="12076" xr:uid="{072360EE-6411-45F3-8702-A51DB045CA53}"/>
    <cellStyle name="Итог 2 3 4" xfId="334" xr:uid="{00000000-0005-0000-0000-000006190000}"/>
    <cellStyle name="Итог 2 3 4 2" xfId="664" xr:uid="{00000000-0005-0000-0000-000007190000}"/>
    <cellStyle name="Итог 2 3 4 2 2" xfId="1445" xr:uid="{00000000-0005-0000-0000-000008190000}"/>
    <cellStyle name="Итог 2 3 4 2 2 2" xfId="2647" xr:uid="{00000000-0005-0000-0000-000009190000}"/>
    <cellStyle name="Итог 2 3 4 2 2 2 2" xfId="6544" xr:uid="{00000000-0005-0000-0000-00000A190000}"/>
    <cellStyle name="Итог 2 3 4 2 2 2 3" xfId="10553" xr:uid="{59D68F66-78EE-44CD-9689-646BD321556F}"/>
    <cellStyle name="Итог 2 3 4 2 2 3" xfId="3830" xr:uid="{00000000-0005-0000-0000-00000B190000}"/>
    <cellStyle name="Итог 2 3 4 2 2 3 2" xfId="7724" xr:uid="{00000000-0005-0000-0000-00000C190000}"/>
    <cellStyle name="Итог 2 3 4 2 2 3 3" xfId="11733" xr:uid="{C1359669-3335-487F-A6A4-B0A02BEF5CF0}"/>
    <cellStyle name="Итог 2 3 4 2 2 4" xfId="5346" xr:uid="{00000000-0005-0000-0000-00000D190000}"/>
    <cellStyle name="Итог 2 3 4 2 2 5" xfId="9355" xr:uid="{B22AD70B-D1C2-4B9C-A8E7-B4BFAE0939EF}"/>
    <cellStyle name="Итог 2 3 4 2 2 6" xfId="13246" xr:uid="{3EF33623-CF6F-4D97-8DD4-0A218DCB5A0C}"/>
    <cellStyle name="Итог 2 3 4 2 3" xfId="2646" xr:uid="{00000000-0005-0000-0000-00000E190000}"/>
    <cellStyle name="Итог 2 3 4 2 3 2" xfId="6543" xr:uid="{00000000-0005-0000-0000-00000F190000}"/>
    <cellStyle name="Итог 2 3 4 2 3 3" xfId="10552" xr:uid="{38F2E566-6570-45A1-B0B2-90791E6FED84}"/>
    <cellStyle name="Итог 2 3 4 2 4" xfId="3390" xr:uid="{00000000-0005-0000-0000-000010190000}"/>
    <cellStyle name="Итог 2 3 4 2 4 2" xfId="7284" xr:uid="{00000000-0005-0000-0000-000011190000}"/>
    <cellStyle name="Итог 2 3 4 2 4 3" xfId="11293" xr:uid="{BC41D27E-DAEA-4D34-B8FF-24C5B1BFB6F0}"/>
    <cellStyle name="Итог 2 3 4 2 5" xfId="4568" xr:uid="{00000000-0005-0000-0000-000012190000}"/>
    <cellStyle name="Итог 2 3 4 2 6" xfId="8577" xr:uid="{ADE1B901-6FEA-4B44-81C2-6CEC17E93CDB}"/>
    <cellStyle name="Итог 2 3 4 2 7" xfId="12468" xr:uid="{2689FE68-9D1D-4097-B289-CD3A69139EE5}"/>
    <cellStyle name="Итог 2 3 4 3" xfId="1124" xr:uid="{00000000-0005-0000-0000-000013190000}"/>
    <cellStyle name="Итог 2 3 4 3 2" xfId="2648" xr:uid="{00000000-0005-0000-0000-000014190000}"/>
    <cellStyle name="Итог 2 3 4 3 2 2" xfId="6545" xr:uid="{00000000-0005-0000-0000-000015190000}"/>
    <cellStyle name="Итог 2 3 4 3 2 3" xfId="10554" xr:uid="{F4BEC4CB-8BA7-4C7C-A1AF-F6268E801336}"/>
    <cellStyle name="Итог 2 3 4 3 3" xfId="3632" xr:uid="{00000000-0005-0000-0000-000016190000}"/>
    <cellStyle name="Итог 2 3 4 3 3 2" xfId="7526" xr:uid="{00000000-0005-0000-0000-000017190000}"/>
    <cellStyle name="Итог 2 3 4 3 3 3" xfId="11535" xr:uid="{CBA1C7B4-5718-4710-9E7A-1874C82A34FC}"/>
    <cellStyle name="Итог 2 3 4 3 4" xfId="5025" xr:uid="{00000000-0005-0000-0000-000018190000}"/>
    <cellStyle name="Итог 2 3 4 3 5" xfId="9034" xr:uid="{6D104CC1-F592-4F91-9F6F-6304EC14D41D}"/>
    <cellStyle name="Итог 2 3 4 3 6" xfId="12925" xr:uid="{471BAB82-EB26-4097-B7D5-AF80B9488849}"/>
    <cellStyle name="Итог 2 3 4 4" xfId="2645" xr:uid="{00000000-0005-0000-0000-000019190000}"/>
    <cellStyle name="Итог 2 3 4 4 2" xfId="6542" xr:uid="{00000000-0005-0000-0000-00001A190000}"/>
    <cellStyle name="Итог 2 3 4 4 3" xfId="10551" xr:uid="{47CF38E8-ADC1-40A0-A5AD-575AC33D18E1}"/>
    <cellStyle name="Итог 2 3 4 5" xfId="3069" xr:uid="{00000000-0005-0000-0000-00001B190000}"/>
    <cellStyle name="Итог 2 3 4 5 2" xfId="6963" xr:uid="{00000000-0005-0000-0000-00001C190000}"/>
    <cellStyle name="Итог 2 3 4 5 3" xfId="10972" xr:uid="{7A71BBC0-D857-43E7-81FA-7BFF0D44B113}"/>
    <cellStyle name="Итог 2 3 4 6" xfId="4247" xr:uid="{00000000-0005-0000-0000-00001D190000}"/>
    <cellStyle name="Итог 2 3 4 7" xfId="8256" xr:uid="{1A8A77C3-C2AD-41D6-BE41-619E10DE1298}"/>
    <cellStyle name="Итог 2 3 4 8" xfId="12147" xr:uid="{EB7691C6-C6FA-4D29-AA8F-9A62F88C775F}"/>
    <cellStyle name="Итог 2 3 5" xfId="496" xr:uid="{00000000-0005-0000-0000-00001E190000}"/>
    <cellStyle name="Итог 2 3 5 2" xfId="1280" xr:uid="{00000000-0005-0000-0000-00001F190000}"/>
    <cellStyle name="Итог 2 3 5 2 2" xfId="2650" xr:uid="{00000000-0005-0000-0000-000020190000}"/>
    <cellStyle name="Итог 2 3 5 2 2 2" xfId="6547" xr:uid="{00000000-0005-0000-0000-000021190000}"/>
    <cellStyle name="Итог 2 3 5 2 2 3" xfId="10556" xr:uid="{394AD1B1-A995-49B6-A95A-A4D47F976105}"/>
    <cellStyle name="Итог 2 3 5 2 3" xfId="3731" xr:uid="{00000000-0005-0000-0000-000022190000}"/>
    <cellStyle name="Итог 2 3 5 2 3 2" xfId="7625" xr:uid="{00000000-0005-0000-0000-000023190000}"/>
    <cellStyle name="Итог 2 3 5 2 3 3" xfId="11634" xr:uid="{78493FDD-9DD8-476B-A18C-42101B493EF8}"/>
    <cellStyle name="Итог 2 3 5 2 4" xfId="5181" xr:uid="{00000000-0005-0000-0000-000024190000}"/>
    <cellStyle name="Итог 2 3 5 2 5" xfId="9190" xr:uid="{BEE4C081-2C2C-4616-BEEA-FA7625F7B692}"/>
    <cellStyle name="Итог 2 3 5 2 6" xfId="13081" xr:uid="{B4974E61-B62E-4A70-ACAD-D8C6A9BA20E2}"/>
    <cellStyle name="Итог 2 3 5 3" xfId="2649" xr:uid="{00000000-0005-0000-0000-000025190000}"/>
    <cellStyle name="Итог 2 3 5 3 2" xfId="6546" xr:uid="{00000000-0005-0000-0000-000026190000}"/>
    <cellStyle name="Итог 2 3 5 3 3" xfId="10555" xr:uid="{F7C3A821-89CF-4B00-8640-D5C3BB56D0C0}"/>
    <cellStyle name="Итог 2 3 5 4" xfId="3225" xr:uid="{00000000-0005-0000-0000-000027190000}"/>
    <cellStyle name="Итог 2 3 5 4 2" xfId="7119" xr:uid="{00000000-0005-0000-0000-000028190000}"/>
    <cellStyle name="Итог 2 3 5 4 3" xfId="11128" xr:uid="{94C9BA66-AD11-48FD-A947-CBD9BD7DC0AE}"/>
    <cellStyle name="Итог 2 3 5 5" xfId="4403" xr:uid="{00000000-0005-0000-0000-000029190000}"/>
    <cellStyle name="Итог 2 3 5 6" xfId="8412" xr:uid="{5051A170-AEA6-49A5-8E29-556673B32CA9}"/>
    <cellStyle name="Итог 2 3 5 7" xfId="12303" xr:uid="{C18CA646-795C-4B8D-8202-FF5F13F3DD6F}"/>
    <cellStyle name="Итог 2 3 6" xfId="959" xr:uid="{00000000-0005-0000-0000-00002A190000}"/>
    <cellStyle name="Итог 2 3 6 2" xfId="2651" xr:uid="{00000000-0005-0000-0000-00002B190000}"/>
    <cellStyle name="Итог 2 3 6 2 2" xfId="6548" xr:uid="{00000000-0005-0000-0000-00002C190000}"/>
    <cellStyle name="Итог 2 3 6 2 3" xfId="10557" xr:uid="{D6B1D753-50B9-45C2-9129-F590872FB607}"/>
    <cellStyle name="Итог 2 3 6 3" xfId="3533" xr:uid="{00000000-0005-0000-0000-00002D190000}"/>
    <cellStyle name="Итог 2 3 6 3 2" xfId="7427" xr:uid="{00000000-0005-0000-0000-00002E190000}"/>
    <cellStyle name="Итог 2 3 6 3 3" xfId="11436" xr:uid="{2004C082-16F7-4B3E-B96F-6C49E1A5845D}"/>
    <cellStyle name="Итог 2 3 6 4" xfId="4860" xr:uid="{00000000-0005-0000-0000-00002F190000}"/>
    <cellStyle name="Итог 2 3 6 5" xfId="8869" xr:uid="{BA6276F0-B58A-4309-A63E-52884A1FCD8C}"/>
    <cellStyle name="Итог 2 3 6 6" xfId="12760" xr:uid="{A8DB78D4-17C5-4FBC-A3B6-5B237D958D40}"/>
    <cellStyle name="Итог 2 3 7" xfId="2628" xr:uid="{00000000-0005-0000-0000-000030190000}"/>
    <cellStyle name="Итог 2 3 7 2" xfId="6525" xr:uid="{00000000-0005-0000-0000-000031190000}"/>
    <cellStyle name="Итог 2 3 7 3" xfId="10534" xr:uid="{249A2FD8-759F-4EC8-A2F3-656A6F9001CC}"/>
    <cellStyle name="Итог 2 3 8" xfId="2904" xr:uid="{00000000-0005-0000-0000-000032190000}"/>
    <cellStyle name="Итог 2 3 8 2" xfId="6798" xr:uid="{00000000-0005-0000-0000-000033190000}"/>
    <cellStyle name="Итог 2 3 8 3" xfId="10807" xr:uid="{DBAB9A36-E058-4DA5-A38C-8F05B0A27234}"/>
    <cellStyle name="Итог 2 3 9" xfId="4082" xr:uid="{00000000-0005-0000-0000-000034190000}"/>
    <cellStyle name="Итог 2 4" xfId="168" xr:uid="{00000000-0005-0000-0000-000035190000}"/>
    <cellStyle name="Итог 2 4 10" xfId="4084" xr:uid="{00000000-0005-0000-0000-000036190000}"/>
    <cellStyle name="Итог 2 4 11" xfId="8093" xr:uid="{8B45C2C5-9828-432C-97F5-51D8665C1FFD}"/>
    <cellStyle name="Итог 2 4 12" xfId="11984" xr:uid="{EC239255-D2AC-4DEE-B2A3-443EAFC325B3}"/>
    <cellStyle name="Итог 2 4 13" xfId="13420" xr:uid="{9D2D1051-3043-4EBD-B669-FAB7C14981FF}"/>
    <cellStyle name="Итог 2 4 2" xfId="187" xr:uid="{00000000-0005-0000-0000-000037190000}"/>
    <cellStyle name="Итог 2 4 2 10" xfId="8112" xr:uid="{CE22CDB1-C66B-4783-9F6F-DA5A2A0EAF52}"/>
    <cellStyle name="Итог 2 4 2 11" xfId="12003" xr:uid="{F1049FCB-51A5-40CF-BDE5-347A2B1B3A1C}"/>
    <cellStyle name="Итог 2 4 2 12" xfId="13439" xr:uid="{AEF998E0-F2B7-41C2-888D-DD3DAC77FE14}"/>
    <cellStyle name="Итог 2 4 2 2" xfId="288" xr:uid="{00000000-0005-0000-0000-000038190000}"/>
    <cellStyle name="Итог 2 4 2 2 10" xfId="13537" xr:uid="{42AD4565-6CE4-4B59-A039-264EA5A2629F}"/>
    <cellStyle name="Итог 2 4 2 2 2" xfId="444" xr:uid="{00000000-0005-0000-0000-000039190000}"/>
    <cellStyle name="Итог 2 4 2 2 2 2" xfId="774" xr:uid="{00000000-0005-0000-0000-00003A190000}"/>
    <cellStyle name="Итог 2 4 2 2 2 2 2" xfId="1555" xr:uid="{00000000-0005-0000-0000-00003B190000}"/>
    <cellStyle name="Итог 2 4 2 2 2 2 2 2" xfId="2657" xr:uid="{00000000-0005-0000-0000-00003C190000}"/>
    <cellStyle name="Итог 2 4 2 2 2 2 2 2 2" xfId="6554" xr:uid="{00000000-0005-0000-0000-00003D190000}"/>
    <cellStyle name="Итог 2 4 2 2 2 2 2 2 3" xfId="10563" xr:uid="{14554E9E-205D-4A73-86F3-6B6D42DAF3C3}"/>
    <cellStyle name="Итог 2 4 2 2 2 2 2 3" xfId="3903" xr:uid="{00000000-0005-0000-0000-00003E190000}"/>
    <cellStyle name="Итог 2 4 2 2 2 2 2 3 2" xfId="7797" xr:uid="{00000000-0005-0000-0000-00003F190000}"/>
    <cellStyle name="Итог 2 4 2 2 2 2 2 3 3" xfId="11806" xr:uid="{240B0767-7ABC-4CA6-8D52-B94E4B930FFC}"/>
    <cellStyle name="Итог 2 4 2 2 2 2 2 4" xfId="5456" xr:uid="{00000000-0005-0000-0000-000040190000}"/>
    <cellStyle name="Итог 2 4 2 2 2 2 2 5" xfId="9465" xr:uid="{421DED7A-7A20-4680-980B-D4A57DB2C6B1}"/>
    <cellStyle name="Итог 2 4 2 2 2 2 2 6" xfId="13356" xr:uid="{E9C0C05A-6339-4325-9D24-7B259C1D198D}"/>
    <cellStyle name="Итог 2 4 2 2 2 2 3" xfId="2656" xr:uid="{00000000-0005-0000-0000-000041190000}"/>
    <cellStyle name="Итог 2 4 2 2 2 2 3 2" xfId="6553" xr:uid="{00000000-0005-0000-0000-000042190000}"/>
    <cellStyle name="Итог 2 4 2 2 2 2 3 3" xfId="10562" xr:uid="{A3C138A3-2542-43B9-BE6E-B544D1032598}"/>
    <cellStyle name="Итог 2 4 2 2 2 2 4" xfId="3500" xr:uid="{00000000-0005-0000-0000-000043190000}"/>
    <cellStyle name="Итог 2 4 2 2 2 2 4 2" xfId="7394" xr:uid="{00000000-0005-0000-0000-000044190000}"/>
    <cellStyle name="Итог 2 4 2 2 2 2 4 3" xfId="11403" xr:uid="{57086316-B3D2-46DC-B1A9-5303615AB75B}"/>
    <cellStyle name="Итог 2 4 2 2 2 2 5" xfId="4678" xr:uid="{00000000-0005-0000-0000-000045190000}"/>
    <cellStyle name="Итог 2 4 2 2 2 2 6" xfId="8687" xr:uid="{86943330-2CD9-4004-B5DC-390F9007C391}"/>
    <cellStyle name="Итог 2 4 2 2 2 2 7" xfId="12578" xr:uid="{0A3031CB-4BAB-4017-9297-75A9060456DC}"/>
    <cellStyle name="Итог 2 4 2 2 2 3" xfId="1234" xr:uid="{00000000-0005-0000-0000-000046190000}"/>
    <cellStyle name="Итог 2 4 2 2 2 3 2" xfId="2658" xr:uid="{00000000-0005-0000-0000-000047190000}"/>
    <cellStyle name="Итог 2 4 2 2 2 3 2 2" xfId="6555" xr:uid="{00000000-0005-0000-0000-000048190000}"/>
    <cellStyle name="Итог 2 4 2 2 2 3 2 3" xfId="10564" xr:uid="{AC165706-6255-4F99-96A5-06E1A25FA614}"/>
    <cellStyle name="Итог 2 4 2 2 2 3 3" xfId="3705" xr:uid="{00000000-0005-0000-0000-000049190000}"/>
    <cellStyle name="Итог 2 4 2 2 2 3 3 2" xfId="7599" xr:uid="{00000000-0005-0000-0000-00004A190000}"/>
    <cellStyle name="Итог 2 4 2 2 2 3 3 3" xfId="11608" xr:uid="{C446E7A0-D852-4C9D-AEEC-B3D597B096C1}"/>
    <cellStyle name="Итог 2 4 2 2 2 3 4" xfId="5135" xr:uid="{00000000-0005-0000-0000-00004B190000}"/>
    <cellStyle name="Итог 2 4 2 2 2 3 5" xfId="9144" xr:uid="{456EDC6A-4E1C-4E9E-8C3C-0598F2383966}"/>
    <cellStyle name="Итог 2 4 2 2 2 3 6" xfId="13035" xr:uid="{427654C4-3C38-42A8-9F9E-D3769692BD13}"/>
    <cellStyle name="Итог 2 4 2 2 2 4" xfId="2655" xr:uid="{00000000-0005-0000-0000-00004C190000}"/>
    <cellStyle name="Итог 2 4 2 2 2 4 2" xfId="6552" xr:uid="{00000000-0005-0000-0000-00004D190000}"/>
    <cellStyle name="Итог 2 4 2 2 2 4 3" xfId="10561" xr:uid="{02051D0F-C17E-4C82-B650-D2CA18811B08}"/>
    <cellStyle name="Итог 2 4 2 2 2 5" xfId="3179" xr:uid="{00000000-0005-0000-0000-00004E190000}"/>
    <cellStyle name="Итог 2 4 2 2 2 5 2" xfId="7073" xr:uid="{00000000-0005-0000-0000-00004F190000}"/>
    <cellStyle name="Итог 2 4 2 2 2 5 3" xfId="11082" xr:uid="{7CBA82AB-DB76-4F74-BD64-58A1FD203FEE}"/>
    <cellStyle name="Итог 2 4 2 2 2 6" xfId="4357" xr:uid="{00000000-0005-0000-0000-000050190000}"/>
    <cellStyle name="Итог 2 4 2 2 2 7" xfId="8366" xr:uid="{7F9E2ECD-7C69-49A8-896D-12C81A821093}"/>
    <cellStyle name="Итог 2 4 2 2 2 8" xfId="12257" xr:uid="{E73CA562-F2F1-4F97-9F68-AC7173FDBD6C}"/>
    <cellStyle name="Итог 2 4 2 2 3" xfId="618" xr:uid="{00000000-0005-0000-0000-000051190000}"/>
    <cellStyle name="Итог 2 4 2 2 3 2" xfId="1399" xr:uid="{00000000-0005-0000-0000-000052190000}"/>
    <cellStyle name="Итог 2 4 2 2 3 2 2" xfId="2660" xr:uid="{00000000-0005-0000-0000-000053190000}"/>
    <cellStyle name="Итог 2 4 2 2 3 2 2 2" xfId="6557" xr:uid="{00000000-0005-0000-0000-000054190000}"/>
    <cellStyle name="Итог 2 4 2 2 3 2 2 3" xfId="10566" xr:uid="{5B91EA9C-CFC2-4332-A91F-F1F4EA5FFAD6}"/>
    <cellStyle name="Итог 2 4 2 2 3 2 3" xfId="3804" xr:uid="{00000000-0005-0000-0000-000055190000}"/>
    <cellStyle name="Итог 2 4 2 2 3 2 3 2" xfId="7698" xr:uid="{00000000-0005-0000-0000-000056190000}"/>
    <cellStyle name="Итог 2 4 2 2 3 2 3 3" xfId="11707" xr:uid="{0DAAF885-AD04-428C-9FD0-2C4C92A78496}"/>
    <cellStyle name="Итог 2 4 2 2 3 2 4" xfId="5300" xr:uid="{00000000-0005-0000-0000-000057190000}"/>
    <cellStyle name="Итог 2 4 2 2 3 2 5" xfId="9309" xr:uid="{EE31ACBE-30D3-47CF-8816-90A8E61E8481}"/>
    <cellStyle name="Итог 2 4 2 2 3 2 6" xfId="13200" xr:uid="{63A0531C-9E74-4E4B-9CA8-DECDD2E8C454}"/>
    <cellStyle name="Итог 2 4 2 2 3 3" xfId="2659" xr:uid="{00000000-0005-0000-0000-000058190000}"/>
    <cellStyle name="Итог 2 4 2 2 3 3 2" xfId="6556" xr:uid="{00000000-0005-0000-0000-000059190000}"/>
    <cellStyle name="Итог 2 4 2 2 3 3 3" xfId="10565" xr:uid="{E9378D64-35E0-4EB9-A268-E17A198FAFF7}"/>
    <cellStyle name="Итог 2 4 2 2 3 4" xfId="3344" xr:uid="{00000000-0005-0000-0000-00005A190000}"/>
    <cellStyle name="Итог 2 4 2 2 3 4 2" xfId="7238" xr:uid="{00000000-0005-0000-0000-00005B190000}"/>
    <cellStyle name="Итог 2 4 2 2 3 4 3" xfId="11247" xr:uid="{1A0359A2-655A-4EA9-AAFC-0CE360022AA6}"/>
    <cellStyle name="Итог 2 4 2 2 3 5" xfId="4522" xr:uid="{00000000-0005-0000-0000-00005C190000}"/>
    <cellStyle name="Итог 2 4 2 2 3 6" xfId="8531" xr:uid="{18225F9E-E52F-462A-AAF2-1C7F7EED2B07}"/>
    <cellStyle name="Итог 2 4 2 2 3 7" xfId="12422" xr:uid="{D7BE607D-833E-4A97-99BE-799701412CCF}"/>
    <cellStyle name="Итог 2 4 2 2 4" xfId="1078" xr:uid="{00000000-0005-0000-0000-00005D190000}"/>
    <cellStyle name="Итог 2 4 2 2 4 2" xfId="2661" xr:uid="{00000000-0005-0000-0000-00005E190000}"/>
    <cellStyle name="Итог 2 4 2 2 4 2 2" xfId="6558" xr:uid="{00000000-0005-0000-0000-00005F190000}"/>
    <cellStyle name="Итог 2 4 2 2 4 2 3" xfId="10567" xr:uid="{A000001D-DEDC-4A8C-94E0-D7A1097CB2F6}"/>
    <cellStyle name="Итог 2 4 2 2 4 3" xfId="3606" xr:uid="{00000000-0005-0000-0000-000060190000}"/>
    <cellStyle name="Итог 2 4 2 2 4 3 2" xfId="7500" xr:uid="{00000000-0005-0000-0000-000061190000}"/>
    <cellStyle name="Итог 2 4 2 2 4 3 3" xfId="11509" xr:uid="{EAB3D846-D786-404F-87FA-EECD11EDD667}"/>
    <cellStyle name="Итог 2 4 2 2 4 4" xfId="4979" xr:uid="{00000000-0005-0000-0000-000062190000}"/>
    <cellStyle name="Итог 2 4 2 2 4 5" xfId="8988" xr:uid="{4585FF3D-3155-430F-BAF8-EFEFA61A010A}"/>
    <cellStyle name="Итог 2 4 2 2 4 6" xfId="12879" xr:uid="{571FF902-6F9B-44C6-A338-72CAB5198A5D}"/>
    <cellStyle name="Итог 2 4 2 2 5" xfId="2654" xr:uid="{00000000-0005-0000-0000-000063190000}"/>
    <cellStyle name="Итог 2 4 2 2 5 2" xfId="6551" xr:uid="{00000000-0005-0000-0000-000064190000}"/>
    <cellStyle name="Итог 2 4 2 2 5 3" xfId="10560" xr:uid="{9FA1D3F1-3BD1-40C3-BC64-E0726A8ABB1E}"/>
    <cellStyle name="Итог 2 4 2 2 6" xfId="3023" xr:uid="{00000000-0005-0000-0000-000065190000}"/>
    <cellStyle name="Итог 2 4 2 2 6 2" xfId="6917" xr:uid="{00000000-0005-0000-0000-000066190000}"/>
    <cellStyle name="Итог 2 4 2 2 6 3" xfId="10926" xr:uid="{35B12547-0C1B-4F72-9250-66B54925FEBD}"/>
    <cellStyle name="Итог 2 4 2 2 7" xfId="4201" xr:uid="{00000000-0005-0000-0000-000067190000}"/>
    <cellStyle name="Итог 2 4 2 2 8" xfId="8210" xr:uid="{7C5D86EF-E978-49B9-BB51-F4E6EEE3AE41}"/>
    <cellStyle name="Итог 2 4 2 2 9" xfId="12101" xr:uid="{F5E465EA-1069-4A9E-A522-361B8C446955}"/>
    <cellStyle name="Итог 2 4 2 3" xfId="194" xr:uid="{00000000-0005-0000-0000-000068190000}"/>
    <cellStyle name="Итог 2 4 2 3 10" xfId="13443" xr:uid="{206D29DC-9544-42A8-8492-50E434F7427B}"/>
    <cellStyle name="Итог 2 4 2 3 2" xfId="358" xr:uid="{00000000-0005-0000-0000-000069190000}"/>
    <cellStyle name="Итог 2 4 2 3 2 2" xfId="688" xr:uid="{00000000-0005-0000-0000-00006A190000}"/>
    <cellStyle name="Итог 2 4 2 3 2 2 2" xfId="1469" xr:uid="{00000000-0005-0000-0000-00006B190000}"/>
    <cellStyle name="Итог 2 4 2 3 2 2 2 2" xfId="2665" xr:uid="{00000000-0005-0000-0000-00006C190000}"/>
    <cellStyle name="Итог 2 4 2 3 2 2 2 2 2" xfId="6562" xr:uid="{00000000-0005-0000-0000-00006D190000}"/>
    <cellStyle name="Итог 2 4 2 3 2 2 2 2 3" xfId="10571" xr:uid="{036C535E-C3D1-4BDB-AB98-99732793625F}"/>
    <cellStyle name="Итог 2 4 2 3 2 2 2 3" xfId="3845" xr:uid="{00000000-0005-0000-0000-00006E190000}"/>
    <cellStyle name="Итог 2 4 2 3 2 2 2 3 2" xfId="7739" xr:uid="{00000000-0005-0000-0000-00006F190000}"/>
    <cellStyle name="Итог 2 4 2 3 2 2 2 3 3" xfId="11748" xr:uid="{A7253503-8E17-4AFA-9465-E56C0764B083}"/>
    <cellStyle name="Итог 2 4 2 3 2 2 2 4" xfId="5370" xr:uid="{00000000-0005-0000-0000-000070190000}"/>
    <cellStyle name="Итог 2 4 2 3 2 2 2 5" xfId="9379" xr:uid="{87A888C3-FDFF-44E4-8DE6-A5CC01BCDA09}"/>
    <cellStyle name="Итог 2 4 2 3 2 2 2 6" xfId="13270" xr:uid="{12E7AF82-F963-449E-ACFE-BCE9FE314EAD}"/>
    <cellStyle name="Итог 2 4 2 3 2 2 3" xfId="2664" xr:uid="{00000000-0005-0000-0000-000071190000}"/>
    <cellStyle name="Итог 2 4 2 3 2 2 3 2" xfId="6561" xr:uid="{00000000-0005-0000-0000-000072190000}"/>
    <cellStyle name="Итог 2 4 2 3 2 2 3 3" xfId="10570" xr:uid="{F1813E71-4B41-4AA9-9483-53CE6E54EEDB}"/>
    <cellStyle name="Итог 2 4 2 3 2 2 4" xfId="3414" xr:uid="{00000000-0005-0000-0000-000073190000}"/>
    <cellStyle name="Итог 2 4 2 3 2 2 4 2" xfId="7308" xr:uid="{00000000-0005-0000-0000-000074190000}"/>
    <cellStyle name="Итог 2 4 2 3 2 2 4 3" xfId="11317" xr:uid="{7FF8CDA3-98A1-490D-82D3-6059C0914AF6}"/>
    <cellStyle name="Итог 2 4 2 3 2 2 5" xfId="4592" xr:uid="{00000000-0005-0000-0000-000075190000}"/>
    <cellStyle name="Итог 2 4 2 3 2 2 6" xfId="8601" xr:uid="{EA6CE9EB-89DB-4C73-AF0C-D9A1F7926E89}"/>
    <cellStyle name="Итог 2 4 2 3 2 2 7" xfId="12492" xr:uid="{EF8651DC-19CD-4013-AB70-F7B72DC538EE}"/>
    <cellStyle name="Итог 2 4 2 3 2 3" xfId="1148" xr:uid="{00000000-0005-0000-0000-000076190000}"/>
    <cellStyle name="Итог 2 4 2 3 2 3 2" xfId="2666" xr:uid="{00000000-0005-0000-0000-000077190000}"/>
    <cellStyle name="Итог 2 4 2 3 2 3 2 2" xfId="6563" xr:uid="{00000000-0005-0000-0000-000078190000}"/>
    <cellStyle name="Итог 2 4 2 3 2 3 2 3" xfId="10572" xr:uid="{2C4429F2-0EE9-4659-836D-227234AD9F71}"/>
    <cellStyle name="Итог 2 4 2 3 2 3 3" xfId="3647" xr:uid="{00000000-0005-0000-0000-000079190000}"/>
    <cellStyle name="Итог 2 4 2 3 2 3 3 2" xfId="7541" xr:uid="{00000000-0005-0000-0000-00007A190000}"/>
    <cellStyle name="Итог 2 4 2 3 2 3 3 3" xfId="11550" xr:uid="{B8B1ABC6-F613-42D8-86F9-7E74963674B8}"/>
    <cellStyle name="Итог 2 4 2 3 2 3 4" xfId="5049" xr:uid="{00000000-0005-0000-0000-00007B190000}"/>
    <cellStyle name="Итог 2 4 2 3 2 3 5" xfId="9058" xr:uid="{2D112CBC-F316-4835-90F0-50081AA48371}"/>
    <cellStyle name="Итог 2 4 2 3 2 3 6" xfId="12949" xr:uid="{7970457C-9523-4018-9784-E75C93493358}"/>
    <cellStyle name="Итог 2 4 2 3 2 4" xfId="2663" xr:uid="{00000000-0005-0000-0000-00007C190000}"/>
    <cellStyle name="Итог 2 4 2 3 2 4 2" xfId="6560" xr:uid="{00000000-0005-0000-0000-00007D190000}"/>
    <cellStyle name="Итог 2 4 2 3 2 4 3" xfId="10569" xr:uid="{4CF7A1D8-0CF8-49C5-8369-6A7F31FF0538}"/>
    <cellStyle name="Итог 2 4 2 3 2 5" xfId="3093" xr:uid="{00000000-0005-0000-0000-00007E190000}"/>
    <cellStyle name="Итог 2 4 2 3 2 5 2" xfId="6987" xr:uid="{00000000-0005-0000-0000-00007F190000}"/>
    <cellStyle name="Итог 2 4 2 3 2 5 3" xfId="10996" xr:uid="{1E64ED60-084B-4401-A073-6A6EF2AEAAC2}"/>
    <cellStyle name="Итог 2 4 2 3 2 6" xfId="4271" xr:uid="{00000000-0005-0000-0000-000080190000}"/>
    <cellStyle name="Итог 2 4 2 3 2 7" xfId="8280" xr:uid="{97177126-CA62-4BDF-BBC1-4ADA1BC6ABFC}"/>
    <cellStyle name="Итог 2 4 2 3 2 8" xfId="12171" xr:uid="{58005980-8892-4F69-894D-16CDDB682C97}"/>
    <cellStyle name="Итог 2 4 2 3 3" xfId="524" xr:uid="{00000000-0005-0000-0000-000081190000}"/>
    <cellStyle name="Итог 2 4 2 3 3 2" xfId="1305" xr:uid="{00000000-0005-0000-0000-000082190000}"/>
    <cellStyle name="Итог 2 4 2 3 3 2 2" xfId="2668" xr:uid="{00000000-0005-0000-0000-000083190000}"/>
    <cellStyle name="Итог 2 4 2 3 3 2 2 2" xfId="6565" xr:uid="{00000000-0005-0000-0000-000084190000}"/>
    <cellStyle name="Итог 2 4 2 3 3 2 2 3" xfId="10574" xr:uid="{6D285789-2569-4041-B2CA-9219EFE58B3E}"/>
    <cellStyle name="Итог 2 4 2 3 3 2 3" xfId="3746" xr:uid="{00000000-0005-0000-0000-000085190000}"/>
    <cellStyle name="Итог 2 4 2 3 3 2 3 2" xfId="7640" xr:uid="{00000000-0005-0000-0000-000086190000}"/>
    <cellStyle name="Итог 2 4 2 3 3 2 3 3" xfId="11649" xr:uid="{7E914E63-2EA0-4673-BA89-7B0A22DBB8F5}"/>
    <cellStyle name="Итог 2 4 2 3 3 2 4" xfId="5206" xr:uid="{00000000-0005-0000-0000-000087190000}"/>
    <cellStyle name="Итог 2 4 2 3 3 2 5" xfId="9215" xr:uid="{6A9D85AA-D7E2-41AE-8819-D29E0DA8C23C}"/>
    <cellStyle name="Итог 2 4 2 3 3 2 6" xfId="13106" xr:uid="{C885EA19-5901-4835-A7E4-7458CA8141C4}"/>
    <cellStyle name="Итог 2 4 2 3 3 3" xfId="2667" xr:uid="{00000000-0005-0000-0000-000088190000}"/>
    <cellStyle name="Итог 2 4 2 3 3 3 2" xfId="6564" xr:uid="{00000000-0005-0000-0000-000089190000}"/>
    <cellStyle name="Итог 2 4 2 3 3 3 3" xfId="10573" xr:uid="{F55EDA1D-E21A-4674-91FE-F89C53732E1F}"/>
    <cellStyle name="Итог 2 4 2 3 3 4" xfId="3250" xr:uid="{00000000-0005-0000-0000-00008A190000}"/>
    <cellStyle name="Итог 2 4 2 3 3 4 2" xfId="7144" xr:uid="{00000000-0005-0000-0000-00008B190000}"/>
    <cellStyle name="Итог 2 4 2 3 3 4 3" xfId="11153" xr:uid="{FFBFE0B6-2F98-4529-BAFF-B8C3CB39BE14}"/>
    <cellStyle name="Итог 2 4 2 3 3 5" xfId="4428" xr:uid="{00000000-0005-0000-0000-00008C190000}"/>
    <cellStyle name="Итог 2 4 2 3 3 6" xfId="8437" xr:uid="{6C36B523-6013-4592-9A10-396239EFDBBA}"/>
    <cellStyle name="Итог 2 4 2 3 3 7" xfId="12328" xr:uid="{9ABFA788-936B-4DF8-9328-7CC9F3812504}"/>
    <cellStyle name="Итог 2 4 2 3 4" xfId="984" xr:uid="{00000000-0005-0000-0000-00008D190000}"/>
    <cellStyle name="Итог 2 4 2 3 4 2" xfId="2669" xr:uid="{00000000-0005-0000-0000-00008E190000}"/>
    <cellStyle name="Итог 2 4 2 3 4 2 2" xfId="6566" xr:uid="{00000000-0005-0000-0000-00008F190000}"/>
    <cellStyle name="Итог 2 4 2 3 4 2 3" xfId="10575" xr:uid="{C7A87AEA-BCB4-462E-BE19-40D3AEDD51B1}"/>
    <cellStyle name="Итог 2 4 2 3 4 3" xfId="3548" xr:uid="{00000000-0005-0000-0000-000090190000}"/>
    <cellStyle name="Итог 2 4 2 3 4 3 2" xfId="7442" xr:uid="{00000000-0005-0000-0000-000091190000}"/>
    <cellStyle name="Итог 2 4 2 3 4 3 3" xfId="11451" xr:uid="{6568C407-1721-4D78-BC00-F14CD09EC39C}"/>
    <cellStyle name="Итог 2 4 2 3 4 4" xfId="4885" xr:uid="{00000000-0005-0000-0000-000092190000}"/>
    <cellStyle name="Итог 2 4 2 3 4 5" xfId="8894" xr:uid="{1C385E52-D2C1-4B7C-BAD4-D6E340347C1E}"/>
    <cellStyle name="Итог 2 4 2 3 4 6" xfId="12785" xr:uid="{51629D5F-4678-4A11-9C24-3F3901629DA3}"/>
    <cellStyle name="Итог 2 4 2 3 5" xfId="2662" xr:uid="{00000000-0005-0000-0000-000093190000}"/>
    <cellStyle name="Итог 2 4 2 3 5 2" xfId="6559" xr:uid="{00000000-0005-0000-0000-000094190000}"/>
    <cellStyle name="Итог 2 4 2 3 5 3" xfId="10568" xr:uid="{9F774A4A-16D4-4EC2-94BC-66649E3CA86C}"/>
    <cellStyle name="Итог 2 4 2 3 6" xfId="2929" xr:uid="{00000000-0005-0000-0000-000095190000}"/>
    <cellStyle name="Итог 2 4 2 3 6 2" xfId="6823" xr:uid="{00000000-0005-0000-0000-000096190000}"/>
    <cellStyle name="Итог 2 4 2 3 6 3" xfId="10832" xr:uid="{BFF89EB3-A759-42B8-B9D4-1F162DB2153C}"/>
    <cellStyle name="Итог 2 4 2 3 7" xfId="4107" xr:uid="{00000000-0005-0000-0000-000097190000}"/>
    <cellStyle name="Итог 2 4 2 3 8" xfId="8116" xr:uid="{A8AA1E60-9114-4C61-8B1B-E5F6DFAB0B2D}"/>
    <cellStyle name="Итог 2 4 2 3 9" xfId="12007" xr:uid="{6B5476D8-0E9C-469F-8E9F-3BDBE951EE77}"/>
    <cellStyle name="Итог 2 4 2 4" xfId="355" xr:uid="{00000000-0005-0000-0000-000098190000}"/>
    <cellStyle name="Итог 2 4 2 4 2" xfId="685" xr:uid="{00000000-0005-0000-0000-000099190000}"/>
    <cellStyle name="Итог 2 4 2 4 2 2" xfId="1466" xr:uid="{00000000-0005-0000-0000-00009A190000}"/>
    <cellStyle name="Итог 2 4 2 4 2 2 2" xfId="2672" xr:uid="{00000000-0005-0000-0000-00009B190000}"/>
    <cellStyle name="Итог 2 4 2 4 2 2 2 2" xfId="6569" xr:uid="{00000000-0005-0000-0000-00009C190000}"/>
    <cellStyle name="Итог 2 4 2 4 2 2 2 3" xfId="10578" xr:uid="{CB867233-1278-4BE8-8722-CA7563199AAE}"/>
    <cellStyle name="Итог 2 4 2 4 2 2 3" xfId="3844" xr:uid="{00000000-0005-0000-0000-00009D190000}"/>
    <cellStyle name="Итог 2 4 2 4 2 2 3 2" xfId="7738" xr:uid="{00000000-0005-0000-0000-00009E190000}"/>
    <cellStyle name="Итог 2 4 2 4 2 2 3 3" xfId="11747" xr:uid="{691B37D2-F060-460B-9A99-827374D7BC35}"/>
    <cellStyle name="Итог 2 4 2 4 2 2 4" xfId="5367" xr:uid="{00000000-0005-0000-0000-00009F190000}"/>
    <cellStyle name="Итог 2 4 2 4 2 2 5" xfId="9376" xr:uid="{A9F1D0D5-7AE9-47EA-A4A5-BAA649014F30}"/>
    <cellStyle name="Итог 2 4 2 4 2 2 6" xfId="13267" xr:uid="{CA76C88E-D58F-4FCF-ADE3-FF09B4099EAF}"/>
    <cellStyle name="Итог 2 4 2 4 2 3" xfId="2671" xr:uid="{00000000-0005-0000-0000-0000A0190000}"/>
    <cellStyle name="Итог 2 4 2 4 2 3 2" xfId="6568" xr:uid="{00000000-0005-0000-0000-0000A1190000}"/>
    <cellStyle name="Итог 2 4 2 4 2 3 3" xfId="10577" xr:uid="{DE163321-2928-47B2-A9A6-EC6ED87C276D}"/>
    <cellStyle name="Итог 2 4 2 4 2 4" xfId="3411" xr:uid="{00000000-0005-0000-0000-0000A2190000}"/>
    <cellStyle name="Итог 2 4 2 4 2 4 2" xfId="7305" xr:uid="{00000000-0005-0000-0000-0000A3190000}"/>
    <cellStyle name="Итог 2 4 2 4 2 4 3" xfId="11314" xr:uid="{B9D881A8-2B1E-4F76-A835-0CF304770A9C}"/>
    <cellStyle name="Итог 2 4 2 4 2 5" xfId="4589" xr:uid="{00000000-0005-0000-0000-0000A4190000}"/>
    <cellStyle name="Итог 2 4 2 4 2 6" xfId="8598" xr:uid="{5699E0B3-10FE-4C4F-B278-27FD577F74C8}"/>
    <cellStyle name="Итог 2 4 2 4 2 7" xfId="12489" xr:uid="{6BF484FD-5C33-4184-A752-721C19A3D352}"/>
    <cellStyle name="Итог 2 4 2 4 3" xfId="1145" xr:uid="{00000000-0005-0000-0000-0000A5190000}"/>
    <cellStyle name="Итог 2 4 2 4 3 2" xfId="2673" xr:uid="{00000000-0005-0000-0000-0000A6190000}"/>
    <cellStyle name="Итог 2 4 2 4 3 2 2" xfId="6570" xr:uid="{00000000-0005-0000-0000-0000A7190000}"/>
    <cellStyle name="Итог 2 4 2 4 3 2 3" xfId="10579" xr:uid="{389B60FD-0A87-4339-A0E6-2BD7AB4B06AC}"/>
    <cellStyle name="Итог 2 4 2 4 3 3" xfId="3646" xr:uid="{00000000-0005-0000-0000-0000A8190000}"/>
    <cellStyle name="Итог 2 4 2 4 3 3 2" xfId="7540" xr:uid="{00000000-0005-0000-0000-0000A9190000}"/>
    <cellStyle name="Итог 2 4 2 4 3 3 3" xfId="11549" xr:uid="{7BF96A5F-D7D5-4770-BA76-CD09FBB48F41}"/>
    <cellStyle name="Итог 2 4 2 4 3 4" xfId="5046" xr:uid="{00000000-0005-0000-0000-0000AA190000}"/>
    <cellStyle name="Итог 2 4 2 4 3 5" xfId="9055" xr:uid="{9B03ED06-190F-4AFB-B649-910C756695C3}"/>
    <cellStyle name="Итог 2 4 2 4 3 6" xfId="12946" xr:uid="{A85AA764-82DA-456A-90FB-DBB285761830}"/>
    <cellStyle name="Итог 2 4 2 4 4" xfId="2670" xr:uid="{00000000-0005-0000-0000-0000AB190000}"/>
    <cellStyle name="Итог 2 4 2 4 4 2" xfId="6567" xr:uid="{00000000-0005-0000-0000-0000AC190000}"/>
    <cellStyle name="Итог 2 4 2 4 4 3" xfId="10576" xr:uid="{4AFC9452-1477-4801-9F25-2AF902272775}"/>
    <cellStyle name="Итог 2 4 2 4 5" xfId="3090" xr:uid="{00000000-0005-0000-0000-0000AD190000}"/>
    <cellStyle name="Итог 2 4 2 4 5 2" xfId="6984" xr:uid="{00000000-0005-0000-0000-0000AE190000}"/>
    <cellStyle name="Итог 2 4 2 4 5 3" xfId="10993" xr:uid="{17CE6EBE-4C02-4F4D-902C-0A549E53E313}"/>
    <cellStyle name="Итог 2 4 2 4 6" xfId="4268" xr:uid="{00000000-0005-0000-0000-0000AF190000}"/>
    <cellStyle name="Итог 2 4 2 4 7" xfId="8277" xr:uid="{04C03FB4-E6F9-40CF-823B-1D002C54B821}"/>
    <cellStyle name="Итог 2 4 2 4 8" xfId="12168" xr:uid="{9386E680-D158-4E7D-8F2F-BC1B853B225F}"/>
    <cellStyle name="Итог 2 4 2 5" xfId="520" xr:uid="{00000000-0005-0000-0000-0000B0190000}"/>
    <cellStyle name="Итог 2 4 2 5 2" xfId="1301" xr:uid="{00000000-0005-0000-0000-0000B1190000}"/>
    <cellStyle name="Итог 2 4 2 5 2 2" xfId="2675" xr:uid="{00000000-0005-0000-0000-0000B2190000}"/>
    <cellStyle name="Итог 2 4 2 5 2 2 2" xfId="6572" xr:uid="{00000000-0005-0000-0000-0000B3190000}"/>
    <cellStyle name="Итог 2 4 2 5 2 2 3" xfId="10581" xr:uid="{66969BAF-77D7-4B12-94CC-8370F1BCFD16}"/>
    <cellStyle name="Итог 2 4 2 5 2 3" xfId="3745" xr:uid="{00000000-0005-0000-0000-0000B4190000}"/>
    <cellStyle name="Итог 2 4 2 5 2 3 2" xfId="7639" xr:uid="{00000000-0005-0000-0000-0000B5190000}"/>
    <cellStyle name="Итог 2 4 2 5 2 3 3" xfId="11648" xr:uid="{002DBB1C-3BCD-449A-925E-1D234D18A43F}"/>
    <cellStyle name="Итог 2 4 2 5 2 4" xfId="5202" xr:uid="{00000000-0005-0000-0000-0000B6190000}"/>
    <cellStyle name="Итог 2 4 2 5 2 5" xfId="9211" xr:uid="{DE1F259A-5681-43B4-A69A-2139FA4E15B2}"/>
    <cellStyle name="Итог 2 4 2 5 2 6" xfId="13102" xr:uid="{370FD528-3009-4D99-A035-551FA9ECE9F1}"/>
    <cellStyle name="Итог 2 4 2 5 3" xfId="2674" xr:uid="{00000000-0005-0000-0000-0000B7190000}"/>
    <cellStyle name="Итог 2 4 2 5 3 2" xfId="6571" xr:uid="{00000000-0005-0000-0000-0000B8190000}"/>
    <cellStyle name="Итог 2 4 2 5 3 3" xfId="10580" xr:uid="{270D5B49-2C4F-4E30-A466-D02883C3D0E6}"/>
    <cellStyle name="Итог 2 4 2 5 4" xfId="3246" xr:uid="{00000000-0005-0000-0000-0000B9190000}"/>
    <cellStyle name="Итог 2 4 2 5 4 2" xfId="7140" xr:uid="{00000000-0005-0000-0000-0000BA190000}"/>
    <cellStyle name="Итог 2 4 2 5 4 3" xfId="11149" xr:uid="{33E11984-78CB-4FA6-8C48-2ED4C912D56D}"/>
    <cellStyle name="Итог 2 4 2 5 5" xfId="4424" xr:uid="{00000000-0005-0000-0000-0000BB190000}"/>
    <cellStyle name="Итог 2 4 2 5 6" xfId="8433" xr:uid="{34AB8134-6DD1-4F6C-AAEE-68B0A23E9475}"/>
    <cellStyle name="Итог 2 4 2 5 7" xfId="12324" xr:uid="{6FB4CDDF-9EB4-499F-AFBA-CC0D01CEE7A3}"/>
    <cellStyle name="Итог 2 4 2 6" xfId="980" xr:uid="{00000000-0005-0000-0000-0000BC190000}"/>
    <cellStyle name="Итог 2 4 2 6 2" xfId="2676" xr:uid="{00000000-0005-0000-0000-0000BD190000}"/>
    <cellStyle name="Итог 2 4 2 6 2 2" xfId="6573" xr:uid="{00000000-0005-0000-0000-0000BE190000}"/>
    <cellStyle name="Итог 2 4 2 6 2 3" xfId="10582" xr:uid="{F4EBA7F5-6E62-4D76-A593-52EA00C83951}"/>
    <cellStyle name="Итог 2 4 2 6 3" xfId="3547" xr:uid="{00000000-0005-0000-0000-0000BF190000}"/>
    <cellStyle name="Итог 2 4 2 6 3 2" xfId="7441" xr:uid="{00000000-0005-0000-0000-0000C0190000}"/>
    <cellStyle name="Итог 2 4 2 6 3 3" xfId="11450" xr:uid="{1661C343-30A8-419C-8643-28DEE6B7B9B9}"/>
    <cellStyle name="Итог 2 4 2 6 4" xfId="4881" xr:uid="{00000000-0005-0000-0000-0000C1190000}"/>
    <cellStyle name="Итог 2 4 2 6 5" xfId="8890" xr:uid="{F080076B-EFE5-4C5F-8706-8C868B8E95AE}"/>
    <cellStyle name="Итог 2 4 2 6 6" xfId="12781" xr:uid="{80583990-26F3-4EF5-B6BE-59A1CB493E38}"/>
    <cellStyle name="Итог 2 4 2 7" xfId="2653" xr:uid="{00000000-0005-0000-0000-0000C2190000}"/>
    <cellStyle name="Итог 2 4 2 7 2" xfId="6550" xr:uid="{00000000-0005-0000-0000-0000C3190000}"/>
    <cellStyle name="Итог 2 4 2 7 3" xfId="10559" xr:uid="{47FB6043-B473-4813-B1B4-AC9F9557084E}"/>
    <cellStyle name="Итог 2 4 2 8" xfId="2925" xr:uid="{00000000-0005-0000-0000-0000C4190000}"/>
    <cellStyle name="Итог 2 4 2 8 2" xfId="6819" xr:uid="{00000000-0005-0000-0000-0000C5190000}"/>
    <cellStyle name="Итог 2 4 2 8 3" xfId="10828" xr:uid="{D2C06D20-7686-46D3-8792-6BF21692E143}"/>
    <cellStyle name="Итог 2 4 2 9" xfId="4103" xr:uid="{00000000-0005-0000-0000-0000C6190000}"/>
    <cellStyle name="Итог 2 4 3" xfId="269" xr:uid="{00000000-0005-0000-0000-0000C7190000}"/>
    <cellStyle name="Итог 2 4 3 10" xfId="13518" xr:uid="{2E3B28EB-950E-40E6-8FB3-573AE32C0AC0}"/>
    <cellStyle name="Итог 2 4 3 2" xfId="425" xr:uid="{00000000-0005-0000-0000-0000C8190000}"/>
    <cellStyle name="Итог 2 4 3 2 2" xfId="755" xr:uid="{00000000-0005-0000-0000-0000C9190000}"/>
    <cellStyle name="Итог 2 4 3 2 2 2" xfId="1536" xr:uid="{00000000-0005-0000-0000-0000CA190000}"/>
    <cellStyle name="Итог 2 4 3 2 2 2 2" xfId="2680" xr:uid="{00000000-0005-0000-0000-0000CB190000}"/>
    <cellStyle name="Итог 2 4 3 2 2 2 2 2" xfId="6577" xr:uid="{00000000-0005-0000-0000-0000CC190000}"/>
    <cellStyle name="Итог 2 4 3 2 2 2 2 3" xfId="10586" xr:uid="{AA0B7D56-70E7-4BCB-BEA0-C1471D7E4A3E}"/>
    <cellStyle name="Итог 2 4 3 2 2 2 3" xfId="3890" xr:uid="{00000000-0005-0000-0000-0000CD190000}"/>
    <cellStyle name="Итог 2 4 3 2 2 2 3 2" xfId="7784" xr:uid="{00000000-0005-0000-0000-0000CE190000}"/>
    <cellStyle name="Итог 2 4 3 2 2 2 3 3" xfId="11793" xr:uid="{84038B9C-CF04-4604-B124-F7A5F579F425}"/>
    <cellStyle name="Итог 2 4 3 2 2 2 4" xfId="5437" xr:uid="{00000000-0005-0000-0000-0000CF190000}"/>
    <cellStyle name="Итог 2 4 3 2 2 2 5" xfId="9446" xr:uid="{13575B3C-D6E1-46B6-98C1-1901751868C5}"/>
    <cellStyle name="Итог 2 4 3 2 2 2 6" xfId="13337" xr:uid="{25B06724-41FC-4D0D-A59B-7A0D9634DD0A}"/>
    <cellStyle name="Итог 2 4 3 2 2 3" xfId="2679" xr:uid="{00000000-0005-0000-0000-0000D0190000}"/>
    <cellStyle name="Итог 2 4 3 2 2 3 2" xfId="6576" xr:uid="{00000000-0005-0000-0000-0000D1190000}"/>
    <cellStyle name="Итог 2 4 3 2 2 3 3" xfId="10585" xr:uid="{C0F65A89-8195-43D7-B9B0-758B2FFA2F5E}"/>
    <cellStyle name="Итог 2 4 3 2 2 4" xfId="3481" xr:uid="{00000000-0005-0000-0000-0000D2190000}"/>
    <cellStyle name="Итог 2 4 3 2 2 4 2" xfId="7375" xr:uid="{00000000-0005-0000-0000-0000D3190000}"/>
    <cellStyle name="Итог 2 4 3 2 2 4 3" xfId="11384" xr:uid="{9BD6B2D0-F6C0-4C44-ADD8-35D546C17992}"/>
    <cellStyle name="Итог 2 4 3 2 2 5" xfId="4659" xr:uid="{00000000-0005-0000-0000-0000D4190000}"/>
    <cellStyle name="Итог 2 4 3 2 2 6" xfId="8668" xr:uid="{5DE4B678-0E3F-43C0-8A21-B3D6DB8897AC}"/>
    <cellStyle name="Итог 2 4 3 2 2 7" xfId="12559" xr:uid="{9F8F2093-46EF-4396-8545-8240180EED9C}"/>
    <cellStyle name="Итог 2 4 3 2 3" xfId="1215" xr:uid="{00000000-0005-0000-0000-0000D5190000}"/>
    <cellStyle name="Итог 2 4 3 2 3 2" xfId="2681" xr:uid="{00000000-0005-0000-0000-0000D6190000}"/>
    <cellStyle name="Итог 2 4 3 2 3 2 2" xfId="6578" xr:uid="{00000000-0005-0000-0000-0000D7190000}"/>
    <cellStyle name="Итог 2 4 3 2 3 2 3" xfId="10587" xr:uid="{379CE8D9-ABB1-4F75-AA48-FA46F34AC864}"/>
    <cellStyle name="Итог 2 4 3 2 3 3" xfId="3692" xr:uid="{00000000-0005-0000-0000-0000D8190000}"/>
    <cellStyle name="Итог 2 4 3 2 3 3 2" xfId="7586" xr:uid="{00000000-0005-0000-0000-0000D9190000}"/>
    <cellStyle name="Итог 2 4 3 2 3 3 3" xfId="11595" xr:uid="{0835FA7F-F6F4-4F30-96F5-090A19A94D43}"/>
    <cellStyle name="Итог 2 4 3 2 3 4" xfId="5116" xr:uid="{00000000-0005-0000-0000-0000DA190000}"/>
    <cellStyle name="Итог 2 4 3 2 3 5" xfId="9125" xr:uid="{0C234CA1-D19C-4BB8-A510-223152B6A4BC}"/>
    <cellStyle name="Итог 2 4 3 2 3 6" xfId="13016" xr:uid="{D68194C5-8FD2-471A-9ADE-12A2B039B938}"/>
    <cellStyle name="Итог 2 4 3 2 4" xfId="2678" xr:uid="{00000000-0005-0000-0000-0000DB190000}"/>
    <cellStyle name="Итог 2 4 3 2 4 2" xfId="6575" xr:uid="{00000000-0005-0000-0000-0000DC190000}"/>
    <cellStyle name="Итог 2 4 3 2 4 3" xfId="10584" xr:uid="{22CD210B-3D3A-4165-B746-C613443D9E79}"/>
    <cellStyle name="Итог 2 4 3 2 5" xfId="3160" xr:uid="{00000000-0005-0000-0000-0000DD190000}"/>
    <cellStyle name="Итог 2 4 3 2 5 2" xfId="7054" xr:uid="{00000000-0005-0000-0000-0000DE190000}"/>
    <cellStyle name="Итог 2 4 3 2 5 3" xfId="11063" xr:uid="{2DECD4B2-DFF7-4E4A-834B-C82D9325CA35}"/>
    <cellStyle name="Итог 2 4 3 2 6" xfId="4338" xr:uid="{00000000-0005-0000-0000-0000DF190000}"/>
    <cellStyle name="Итог 2 4 3 2 7" xfId="8347" xr:uid="{B3BEAFF0-C0E1-4BB5-BB4E-BF69BE38EC6D}"/>
    <cellStyle name="Итог 2 4 3 2 8" xfId="12238" xr:uid="{7C6037CC-9991-4A44-AE38-ED4C34CCA5EA}"/>
    <cellStyle name="Итог 2 4 3 3" xfId="599" xr:uid="{00000000-0005-0000-0000-0000E0190000}"/>
    <cellStyle name="Итог 2 4 3 3 2" xfId="1380" xr:uid="{00000000-0005-0000-0000-0000E1190000}"/>
    <cellStyle name="Итог 2 4 3 3 2 2" xfId="2683" xr:uid="{00000000-0005-0000-0000-0000E2190000}"/>
    <cellStyle name="Итог 2 4 3 3 2 2 2" xfId="6580" xr:uid="{00000000-0005-0000-0000-0000E3190000}"/>
    <cellStyle name="Итог 2 4 3 3 2 2 3" xfId="10589" xr:uid="{C2BFB42F-F1BA-448F-96EA-78459C83A543}"/>
    <cellStyle name="Итог 2 4 3 3 2 3" xfId="3791" xr:uid="{00000000-0005-0000-0000-0000E4190000}"/>
    <cellStyle name="Итог 2 4 3 3 2 3 2" xfId="7685" xr:uid="{00000000-0005-0000-0000-0000E5190000}"/>
    <cellStyle name="Итог 2 4 3 3 2 3 3" xfId="11694" xr:uid="{F8A9AB7A-0FD0-4C25-8F79-B54566401C6F}"/>
    <cellStyle name="Итог 2 4 3 3 2 4" xfId="5281" xr:uid="{00000000-0005-0000-0000-0000E6190000}"/>
    <cellStyle name="Итог 2 4 3 3 2 5" xfId="9290" xr:uid="{6B92E8CD-C7CE-436C-A93C-18B5EB459692}"/>
    <cellStyle name="Итог 2 4 3 3 2 6" xfId="13181" xr:uid="{8EF871C3-A63A-4BAC-8510-21769D04B618}"/>
    <cellStyle name="Итог 2 4 3 3 3" xfId="2682" xr:uid="{00000000-0005-0000-0000-0000E7190000}"/>
    <cellStyle name="Итог 2 4 3 3 3 2" xfId="6579" xr:uid="{00000000-0005-0000-0000-0000E8190000}"/>
    <cellStyle name="Итог 2 4 3 3 3 3" xfId="10588" xr:uid="{BE1C0F32-27F3-48EE-9869-E49F13606512}"/>
    <cellStyle name="Итог 2 4 3 3 4" xfId="3325" xr:uid="{00000000-0005-0000-0000-0000E9190000}"/>
    <cellStyle name="Итог 2 4 3 3 4 2" xfId="7219" xr:uid="{00000000-0005-0000-0000-0000EA190000}"/>
    <cellStyle name="Итог 2 4 3 3 4 3" xfId="11228" xr:uid="{9D031385-438A-414D-80A6-5B9A69CEA204}"/>
    <cellStyle name="Итог 2 4 3 3 5" xfId="4503" xr:uid="{00000000-0005-0000-0000-0000EB190000}"/>
    <cellStyle name="Итог 2 4 3 3 6" xfId="8512" xr:uid="{1DF74B4A-523B-4079-9570-588FFDA53E96}"/>
    <cellStyle name="Итог 2 4 3 3 7" xfId="12403" xr:uid="{07F997C6-C4DB-4F42-B033-06B8EE229E61}"/>
    <cellStyle name="Итог 2 4 3 4" xfId="1059" xr:uid="{00000000-0005-0000-0000-0000EC190000}"/>
    <cellStyle name="Итог 2 4 3 4 2" xfId="2684" xr:uid="{00000000-0005-0000-0000-0000ED190000}"/>
    <cellStyle name="Итог 2 4 3 4 2 2" xfId="6581" xr:uid="{00000000-0005-0000-0000-0000EE190000}"/>
    <cellStyle name="Итог 2 4 3 4 2 3" xfId="10590" xr:uid="{0370435E-9176-4156-85B4-F6D48ADCDAF0}"/>
    <cellStyle name="Итог 2 4 3 4 3" xfId="3593" xr:uid="{00000000-0005-0000-0000-0000EF190000}"/>
    <cellStyle name="Итог 2 4 3 4 3 2" xfId="7487" xr:uid="{00000000-0005-0000-0000-0000F0190000}"/>
    <cellStyle name="Итог 2 4 3 4 3 3" xfId="11496" xr:uid="{B66D44EC-5FF9-46E9-ACEF-CD6A94ABDB95}"/>
    <cellStyle name="Итог 2 4 3 4 4" xfId="4960" xr:uid="{00000000-0005-0000-0000-0000F1190000}"/>
    <cellStyle name="Итог 2 4 3 4 5" xfId="8969" xr:uid="{8A71B2B0-72C6-4EAB-A684-544D8B04650B}"/>
    <cellStyle name="Итог 2 4 3 4 6" xfId="12860" xr:uid="{A75326C9-565F-44C0-A688-8E3F9A219E82}"/>
    <cellStyle name="Итог 2 4 3 5" xfId="2677" xr:uid="{00000000-0005-0000-0000-0000F2190000}"/>
    <cellStyle name="Итог 2 4 3 5 2" xfId="6574" xr:uid="{00000000-0005-0000-0000-0000F3190000}"/>
    <cellStyle name="Итог 2 4 3 5 3" xfId="10583" xr:uid="{D1E875AD-51B4-4896-A84E-12123AD8D4D8}"/>
    <cellStyle name="Итог 2 4 3 6" xfId="3004" xr:uid="{00000000-0005-0000-0000-0000F4190000}"/>
    <cellStyle name="Итог 2 4 3 6 2" xfId="6898" xr:uid="{00000000-0005-0000-0000-0000F5190000}"/>
    <cellStyle name="Итог 2 4 3 6 3" xfId="10907" xr:uid="{58C5D219-CEC4-484F-8E06-FCA955D38E58}"/>
    <cellStyle name="Итог 2 4 3 7" xfId="4182" xr:uid="{00000000-0005-0000-0000-0000F6190000}"/>
    <cellStyle name="Итог 2 4 3 8" xfId="8191" xr:uid="{55D2C47A-5508-4C1E-ACF8-3228C35C84F8}"/>
    <cellStyle name="Итог 2 4 3 9" xfId="12082" xr:uid="{F85C2BD7-2E9E-4810-8891-352CA133811D}"/>
    <cellStyle name="Итог 2 4 4" xfId="265" xr:uid="{00000000-0005-0000-0000-0000F7190000}"/>
    <cellStyle name="Итог 2 4 4 10" xfId="13514" xr:uid="{DF45A3E1-12DC-48FE-AF33-EB2248E47FF1}"/>
    <cellStyle name="Итог 2 4 4 2" xfId="422" xr:uid="{00000000-0005-0000-0000-0000F8190000}"/>
    <cellStyle name="Итог 2 4 4 2 2" xfId="752" xr:uid="{00000000-0005-0000-0000-0000F9190000}"/>
    <cellStyle name="Итог 2 4 4 2 2 2" xfId="1533" xr:uid="{00000000-0005-0000-0000-0000FA190000}"/>
    <cellStyle name="Итог 2 4 4 2 2 2 2" xfId="2688" xr:uid="{00000000-0005-0000-0000-0000FB190000}"/>
    <cellStyle name="Итог 2 4 4 2 2 2 2 2" xfId="6585" xr:uid="{00000000-0005-0000-0000-0000FC190000}"/>
    <cellStyle name="Итог 2 4 4 2 2 2 2 3" xfId="10594" xr:uid="{ACC7D0E1-263F-432D-B6C5-684B3930B52C}"/>
    <cellStyle name="Итог 2 4 4 2 2 2 3" xfId="3888" xr:uid="{00000000-0005-0000-0000-0000FD190000}"/>
    <cellStyle name="Итог 2 4 4 2 2 2 3 2" xfId="7782" xr:uid="{00000000-0005-0000-0000-0000FE190000}"/>
    <cellStyle name="Итог 2 4 4 2 2 2 3 3" xfId="11791" xr:uid="{F7EF0FA9-3CAF-464B-9B44-741AB7CB91C8}"/>
    <cellStyle name="Итог 2 4 4 2 2 2 4" xfId="5434" xr:uid="{00000000-0005-0000-0000-0000FF190000}"/>
    <cellStyle name="Итог 2 4 4 2 2 2 5" xfId="9443" xr:uid="{61B4B27F-EAD5-4615-8324-35C3F110AF9A}"/>
    <cellStyle name="Итог 2 4 4 2 2 2 6" xfId="13334" xr:uid="{55A7FEE2-6438-4C51-BB04-0A982220F922}"/>
    <cellStyle name="Итог 2 4 4 2 2 3" xfId="2687" xr:uid="{00000000-0005-0000-0000-0000001A0000}"/>
    <cellStyle name="Итог 2 4 4 2 2 3 2" xfId="6584" xr:uid="{00000000-0005-0000-0000-0000011A0000}"/>
    <cellStyle name="Итог 2 4 4 2 2 3 3" xfId="10593" xr:uid="{797CADC8-0DDB-441E-B999-50527B44B556}"/>
    <cellStyle name="Итог 2 4 4 2 2 4" xfId="3478" xr:uid="{00000000-0005-0000-0000-0000021A0000}"/>
    <cellStyle name="Итог 2 4 4 2 2 4 2" xfId="7372" xr:uid="{00000000-0005-0000-0000-0000031A0000}"/>
    <cellStyle name="Итог 2 4 4 2 2 4 3" xfId="11381" xr:uid="{7C572DF7-D952-4AD4-873A-CD12A1210230}"/>
    <cellStyle name="Итог 2 4 4 2 2 5" xfId="4656" xr:uid="{00000000-0005-0000-0000-0000041A0000}"/>
    <cellStyle name="Итог 2 4 4 2 2 6" xfId="8665" xr:uid="{C16C20F4-ACC5-4790-875E-DAC6CC166DE3}"/>
    <cellStyle name="Итог 2 4 4 2 2 7" xfId="12556" xr:uid="{E9FF8244-5F6A-45A0-8E8D-3D7E79955D00}"/>
    <cellStyle name="Итог 2 4 4 2 3" xfId="1212" xr:uid="{00000000-0005-0000-0000-0000051A0000}"/>
    <cellStyle name="Итог 2 4 4 2 3 2" xfId="2689" xr:uid="{00000000-0005-0000-0000-0000061A0000}"/>
    <cellStyle name="Итог 2 4 4 2 3 2 2" xfId="6586" xr:uid="{00000000-0005-0000-0000-0000071A0000}"/>
    <cellStyle name="Итог 2 4 4 2 3 2 3" xfId="10595" xr:uid="{9F87E696-433F-4B84-92AB-98C5CD8D1E32}"/>
    <cellStyle name="Итог 2 4 4 2 3 3" xfId="3690" xr:uid="{00000000-0005-0000-0000-0000081A0000}"/>
    <cellStyle name="Итог 2 4 4 2 3 3 2" xfId="7584" xr:uid="{00000000-0005-0000-0000-0000091A0000}"/>
    <cellStyle name="Итог 2 4 4 2 3 3 3" xfId="11593" xr:uid="{F142161E-B16E-4F06-A0B4-7346055FBBD7}"/>
    <cellStyle name="Итог 2 4 4 2 3 4" xfId="5113" xr:uid="{00000000-0005-0000-0000-00000A1A0000}"/>
    <cellStyle name="Итог 2 4 4 2 3 5" xfId="9122" xr:uid="{985C1DA7-355B-416A-A94F-73E1B92D7F81}"/>
    <cellStyle name="Итог 2 4 4 2 3 6" xfId="13013" xr:uid="{710403A6-67BC-4D34-A856-181CA52D6F48}"/>
    <cellStyle name="Итог 2 4 4 2 4" xfId="2686" xr:uid="{00000000-0005-0000-0000-00000B1A0000}"/>
    <cellStyle name="Итог 2 4 4 2 4 2" xfId="6583" xr:uid="{00000000-0005-0000-0000-00000C1A0000}"/>
    <cellStyle name="Итог 2 4 4 2 4 3" xfId="10592" xr:uid="{751BB18E-204D-4F94-B112-348EBCD3BF8C}"/>
    <cellStyle name="Итог 2 4 4 2 5" xfId="3157" xr:uid="{00000000-0005-0000-0000-00000D1A0000}"/>
    <cellStyle name="Итог 2 4 4 2 5 2" xfId="7051" xr:uid="{00000000-0005-0000-0000-00000E1A0000}"/>
    <cellStyle name="Итог 2 4 4 2 5 3" xfId="11060" xr:uid="{DF52A60C-492B-46B2-B1EE-BD2BBF2678EE}"/>
    <cellStyle name="Итог 2 4 4 2 6" xfId="4335" xr:uid="{00000000-0005-0000-0000-00000F1A0000}"/>
    <cellStyle name="Итог 2 4 4 2 7" xfId="8344" xr:uid="{A2E9522C-B038-4098-A723-47E85FEF3F72}"/>
    <cellStyle name="Итог 2 4 4 2 8" xfId="12235" xr:uid="{FC4F8F0A-5B64-412E-BEAE-9E399616E5B4}"/>
    <cellStyle name="Итог 2 4 4 3" xfId="595" xr:uid="{00000000-0005-0000-0000-0000101A0000}"/>
    <cellStyle name="Итог 2 4 4 3 2" xfId="1376" xr:uid="{00000000-0005-0000-0000-0000111A0000}"/>
    <cellStyle name="Итог 2 4 4 3 2 2" xfId="2691" xr:uid="{00000000-0005-0000-0000-0000121A0000}"/>
    <cellStyle name="Итог 2 4 4 3 2 2 2" xfId="6588" xr:uid="{00000000-0005-0000-0000-0000131A0000}"/>
    <cellStyle name="Итог 2 4 4 3 2 2 3" xfId="10597" xr:uid="{13AD3F75-321E-4B33-9AD2-5C29DC230479}"/>
    <cellStyle name="Итог 2 4 4 3 2 3" xfId="3789" xr:uid="{00000000-0005-0000-0000-0000141A0000}"/>
    <cellStyle name="Итог 2 4 4 3 2 3 2" xfId="7683" xr:uid="{00000000-0005-0000-0000-0000151A0000}"/>
    <cellStyle name="Итог 2 4 4 3 2 3 3" xfId="11692" xr:uid="{5AF4B1A0-E9AF-4CE1-BFD5-C9135AC14CFA}"/>
    <cellStyle name="Итог 2 4 4 3 2 4" xfId="5277" xr:uid="{00000000-0005-0000-0000-0000161A0000}"/>
    <cellStyle name="Итог 2 4 4 3 2 5" xfId="9286" xr:uid="{E3101031-68DF-4494-B9EF-666ABC2FDAE6}"/>
    <cellStyle name="Итог 2 4 4 3 2 6" xfId="13177" xr:uid="{DC82AA98-8BAF-4A76-8394-80E7D1509867}"/>
    <cellStyle name="Итог 2 4 4 3 3" xfId="2690" xr:uid="{00000000-0005-0000-0000-0000171A0000}"/>
    <cellStyle name="Итог 2 4 4 3 3 2" xfId="6587" xr:uid="{00000000-0005-0000-0000-0000181A0000}"/>
    <cellStyle name="Итог 2 4 4 3 3 3" xfId="10596" xr:uid="{F956582B-7D8A-48D7-BCC3-FFF236DA3D8D}"/>
    <cellStyle name="Итог 2 4 4 3 4" xfId="3321" xr:uid="{00000000-0005-0000-0000-0000191A0000}"/>
    <cellStyle name="Итог 2 4 4 3 4 2" xfId="7215" xr:uid="{00000000-0005-0000-0000-00001A1A0000}"/>
    <cellStyle name="Итог 2 4 4 3 4 3" xfId="11224" xr:uid="{3C5B0FA9-0668-4602-B16D-027D5459BA3F}"/>
    <cellStyle name="Итог 2 4 4 3 5" xfId="4499" xr:uid="{00000000-0005-0000-0000-00001B1A0000}"/>
    <cellStyle name="Итог 2 4 4 3 6" xfId="8508" xr:uid="{C95CFD14-A34E-44F8-8797-D2CF18FB58E3}"/>
    <cellStyle name="Итог 2 4 4 3 7" xfId="12399" xr:uid="{BDFF26C3-5DA3-421C-A9E0-2A04ADF6DDA5}"/>
    <cellStyle name="Итог 2 4 4 4" xfId="1055" xr:uid="{00000000-0005-0000-0000-00001C1A0000}"/>
    <cellStyle name="Итог 2 4 4 4 2" xfId="2692" xr:uid="{00000000-0005-0000-0000-00001D1A0000}"/>
    <cellStyle name="Итог 2 4 4 4 2 2" xfId="6589" xr:uid="{00000000-0005-0000-0000-00001E1A0000}"/>
    <cellStyle name="Итог 2 4 4 4 2 3" xfId="10598" xr:uid="{A2FEC820-9BA4-4A5D-B8F9-0B2323EFFE98}"/>
    <cellStyle name="Итог 2 4 4 4 3" xfId="3591" xr:uid="{00000000-0005-0000-0000-00001F1A0000}"/>
    <cellStyle name="Итог 2 4 4 4 3 2" xfId="7485" xr:uid="{00000000-0005-0000-0000-0000201A0000}"/>
    <cellStyle name="Итог 2 4 4 4 3 3" xfId="11494" xr:uid="{D6270797-646C-44A8-AB22-6C690DEA2831}"/>
    <cellStyle name="Итог 2 4 4 4 4" xfId="4956" xr:uid="{00000000-0005-0000-0000-0000211A0000}"/>
    <cellStyle name="Итог 2 4 4 4 5" xfId="8965" xr:uid="{978EABC1-C349-4318-A73A-A87FD1E4C8AA}"/>
    <cellStyle name="Итог 2 4 4 4 6" xfId="12856" xr:uid="{09E92E64-B815-444D-AED6-1AE631D9B43A}"/>
    <cellStyle name="Итог 2 4 4 5" xfId="2685" xr:uid="{00000000-0005-0000-0000-0000221A0000}"/>
    <cellStyle name="Итог 2 4 4 5 2" xfId="6582" xr:uid="{00000000-0005-0000-0000-0000231A0000}"/>
    <cellStyle name="Итог 2 4 4 5 3" xfId="10591" xr:uid="{2DED6C41-3285-49DA-9B30-BB40B6E8219B}"/>
    <cellStyle name="Итог 2 4 4 6" xfId="3000" xr:uid="{00000000-0005-0000-0000-0000241A0000}"/>
    <cellStyle name="Итог 2 4 4 6 2" xfId="6894" xr:uid="{00000000-0005-0000-0000-0000251A0000}"/>
    <cellStyle name="Итог 2 4 4 6 3" xfId="10903" xr:uid="{E12054D0-E2A3-42F9-954D-9EB2912DB7E7}"/>
    <cellStyle name="Итог 2 4 4 7" xfId="4178" xr:uid="{00000000-0005-0000-0000-0000261A0000}"/>
    <cellStyle name="Итог 2 4 4 8" xfId="8187" xr:uid="{5EB9CA53-5F17-4CA4-BE95-3EB0D8133E0C}"/>
    <cellStyle name="Итог 2 4 4 9" xfId="12078" xr:uid="{6FD2A75B-DA71-493B-9EF9-159030D4719E}"/>
    <cellStyle name="Итог 2 4 5" xfId="336" xr:uid="{00000000-0005-0000-0000-0000271A0000}"/>
    <cellStyle name="Итог 2 4 5 2" xfId="666" xr:uid="{00000000-0005-0000-0000-0000281A0000}"/>
    <cellStyle name="Итог 2 4 5 2 2" xfId="1447" xr:uid="{00000000-0005-0000-0000-0000291A0000}"/>
    <cellStyle name="Итог 2 4 5 2 2 2" xfId="2695" xr:uid="{00000000-0005-0000-0000-00002A1A0000}"/>
    <cellStyle name="Итог 2 4 5 2 2 2 2" xfId="6592" xr:uid="{00000000-0005-0000-0000-00002B1A0000}"/>
    <cellStyle name="Итог 2 4 5 2 2 2 3" xfId="10601" xr:uid="{5D44287D-E9DD-4F0C-9052-EADD83BF7F5F}"/>
    <cellStyle name="Итог 2 4 5 2 2 3" xfId="3831" xr:uid="{00000000-0005-0000-0000-00002C1A0000}"/>
    <cellStyle name="Итог 2 4 5 2 2 3 2" xfId="7725" xr:uid="{00000000-0005-0000-0000-00002D1A0000}"/>
    <cellStyle name="Итог 2 4 5 2 2 3 3" xfId="11734" xr:uid="{3FD82C4D-31F8-4FDE-963C-B88EE3DFF07A}"/>
    <cellStyle name="Итог 2 4 5 2 2 4" xfId="5348" xr:uid="{00000000-0005-0000-0000-00002E1A0000}"/>
    <cellStyle name="Итог 2 4 5 2 2 5" xfId="9357" xr:uid="{BBF0315C-FA77-41BF-8728-7E2381B8B098}"/>
    <cellStyle name="Итог 2 4 5 2 2 6" xfId="13248" xr:uid="{47E6B9E2-CE17-4821-B1C6-EBA71263B88C}"/>
    <cellStyle name="Итог 2 4 5 2 3" xfId="2694" xr:uid="{00000000-0005-0000-0000-00002F1A0000}"/>
    <cellStyle name="Итог 2 4 5 2 3 2" xfId="6591" xr:uid="{00000000-0005-0000-0000-0000301A0000}"/>
    <cellStyle name="Итог 2 4 5 2 3 3" xfId="10600" xr:uid="{3E1D22F1-20E7-49AE-97FA-1E7EB1E92633}"/>
    <cellStyle name="Итог 2 4 5 2 4" xfId="3392" xr:uid="{00000000-0005-0000-0000-0000311A0000}"/>
    <cellStyle name="Итог 2 4 5 2 4 2" xfId="7286" xr:uid="{00000000-0005-0000-0000-0000321A0000}"/>
    <cellStyle name="Итог 2 4 5 2 4 3" xfId="11295" xr:uid="{3D8C0482-25C4-4F15-81DC-8004BBC0CCD9}"/>
    <cellStyle name="Итог 2 4 5 2 5" xfId="4570" xr:uid="{00000000-0005-0000-0000-0000331A0000}"/>
    <cellStyle name="Итог 2 4 5 2 6" xfId="8579" xr:uid="{FF0F6C69-1814-4AF9-9540-09733D6629C6}"/>
    <cellStyle name="Итог 2 4 5 2 7" xfId="12470" xr:uid="{2D04B678-9535-4CEF-9355-F6A625B9EC16}"/>
    <cellStyle name="Итог 2 4 5 3" xfId="1126" xr:uid="{00000000-0005-0000-0000-0000341A0000}"/>
    <cellStyle name="Итог 2 4 5 3 2" xfId="2696" xr:uid="{00000000-0005-0000-0000-0000351A0000}"/>
    <cellStyle name="Итог 2 4 5 3 2 2" xfId="6593" xr:uid="{00000000-0005-0000-0000-0000361A0000}"/>
    <cellStyle name="Итог 2 4 5 3 2 3" xfId="10602" xr:uid="{D7F5118E-409C-40C7-9808-5F26C46DCA2B}"/>
    <cellStyle name="Итог 2 4 5 3 3" xfId="3633" xr:uid="{00000000-0005-0000-0000-0000371A0000}"/>
    <cellStyle name="Итог 2 4 5 3 3 2" xfId="7527" xr:uid="{00000000-0005-0000-0000-0000381A0000}"/>
    <cellStyle name="Итог 2 4 5 3 3 3" xfId="11536" xr:uid="{C84DB5A7-75C6-42B0-9318-63E07A3F3358}"/>
    <cellStyle name="Итог 2 4 5 3 4" xfId="5027" xr:uid="{00000000-0005-0000-0000-0000391A0000}"/>
    <cellStyle name="Итог 2 4 5 3 5" xfId="9036" xr:uid="{17320B03-3547-40AF-B134-0072CA918DAB}"/>
    <cellStyle name="Итог 2 4 5 3 6" xfId="12927" xr:uid="{773DE07D-C1D6-4F66-8358-49AE20B6C334}"/>
    <cellStyle name="Итог 2 4 5 4" xfId="2693" xr:uid="{00000000-0005-0000-0000-00003A1A0000}"/>
    <cellStyle name="Итог 2 4 5 4 2" xfId="6590" xr:uid="{00000000-0005-0000-0000-00003B1A0000}"/>
    <cellStyle name="Итог 2 4 5 4 3" xfId="10599" xr:uid="{D583E278-872F-4DDE-97B3-31457D2CF399}"/>
    <cellStyle name="Итог 2 4 5 5" xfId="3071" xr:uid="{00000000-0005-0000-0000-00003C1A0000}"/>
    <cellStyle name="Итог 2 4 5 5 2" xfId="6965" xr:uid="{00000000-0005-0000-0000-00003D1A0000}"/>
    <cellStyle name="Итог 2 4 5 5 3" xfId="10974" xr:uid="{72A94212-5245-4FD8-9487-B93D98DCEC48}"/>
    <cellStyle name="Итог 2 4 5 6" xfId="4249" xr:uid="{00000000-0005-0000-0000-00003E1A0000}"/>
    <cellStyle name="Итог 2 4 5 7" xfId="8258" xr:uid="{2B5B4308-6497-40F9-965F-3DA83D585C6D}"/>
    <cellStyle name="Итог 2 4 5 8" xfId="12149" xr:uid="{C67676B8-38CD-45EF-91B0-A0666A96B1B0}"/>
    <cellStyle name="Итог 2 4 6" xfId="501" xr:uid="{00000000-0005-0000-0000-00003F1A0000}"/>
    <cellStyle name="Итог 2 4 6 2" xfId="1282" xr:uid="{00000000-0005-0000-0000-0000401A0000}"/>
    <cellStyle name="Итог 2 4 6 2 2" xfId="2698" xr:uid="{00000000-0005-0000-0000-0000411A0000}"/>
    <cellStyle name="Итог 2 4 6 2 2 2" xfId="6595" xr:uid="{00000000-0005-0000-0000-0000421A0000}"/>
    <cellStyle name="Итог 2 4 6 2 2 3" xfId="10604" xr:uid="{3D8838CD-6B16-42F8-B4F7-EB741915B1AC}"/>
    <cellStyle name="Итог 2 4 6 2 3" xfId="3732" xr:uid="{00000000-0005-0000-0000-0000431A0000}"/>
    <cellStyle name="Итог 2 4 6 2 3 2" xfId="7626" xr:uid="{00000000-0005-0000-0000-0000441A0000}"/>
    <cellStyle name="Итог 2 4 6 2 3 3" xfId="11635" xr:uid="{F4C2C59F-2F00-434A-8922-FF57806AB941}"/>
    <cellStyle name="Итог 2 4 6 2 4" xfId="5183" xr:uid="{00000000-0005-0000-0000-0000451A0000}"/>
    <cellStyle name="Итог 2 4 6 2 5" xfId="9192" xr:uid="{F3485182-26DF-438F-9784-F496B9DF1032}"/>
    <cellStyle name="Итог 2 4 6 2 6" xfId="13083" xr:uid="{520074F3-6823-4C7A-8637-53A6369B7CEF}"/>
    <cellStyle name="Итог 2 4 6 3" xfId="2697" xr:uid="{00000000-0005-0000-0000-0000461A0000}"/>
    <cellStyle name="Итог 2 4 6 3 2" xfId="6594" xr:uid="{00000000-0005-0000-0000-0000471A0000}"/>
    <cellStyle name="Итог 2 4 6 3 3" xfId="10603" xr:uid="{11311FF7-1714-435C-899C-A7EA06EFAB3E}"/>
    <cellStyle name="Итог 2 4 6 4" xfId="3227" xr:uid="{00000000-0005-0000-0000-0000481A0000}"/>
    <cellStyle name="Итог 2 4 6 4 2" xfId="7121" xr:uid="{00000000-0005-0000-0000-0000491A0000}"/>
    <cellStyle name="Итог 2 4 6 4 3" xfId="11130" xr:uid="{A59B96EA-2EEB-4762-8FE5-C31E16028FB4}"/>
    <cellStyle name="Итог 2 4 6 5" xfId="4405" xr:uid="{00000000-0005-0000-0000-00004A1A0000}"/>
    <cellStyle name="Итог 2 4 6 6" xfId="8414" xr:uid="{80A22A22-4945-4CE6-8173-4DF71AAD0C76}"/>
    <cellStyle name="Итог 2 4 6 7" xfId="12305" xr:uid="{BB3A2608-489F-4E06-B0BE-4AEF16A54831}"/>
    <cellStyle name="Итог 2 4 7" xfId="961" xr:uid="{00000000-0005-0000-0000-00004B1A0000}"/>
    <cellStyle name="Итог 2 4 7 2" xfId="2699" xr:uid="{00000000-0005-0000-0000-00004C1A0000}"/>
    <cellStyle name="Итог 2 4 7 2 2" xfId="6596" xr:uid="{00000000-0005-0000-0000-00004D1A0000}"/>
    <cellStyle name="Итог 2 4 7 2 3" xfId="10605" xr:uid="{4F10C6AC-F736-4E8D-B459-4B06635D816F}"/>
    <cellStyle name="Итог 2 4 7 3" xfId="3534" xr:uid="{00000000-0005-0000-0000-00004E1A0000}"/>
    <cellStyle name="Итог 2 4 7 3 2" xfId="7428" xr:uid="{00000000-0005-0000-0000-00004F1A0000}"/>
    <cellStyle name="Итог 2 4 7 3 3" xfId="11437" xr:uid="{C59A4B48-F172-4280-8835-26E4EC83C9B7}"/>
    <cellStyle name="Итог 2 4 7 4" xfId="4862" xr:uid="{00000000-0005-0000-0000-0000501A0000}"/>
    <cellStyle name="Итог 2 4 7 5" xfId="8871" xr:uid="{E3C1E525-5559-43D3-8A60-F9BA296A4E04}"/>
    <cellStyle name="Итог 2 4 7 6" xfId="12762" xr:uid="{CAF6071E-8C32-4300-A08B-70C2F911F55D}"/>
    <cellStyle name="Итог 2 4 8" xfId="2652" xr:uid="{00000000-0005-0000-0000-0000511A0000}"/>
    <cellStyle name="Итог 2 4 8 2" xfId="6549" xr:uid="{00000000-0005-0000-0000-0000521A0000}"/>
    <cellStyle name="Итог 2 4 8 3" xfId="10558" xr:uid="{61CF69DD-5DB1-4A9E-9ED3-ABCB68975307}"/>
    <cellStyle name="Итог 2 4 9" xfId="2906" xr:uid="{00000000-0005-0000-0000-0000531A0000}"/>
    <cellStyle name="Итог 2 4 9 2" xfId="6800" xr:uid="{00000000-0005-0000-0000-0000541A0000}"/>
    <cellStyle name="Итог 2 4 9 3" xfId="10809" xr:uid="{E32CFA5D-0705-4263-B3A7-A36B61DBDC8D}"/>
    <cellStyle name="Итог 2 5" xfId="202" xr:uid="{00000000-0005-0000-0000-0000551A0000}"/>
    <cellStyle name="Итог 2 5 10" xfId="13451" xr:uid="{77ACAED8-333B-4A84-ABBC-86F1DB91BE0A}"/>
    <cellStyle name="Итог 2 5 2" xfId="366" xr:uid="{00000000-0005-0000-0000-0000561A0000}"/>
    <cellStyle name="Итог 2 5 2 2" xfId="696" xr:uid="{00000000-0005-0000-0000-0000571A0000}"/>
    <cellStyle name="Итог 2 5 2 2 2" xfId="1477" xr:uid="{00000000-0005-0000-0000-0000581A0000}"/>
    <cellStyle name="Итог 2 5 2 2 2 2" xfId="2703" xr:uid="{00000000-0005-0000-0000-0000591A0000}"/>
    <cellStyle name="Итог 2 5 2 2 2 2 2" xfId="6600" xr:uid="{00000000-0005-0000-0000-00005A1A0000}"/>
    <cellStyle name="Итог 2 5 2 2 2 2 3" xfId="10609" xr:uid="{908C34AE-3DFF-49DD-9947-2593EBE39630}"/>
    <cellStyle name="Итог 2 5 2 2 2 3" xfId="3851" xr:uid="{00000000-0005-0000-0000-00005B1A0000}"/>
    <cellStyle name="Итог 2 5 2 2 2 3 2" xfId="7745" xr:uid="{00000000-0005-0000-0000-00005C1A0000}"/>
    <cellStyle name="Итог 2 5 2 2 2 3 3" xfId="11754" xr:uid="{8018DCE6-7012-4E1B-8FED-EC08DCF572FB}"/>
    <cellStyle name="Итог 2 5 2 2 2 4" xfId="5378" xr:uid="{00000000-0005-0000-0000-00005D1A0000}"/>
    <cellStyle name="Итог 2 5 2 2 2 5" xfId="9387" xr:uid="{F23FA96B-AD03-41E4-9FB0-EE7CA2C6D12E}"/>
    <cellStyle name="Итог 2 5 2 2 2 6" xfId="13278" xr:uid="{B59C1A57-AD5D-4231-A7D3-E39C1A431D51}"/>
    <cellStyle name="Итог 2 5 2 2 3" xfId="2702" xr:uid="{00000000-0005-0000-0000-00005E1A0000}"/>
    <cellStyle name="Итог 2 5 2 2 3 2" xfId="6599" xr:uid="{00000000-0005-0000-0000-00005F1A0000}"/>
    <cellStyle name="Итог 2 5 2 2 3 3" xfId="10608" xr:uid="{466F7EDE-1795-452A-93A8-6E2372B48787}"/>
    <cellStyle name="Итог 2 5 2 2 4" xfId="3422" xr:uid="{00000000-0005-0000-0000-0000601A0000}"/>
    <cellStyle name="Итог 2 5 2 2 4 2" xfId="7316" xr:uid="{00000000-0005-0000-0000-0000611A0000}"/>
    <cellStyle name="Итог 2 5 2 2 4 3" xfId="11325" xr:uid="{006EF136-3FA4-4BF6-8828-54190D913115}"/>
    <cellStyle name="Итог 2 5 2 2 5" xfId="4600" xr:uid="{00000000-0005-0000-0000-0000621A0000}"/>
    <cellStyle name="Итог 2 5 2 2 6" xfId="8609" xr:uid="{A000F50C-EF38-44A8-960E-C6BBEBD5120C}"/>
    <cellStyle name="Итог 2 5 2 2 7" xfId="12500" xr:uid="{F3F78C80-AA80-4CDE-BEEE-E5BB226BC245}"/>
    <cellStyle name="Итог 2 5 2 3" xfId="1156" xr:uid="{00000000-0005-0000-0000-0000631A0000}"/>
    <cellStyle name="Итог 2 5 2 3 2" xfId="2704" xr:uid="{00000000-0005-0000-0000-0000641A0000}"/>
    <cellStyle name="Итог 2 5 2 3 2 2" xfId="6601" xr:uid="{00000000-0005-0000-0000-0000651A0000}"/>
    <cellStyle name="Итог 2 5 2 3 2 3" xfId="10610" xr:uid="{3DD4416E-CF28-47E8-B1CC-B574058D84DC}"/>
    <cellStyle name="Итог 2 5 2 3 3" xfId="3653" xr:uid="{00000000-0005-0000-0000-0000661A0000}"/>
    <cellStyle name="Итог 2 5 2 3 3 2" xfId="7547" xr:uid="{00000000-0005-0000-0000-0000671A0000}"/>
    <cellStyle name="Итог 2 5 2 3 3 3" xfId="11556" xr:uid="{6753DC07-E1EB-4FA6-8613-3DAD5556044A}"/>
    <cellStyle name="Итог 2 5 2 3 4" xfId="5057" xr:uid="{00000000-0005-0000-0000-0000681A0000}"/>
    <cellStyle name="Итог 2 5 2 3 5" xfId="9066" xr:uid="{F5689881-09E8-4EC4-BFF5-8EE8DA964C08}"/>
    <cellStyle name="Итог 2 5 2 3 6" xfId="12957" xr:uid="{C7A2EE03-D0F6-49A8-B726-A08036A7C465}"/>
    <cellStyle name="Итог 2 5 2 4" xfId="2701" xr:uid="{00000000-0005-0000-0000-0000691A0000}"/>
    <cellStyle name="Итог 2 5 2 4 2" xfId="6598" xr:uid="{00000000-0005-0000-0000-00006A1A0000}"/>
    <cellStyle name="Итог 2 5 2 4 3" xfId="10607" xr:uid="{BDF045F7-02D7-4EEA-B04B-4E766C466A43}"/>
    <cellStyle name="Итог 2 5 2 5" xfId="3101" xr:uid="{00000000-0005-0000-0000-00006B1A0000}"/>
    <cellStyle name="Итог 2 5 2 5 2" xfId="6995" xr:uid="{00000000-0005-0000-0000-00006C1A0000}"/>
    <cellStyle name="Итог 2 5 2 5 3" xfId="11004" xr:uid="{758B4C38-FE7C-4C4B-9492-00847FEA07F2}"/>
    <cellStyle name="Итог 2 5 2 6" xfId="4279" xr:uid="{00000000-0005-0000-0000-00006D1A0000}"/>
    <cellStyle name="Итог 2 5 2 7" xfId="8288" xr:uid="{4DBD5A6E-DC49-4816-8A22-3C43CE2D4620}"/>
    <cellStyle name="Итог 2 5 2 8" xfId="12179" xr:uid="{E1AECBA7-20DA-4064-8528-95E4C2444258}"/>
    <cellStyle name="Итог 2 5 3" xfId="532" xr:uid="{00000000-0005-0000-0000-00006E1A0000}"/>
    <cellStyle name="Итог 2 5 3 2" xfId="1313" xr:uid="{00000000-0005-0000-0000-00006F1A0000}"/>
    <cellStyle name="Итог 2 5 3 2 2" xfId="2706" xr:uid="{00000000-0005-0000-0000-0000701A0000}"/>
    <cellStyle name="Итог 2 5 3 2 2 2" xfId="6603" xr:uid="{00000000-0005-0000-0000-0000711A0000}"/>
    <cellStyle name="Итог 2 5 3 2 2 3" xfId="10612" xr:uid="{4E0FBB9B-6B09-401E-BC38-60CE60C5F7A2}"/>
    <cellStyle name="Итог 2 5 3 2 3" xfId="3752" xr:uid="{00000000-0005-0000-0000-0000721A0000}"/>
    <cellStyle name="Итог 2 5 3 2 3 2" xfId="7646" xr:uid="{00000000-0005-0000-0000-0000731A0000}"/>
    <cellStyle name="Итог 2 5 3 2 3 3" xfId="11655" xr:uid="{2B878310-2D88-43A9-B435-839132D27D22}"/>
    <cellStyle name="Итог 2 5 3 2 4" xfId="5214" xr:uid="{00000000-0005-0000-0000-0000741A0000}"/>
    <cellStyle name="Итог 2 5 3 2 5" xfId="9223" xr:uid="{E16E5DB7-3853-463C-AD4C-3ED010B724B4}"/>
    <cellStyle name="Итог 2 5 3 2 6" xfId="13114" xr:uid="{7DB01BC4-D2F6-4EAF-80CE-A3850AC9E3EE}"/>
    <cellStyle name="Итог 2 5 3 3" xfId="2705" xr:uid="{00000000-0005-0000-0000-0000751A0000}"/>
    <cellStyle name="Итог 2 5 3 3 2" xfId="6602" xr:uid="{00000000-0005-0000-0000-0000761A0000}"/>
    <cellStyle name="Итог 2 5 3 3 3" xfId="10611" xr:uid="{23FFF459-6FDA-4E8F-9205-1B116FE90998}"/>
    <cellStyle name="Итог 2 5 3 4" xfId="3258" xr:uid="{00000000-0005-0000-0000-0000771A0000}"/>
    <cellStyle name="Итог 2 5 3 4 2" xfId="7152" xr:uid="{00000000-0005-0000-0000-0000781A0000}"/>
    <cellStyle name="Итог 2 5 3 4 3" xfId="11161" xr:uid="{30303010-1B96-4599-B83C-E5BC06C95460}"/>
    <cellStyle name="Итог 2 5 3 5" xfId="4436" xr:uid="{00000000-0005-0000-0000-0000791A0000}"/>
    <cellStyle name="Итог 2 5 3 6" xfId="8445" xr:uid="{59AE0010-416B-47B2-860B-8F0263A8CB44}"/>
    <cellStyle name="Итог 2 5 3 7" xfId="12336" xr:uid="{4B81B198-D888-4A40-A8D4-D517AF2A9BF5}"/>
    <cellStyle name="Итог 2 5 4" xfId="992" xr:uid="{00000000-0005-0000-0000-00007A1A0000}"/>
    <cellStyle name="Итог 2 5 4 2" xfId="2707" xr:uid="{00000000-0005-0000-0000-00007B1A0000}"/>
    <cellStyle name="Итог 2 5 4 2 2" xfId="6604" xr:uid="{00000000-0005-0000-0000-00007C1A0000}"/>
    <cellStyle name="Итог 2 5 4 2 3" xfId="10613" xr:uid="{D8FC52D5-83FE-4149-BE82-A0869CE50178}"/>
    <cellStyle name="Итог 2 5 4 3" xfId="3554" xr:uid="{00000000-0005-0000-0000-00007D1A0000}"/>
    <cellStyle name="Итог 2 5 4 3 2" xfId="7448" xr:uid="{00000000-0005-0000-0000-00007E1A0000}"/>
    <cellStyle name="Итог 2 5 4 3 3" xfId="11457" xr:uid="{D18A07E9-17F5-4DFF-B666-5934808501BB}"/>
    <cellStyle name="Итог 2 5 4 4" xfId="4893" xr:uid="{00000000-0005-0000-0000-00007F1A0000}"/>
    <cellStyle name="Итог 2 5 4 5" xfId="8902" xr:uid="{95E3854F-AD18-478C-88E9-A3C3CF0174B6}"/>
    <cellStyle name="Итог 2 5 4 6" xfId="12793" xr:uid="{EC6AED82-054B-4580-969E-54698D2CADA2}"/>
    <cellStyle name="Итог 2 5 5" xfId="2700" xr:uid="{00000000-0005-0000-0000-0000801A0000}"/>
    <cellStyle name="Итог 2 5 5 2" xfId="6597" xr:uid="{00000000-0005-0000-0000-0000811A0000}"/>
    <cellStyle name="Итог 2 5 5 3" xfId="10606" xr:uid="{598B4413-6995-4DF1-BFA1-EE097FB5F1EB}"/>
    <cellStyle name="Итог 2 5 6" xfId="2937" xr:uid="{00000000-0005-0000-0000-0000821A0000}"/>
    <cellStyle name="Итог 2 5 6 2" xfId="6831" xr:uid="{00000000-0005-0000-0000-0000831A0000}"/>
    <cellStyle name="Итог 2 5 6 3" xfId="10840" xr:uid="{F14FAD77-660A-42FA-BE9A-1D69C6B1B773}"/>
    <cellStyle name="Итог 2 5 7" xfId="4115" xr:uid="{00000000-0005-0000-0000-0000841A0000}"/>
    <cellStyle name="Итог 2 5 8" xfId="8124" xr:uid="{00F5C69D-97E4-4146-B725-7FA708757B9F}"/>
    <cellStyle name="Итог 2 5 9" xfId="12015" xr:uid="{1F61E104-85C4-4174-BE4D-CCED6E9240C1}"/>
    <cellStyle name="Итог 2 6" xfId="295" xr:uid="{00000000-0005-0000-0000-0000851A0000}"/>
    <cellStyle name="Итог 2 6 10" xfId="13544" xr:uid="{B9B89758-3AE0-4CA9-B0A5-2001B98C8A1F}"/>
    <cellStyle name="Итог 2 6 2" xfId="451" xr:uid="{00000000-0005-0000-0000-0000861A0000}"/>
    <cellStyle name="Итог 2 6 2 2" xfId="781" xr:uid="{00000000-0005-0000-0000-0000871A0000}"/>
    <cellStyle name="Итог 2 6 2 2 2" xfId="1562" xr:uid="{00000000-0005-0000-0000-0000881A0000}"/>
    <cellStyle name="Итог 2 6 2 2 2 2" xfId="2711" xr:uid="{00000000-0005-0000-0000-0000891A0000}"/>
    <cellStyle name="Итог 2 6 2 2 2 2 2" xfId="6608" xr:uid="{00000000-0005-0000-0000-00008A1A0000}"/>
    <cellStyle name="Итог 2 6 2 2 2 2 3" xfId="10617" xr:uid="{EDAE21E2-9D6F-4954-8263-883789B1EBE3}"/>
    <cellStyle name="Итог 2 6 2 2 2 3" xfId="3908" xr:uid="{00000000-0005-0000-0000-00008B1A0000}"/>
    <cellStyle name="Итог 2 6 2 2 2 3 2" xfId="7802" xr:uid="{00000000-0005-0000-0000-00008C1A0000}"/>
    <cellStyle name="Итог 2 6 2 2 2 3 3" xfId="11811" xr:uid="{91A9CA06-1A64-4453-BD7D-0D8B06FCC80E}"/>
    <cellStyle name="Итог 2 6 2 2 2 4" xfId="5463" xr:uid="{00000000-0005-0000-0000-00008D1A0000}"/>
    <cellStyle name="Итог 2 6 2 2 2 5" xfId="9472" xr:uid="{4BC82A0A-E668-45DB-A9F8-B50B4E54FE28}"/>
    <cellStyle name="Итог 2 6 2 2 2 6" xfId="13363" xr:uid="{329360F1-C75D-4398-92D0-64FBF073969A}"/>
    <cellStyle name="Итог 2 6 2 2 3" xfId="2710" xr:uid="{00000000-0005-0000-0000-00008E1A0000}"/>
    <cellStyle name="Итог 2 6 2 2 3 2" xfId="6607" xr:uid="{00000000-0005-0000-0000-00008F1A0000}"/>
    <cellStyle name="Итог 2 6 2 2 3 3" xfId="10616" xr:uid="{1B4B109E-54F7-4D83-931A-B9154A8CE361}"/>
    <cellStyle name="Итог 2 6 2 2 4" xfId="3507" xr:uid="{00000000-0005-0000-0000-0000901A0000}"/>
    <cellStyle name="Итог 2 6 2 2 4 2" xfId="7401" xr:uid="{00000000-0005-0000-0000-0000911A0000}"/>
    <cellStyle name="Итог 2 6 2 2 4 3" xfId="11410" xr:uid="{CFE56F3F-2DF5-4AB3-B7F5-7F8335AA877A}"/>
    <cellStyle name="Итог 2 6 2 2 5" xfId="4685" xr:uid="{00000000-0005-0000-0000-0000921A0000}"/>
    <cellStyle name="Итог 2 6 2 2 6" xfId="8694" xr:uid="{69F2C694-5FF6-4A69-925A-6A41114A70CF}"/>
    <cellStyle name="Итог 2 6 2 2 7" xfId="12585" xr:uid="{7CD6ADAE-6C8B-4BDB-960D-BD5E0C0EF034}"/>
    <cellStyle name="Итог 2 6 2 3" xfId="1241" xr:uid="{00000000-0005-0000-0000-0000931A0000}"/>
    <cellStyle name="Итог 2 6 2 3 2" xfId="2712" xr:uid="{00000000-0005-0000-0000-0000941A0000}"/>
    <cellStyle name="Итог 2 6 2 3 2 2" xfId="6609" xr:uid="{00000000-0005-0000-0000-0000951A0000}"/>
    <cellStyle name="Итог 2 6 2 3 2 3" xfId="10618" xr:uid="{DDBE099C-6682-4749-9EDB-61244E59D46C}"/>
    <cellStyle name="Итог 2 6 2 3 3" xfId="3710" xr:uid="{00000000-0005-0000-0000-0000961A0000}"/>
    <cellStyle name="Итог 2 6 2 3 3 2" xfId="7604" xr:uid="{00000000-0005-0000-0000-0000971A0000}"/>
    <cellStyle name="Итог 2 6 2 3 3 3" xfId="11613" xr:uid="{D4A57612-6004-4ECA-831E-63F7063F9400}"/>
    <cellStyle name="Итог 2 6 2 3 4" xfId="5142" xr:uid="{00000000-0005-0000-0000-0000981A0000}"/>
    <cellStyle name="Итог 2 6 2 3 5" xfId="9151" xr:uid="{A4628788-26EA-4700-888E-BA47C705F2E2}"/>
    <cellStyle name="Итог 2 6 2 3 6" xfId="13042" xr:uid="{8822A440-F8EB-4FCF-8C19-2A06A29B19CB}"/>
    <cellStyle name="Итог 2 6 2 4" xfId="2709" xr:uid="{00000000-0005-0000-0000-0000991A0000}"/>
    <cellStyle name="Итог 2 6 2 4 2" xfId="6606" xr:uid="{00000000-0005-0000-0000-00009A1A0000}"/>
    <cellStyle name="Итог 2 6 2 4 3" xfId="10615" xr:uid="{10C312E1-77C2-44B5-AA6F-11E4BC661AD1}"/>
    <cellStyle name="Итог 2 6 2 5" xfId="3186" xr:uid="{00000000-0005-0000-0000-00009B1A0000}"/>
    <cellStyle name="Итог 2 6 2 5 2" xfId="7080" xr:uid="{00000000-0005-0000-0000-00009C1A0000}"/>
    <cellStyle name="Итог 2 6 2 5 3" xfId="11089" xr:uid="{3BA5A892-DE17-4071-B657-147EA648DBFD}"/>
    <cellStyle name="Итог 2 6 2 6" xfId="4364" xr:uid="{00000000-0005-0000-0000-00009D1A0000}"/>
    <cellStyle name="Итог 2 6 2 7" xfId="8373" xr:uid="{9B04ECE4-7AA9-49CB-BE83-804C211A6E46}"/>
    <cellStyle name="Итог 2 6 2 8" xfId="12264" xr:uid="{6511C869-3884-44E9-8F0F-90C6ABAC0095}"/>
    <cellStyle name="Итог 2 6 3" xfId="625" xr:uid="{00000000-0005-0000-0000-00009E1A0000}"/>
    <cellStyle name="Итог 2 6 3 2" xfId="1406" xr:uid="{00000000-0005-0000-0000-00009F1A0000}"/>
    <cellStyle name="Итог 2 6 3 2 2" xfId="2714" xr:uid="{00000000-0005-0000-0000-0000A01A0000}"/>
    <cellStyle name="Итог 2 6 3 2 2 2" xfId="6611" xr:uid="{00000000-0005-0000-0000-0000A11A0000}"/>
    <cellStyle name="Итог 2 6 3 2 2 3" xfId="10620" xr:uid="{FA8BF718-A634-4038-90E1-0DAFCA182D6D}"/>
    <cellStyle name="Итог 2 6 3 2 3" xfId="3809" xr:uid="{00000000-0005-0000-0000-0000A21A0000}"/>
    <cellStyle name="Итог 2 6 3 2 3 2" xfId="7703" xr:uid="{00000000-0005-0000-0000-0000A31A0000}"/>
    <cellStyle name="Итог 2 6 3 2 3 3" xfId="11712" xr:uid="{A4B875FC-08DE-43E4-8D56-67A96A376288}"/>
    <cellStyle name="Итог 2 6 3 2 4" xfId="5307" xr:uid="{00000000-0005-0000-0000-0000A41A0000}"/>
    <cellStyle name="Итог 2 6 3 2 5" xfId="9316" xr:uid="{1B1610CB-4863-4959-BC37-F20C09B87A55}"/>
    <cellStyle name="Итог 2 6 3 2 6" xfId="13207" xr:uid="{06D8D596-5D4E-4332-8F03-77F798199BD8}"/>
    <cellStyle name="Итог 2 6 3 3" xfId="2713" xr:uid="{00000000-0005-0000-0000-0000A51A0000}"/>
    <cellStyle name="Итог 2 6 3 3 2" xfId="6610" xr:uid="{00000000-0005-0000-0000-0000A61A0000}"/>
    <cellStyle name="Итог 2 6 3 3 3" xfId="10619" xr:uid="{4194D93D-1BAF-42FB-8159-B6E3E2BDA34D}"/>
    <cellStyle name="Итог 2 6 3 4" xfId="3351" xr:uid="{00000000-0005-0000-0000-0000A71A0000}"/>
    <cellStyle name="Итог 2 6 3 4 2" xfId="7245" xr:uid="{00000000-0005-0000-0000-0000A81A0000}"/>
    <cellStyle name="Итог 2 6 3 4 3" xfId="11254" xr:uid="{0E4F5492-9194-40C1-A24B-5B97789B756B}"/>
    <cellStyle name="Итог 2 6 3 5" xfId="4529" xr:uid="{00000000-0005-0000-0000-0000A91A0000}"/>
    <cellStyle name="Итог 2 6 3 6" xfId="8538" xr:uid="{D11774DE-2C47-48E6-9FAC-D7C15A0D08EA}"/>
    <cellStyle name="Итог 2 6 3 7" xfId="12429" xr:uid="{CFF0B6FE-747B-4600-949A-806F46F86867}"/>
    <cellStyle name="Итог 2 6 4" xfId="1085" xr:uid="{00000000-0005-0000-0000-0000AA1A0000}"/>
    <cellStyle name="Итог 2 6 4 2" xfId="2715" xr:uid="{00000000-0005-0000-0000-0000AB1A0000}"/>
    <cellStyle name="Итог 2 6 4 2 2" xfId="6612" xr:uid="{00000000-0005-0000-0000-0000AC1A0000}"/>
    <cellStyle name="Итог 2 6 4 2 3" xfId="10621" xr:uid="{47C71396-D00D-4BB8-B58B-BDE2F341E86F}"/>
    <cellStyle name="Итог 2 6 4 3" xfId="3611" xr:uid="{00000000-0005-0000-0000-0000AD1A0000}"/>
    <cellStyle name="Итог 2 6 4 3 2" xfId="7505" xr:uid="{00000000-0005-0000-0000-0000AE1A0000}"/>
    <cellStyle name="Итог 2 6 4 3 3" xfId="11514" xr:uid="{8AFB9CA3-9EF4-4CD7-A757-69849CF342A1}"/>
    <cellStyle name="Итог 2 6 4 4" xfId="4986" xr:uid="{00000000-0005-0000-0000-0000AF1A0000}"/>
    <cellStyle name="Итог 2 6 4 5" xfId="8995" xr:uid="{34EF6A8D-AF56-484C-AC14-B8D1B2E13B80}"/>
    <cellStyle name="Итог 2 6 4 6" xfId="12886" xr:uid="{7B63D296-E5CA-4EEF-8882-8C0F6156EE36}"/>
    <cellStyle name="Итог 2 6 5" xfId="2708" xr:uid="{00000000-0005-0000-0000-0000B01A0000}"/>
    <cellStyle name="Итог 2 6 5 2" xfId="6605" xr:uid="{00000000-0005-0000-0000-0000B11A0000}"/>
    <cellStyle name="Итог 2 6 5 3" xfId="10614" xr:uid="{FCF6715D-E22F-4896-B4B9-7187CBCE4E9A}"/>
    <cellStyle name="Итог 2 6 6" xfId="3030" xr:uid="{00000000-0005-0000-0000-0000B21A0000}"/>
    <cellStyle name="Итог 2 6 6 2" xfId="6924" xr:uid="{00000000-0005-0000-0000-0000B31A0000}"/>
    <cellStyle name="Итог 2 6 6 3" xfId="10933" xr:uid="{2F80CE71-C05E-49DF-895F-A8FB3E956016}"/>
    <cellStyle name="Итог 2 6 7" xfId="4208" xr:uid="{00000000-0005-0000-0000-0000B41A0000}"/>
    <cellStyle name="Итог 2 6 8" xfId="8217" xr:uid="{63C84687-0756-43E0-94BD-BFE265BA78C4}"/>
    <cellStyle name="Итог 2 6 9" xfId="12108" xr:uid="{071B59A4-7EE7-48EF-979D-DB90417F1D53}"/>
    <cellStyle name="Итог 2 7" xfId="306" xr:uid="{00000000-0005-0000-0000-0000B51A0000}"/>
    <cellStyle name="Итог 2 7 2" xfId="636" xr:uid="{00000000-0005-0000-0000-0000B61A0000}"/>
    <cellStyle name="Итог 2 7 2 2" xfId="1417" xr:uid="{00000000-0005-0000-0000-0000B71A0000}"/>
    <cellStyle name="Итог 2 7 2 2 2" xfId="2718" xr:uid="{00000000-0005-0000-0000-0000B81A0000}"/>
    <cellStyle name="Итог 2 7 2 2 2 2" xfId="6615" xr:uid="{00000000-0005-0000-0000-0000B91A0000}"/>
    <cellStyle name="Итог 2 7 2 2 2 3" xfId="10624" xr:uid="{694BB2A8-8647-449F-9E47-0163E3F20B41}"/>
    <cellStyle name="Итог 2 7 2 2 3" xfId="3814" xr:uid="{00000000-0005-0000-0000-0000BA1A0000}"/>
    <cellStyle name="Итог 2 7 2 2 3 2" xfId="7708" xr:uid="{00000000-0005-0000-0000-0000BB1A0000}"/>
    <cellStyle name="Итог 2 7 2 2 3 3" xfId="11717" xr:uid="{14023D61-A329-4EB0-ABF8-CCBA2ED92CCD}"/>
    <cellStyle name="Итог 2 7 2 2 4" xfId="5318" xr:uid="{00000000-0005-0000-0000-0000BC1A0000}"/>
    <cellStyle name="Итог 2 7 2 2 5" xfId="9327" xr:uid="{463B8B08-4FE3-4B99-B00E-349B64C7A7E2}"/>
    <cellStyle name="Итог 2 7 2 2 6" xfId="13218" xr:uid="{51B5717F-2F08-4F34-A111-6F1D799639FF}"/>
    <cellStyle name="Итог 2 7 2 3" xfId="2717" xr:uid="{00000000-0005-0000-0000-0000BD1A0000}"/>
    <cellStyle name="Итог 2 7 2 3 2" xfId="6614" xr:uid="{00000000-0005-0000-0000-0000BE1A0000}"/>
    <cellStyle name="Итог 2 7 2 3 3" xfId="10623" xr:uid="{68AB1D4F-C77F-4687-851D-9971EEAF8A85}"/>
    <cellStyle name="Итог 2 7 2 4" xfId="3362" xr:uid="{00000000-0005-0000-0000-0000BF1A0000}"/>
    <cellStyle name="Итог 2 7 2 4 2" xfId="7256" xr:uid="{00000000-0005-0000-0000-0000C01A0000}"/>
    <cellStyle name="Итог 2 7 2 4 3" xfId="11265" xr:uid="{648769A7-19AA-4E87-BAF6-1D343E5083A3}"/>
    <cellStyle name="Итог 2 7 2 5" xfId="4540" xr:uid="{00000000-0005-0000-0000-0000C11A0000}"/>
    <cellStyle name="Итог 2 7 2 6" xfId="8549" xr:uid="{95BE782E-1B31-4BD6-B231-E08ABB0D156D}"/>
    <cellStyle name="Итог 2 7 2 7" xfId="12440" xr:uid="{C74D39B6-799A-4DDF-8037-3D26E68CA6C8}"/>
    <cellStyle name="Итог 2 7 3" xfId="1096" xr:uid="{00000000-0005-0000-0000-0000C21A0000}"/>
    <cellStyle name="Итог 2 7 3 2" xfId="2719" xr:uid="{00000000-0005-0000-0000-0000C31A0000}"/>
    <cellStyle name="Итог 2 7 3 2 2" xfId="6616" xr:uid="{00000000-0005-0000-0000-0000C41A0000}"/>
    <cellStyle name="Итог 2 7 3 2 3" xfId="10625" xr:uid="{C884255D-148F-4243-8371-2FE6D8D89FAB}"/>
    <cellStyle name="Итог 2 7 3 3" xfId="3616" xr:uid="{00000000-0005-0000-0000-0000C51A0000}"/>
    <cellStyle name="Итог 2 7 3 3 2" xfId="7510" xr:uid="{00000000-0005-0000-0000-0000C61A0000}"/>
    <cellStyle name="Итог 2 7 3 3 3" xfId="11519" xr:uid="{53B7D366-E9BD-436A-9816-F241A9537264}"/>
    <cellStyle name="Итог 2 7 3 4" xfId="4997" xr:uid="{00000000-0005-0000-0000-0000C71A0000}"/>
    <cellStyle name="Итог 2 7 3 5" xfId="9006" xr:uid="{274170D0-4EF6-476D-AF74-276D1C589312}"/>
    <cellStyle name="Итог 2 7 3 6" xfId="12897" xr:uid="{DF9ECDB6-B573-43F4-ADF8-979D3F3E0473}"/>
    <cellStyle name="Итог 2 7 4" xfId="2716" xr:uid="{00000000-0005-0000-0000-0000C81A0000}"/>
    <cellStyle name="Итог 2 7 4 2" xfId="6613" xr:uid="{00000000-0005-0000-0000-0000C91A0000}"/>
    <cellStyle name="Итог 2 7 4 3" xfId="10622" xr:uid="{72C88378-3ED1-417C-B7AF-3A76B9DC7780}"/>
    <cellStyle name="Итог 2 7 5" xfId="3041" xr:uid="{00000000-0005-0000-0000-0000CA1A0000}"/>
    <cellStyle name="Итог 2 7 5 2" xfId="6935" xr:uid="{00000000-0005-0000-0000-0000CB1A0000}"/>
    <cellStyle name="Итог 2 7 5 3" xfId="10944" xr:uid="{CADE1D64-3CAA-4209-99F2-E384ADA7AB2F}"/>
    <cellStyle name="Итог 2 7 6" xfId="4219" xr:uid="{00000000-0005-0000-0000-0000CC1A0000}"/>
    <cellStyle name="Итог 2 7 7" xfId="8228" xr:uid="{B889C1AD-08AD-4A93-93EC-8886F4EA7C91}"/>
    <cellStyle name="Итог 2 7 8" xfId="12119" xr:uid="{51A7412A-D930-40C4-AB87-D012C2C30BA8}"/>
    <cellStyle name="Итог 2 8" xfId="467" xr:uid="{00000000-0005-0000-0000-0000CD1A0000}"/>
    <cellStyle name="Итог 2 8 2" xfId="1252" xr:uid="{00000000-0005-0000-0000-0000CE1A0000}"/>
    <cellStyle name="Итог 2 8 2 2" xfId="2721" xr:uid="{00000000-0005-0000-0000-0000CF1A0000}"/>
    <cellStyle name="Итог 2 8 2 2 2" xfId="6618" xr:uid="{00000000-0005-0000-0000-0000D01A0000}"/>
    <cellStyle name="Итог 2 8 2 2 3" xfId="10627" xr:uid="{B27300EA-E44B-4532-A0A3-619813CFBAE0}"/>
    <cellStyle name="Итог 2 8 2 3" xfId="3715" xr:uid="{00000000-0005-0000-0000-0000D11A0000}"/>
    <cellStyle name="Итог 2 8 2 3 2" xfId="7609" xr:uid="{00000000-0005-0000-0000-0000D21A0000}"/>
    <cellStyle name="Итог 2 8 2 3 3" xfId="11618" xr:uid="{F68CD13F-2A68-423C-BA40-62A62CE31414}"/>
    <cellStyle name="Итог 2 8 2 4" xfId="5153" xr:uid="{00000000-0005-0000-0000-0000D31A0000}"/>
    <cellStyle name="Итог 2 8 2 5" xfId="9162" xr:uid="{A753022D-EDA5-4F9F-BD06-8A3A5126B88E}"/>
    <cellStyle name="Итог 2 8 2 6" xfId="13053" xr:uid="{9643A878-DF4B-4378-96A8-7D46BFCA4555}"/>
    <cellStyle name="Итог 2 8 3" xfId="2720" xr:uid="{00000000-0005-0000-0000-0000D41A0000}"/>
    <cellStyle name="Итог 2 8 3 2" xfId="6617" xr:uid="{00000000-0005-0000-0000-0000D51A0000}"/>
    <cellStyle name="Итог 2 8 3 3" xfId="10626" xr:uid="{762CAC87-79A5-4311-848E-D3415E90BE76}"/>
    <cellStyle name="Итог 2 8 4" xfId="3197" xr:uid="{00000000-0005-0000-0000-0000D61A0000}"/>
    <cellStyle name="Итог 2 8 4 2" xfId="7091" xr:uid="{00000000-0005-0000-0000-0000D71A0000}"/>
    <cellStyle name="Итог 2 8 4 3" xfId="11100" xr:uid="{B7C6F499-F21E-45D4-815E-C956F4A94239}"/>
    <cellStyle name="Итог 2 8 5" xfId="4375" xr:uid="{00000000-0005-0000-0000-0000D81A0000}"/>
    <cellStyle name="Итог 2 8 6" xfId="8384" xr:uid="{0AA922D3-5342-4684-9176-0C690B4FE0A9}"/>
    <cellStyle name="Итог 2 8 7" xfId="12275" xr:uid="{28BE9245-7752-4084-9287-9CAD3F42F4E0}"/>
    <cellStyle name="Итог 2 9" xfId="931" xr:uid="{00000000-0005-0000-0000-0000D91A0000}"/>
    <cellStyle name="Итог 2 9 2" xfId="2722" xr:uid="{00000000-0005-0000-0000-0000DA1A0000}"/>
    <cellStyle name="Итог 2 9 2 2" xfId="6619" xr:uid="{00000000-0005-0000-0000-0000DB1A0000}"/>
    <cellStyle name="Итог 2 9 2 3" xfId="10628" xr:uid="{50CEEA48-161F-4B30-A663-8D2C8B571210}"/>
    <cellStyle name="Итог 2 9 3" xfId="3517" xr:uid="{00000000-0005-0000-0000-0000DC1A0000}"/>
    <cellStyle name="Итог 2 9 3 2" xfId="7411" xr:uid="{00000000-0005-0000-0000-0000DD1A0000}"/>
    <cellStyle name="Итог 2 9 3 3" xfId="11420" xr:uid="{CA1250C8-6014-4ED6-AF01-4E5335F8D840}"/>
    <cellStyle name="Итог 2 9 4" xfId="4832" xr:uid="{00000000-0005-0000-0000-0000DE1A0000}"/>
    <cellStyle name="Итог 2 9 5" xfId="8841" xr:uid="{20F2233C-B287-4DC9-A72E-CEB0C6D9B773}"/>
    <cellStyle name="Итог 2 9 6" xfId="12732" xr:uid="{FE558872-691F-4355-A64C-6A1E322961FE}"/>
    <cellStyle name="КодыТНВЭД" xfId="18" xr:uid="{00000000-0005-0000-0000-0000DF1A0000}"/>
    <cellStyle name="Контрольная ячейка 2" xfId="53" xr:uid="{00000000-0005-0000-0000-0000E01A0000}"/>
    <cellStyle name="Контрольная ячейка 2 2" xfId="155" xr:uid="{00000000-0005-0000-0000-0000E11A0000}"/>
    <cellStyle name="Название 2" xfId="54" xr:uid="{00000000-0005-0000-0000-0000E21A0000}"/>
    <cellStyle name="Название 2 2" xfId="156" xr:uid="{00000000-0005-0000-0000-0000E31A0000}"/>
    <cellStyle name="Нейтральный 2" xfId="55" xr:uid="{00000000-0005-0000-0000-0000E41A0000}"/>
    <cellStyle name="Нейтральный 2 2" xfId="157" xr:uid="{00000000-0005-0000-0000-0000E51A0000}"/>
    <cellStyle name="Обычный" xfId="0" builtinId="0"/>
    <cellStyle name="Обычный 10" xfId="16" xr:uid="{00000000-0005-0000-0000-0000E71A0000}"/>
    <cellStyle name="Обычный 10 2" xfId="8053" xr:uid="{14EB7BCF-05F1-4AA6-B7CD-F4FB1C6FEB2D}"/>
    <cellStyle name="Обычный 10 3" xfId="8019" xr:uid="{458C7082-9CFD-48B5-9BA4-72BD6C972048}"/>
    <cellStyle name="Обычный 12" xfId="8024" xr:uid="{D8FFBD54-7609-4368-B9C8-59B1A01D3A58}"/>
    <cellStyle name="Обычный 12 7 5" xfId="8020" xr:uid="{1498CE10-D4C4-4175-BA17-0114C58CF329}"/>
    <cellStyle name="Обычный 2" xfId="1" xr:uid="{00000000-0005-0000-0000-0000E81A0000}"/>
    <cellStyle name="Обычный 2 10" xfId="789" xr:uid="{00000000-0005-0000-0000-0000E91A0000}"/>
    <cellStyle name="Обычный 2 10 2" xfId="7965" xr:uid="{A6FEBB9D-EA93-4994-893F-0C72FA3E318F}"/>
    <cellStyle name="Обычный 2 10 2 2" xfId="13379" xr:uid="{DCE9C4D3-1B9A-4DD4-89AA-6639684442FB}"/>
    <cellStyle name="Обычный 2 10 2 2 2" xfId="13385" xr:uid="{6E911305-D725-425A-A7F7-FC3EE64044F5}"/>
    <cellStyle name="Обычный 2 10 2 3" xfId="13382" xr:uid="{FF7EC968-D3FC-49CB-A1E7-FF513B8F4CBE}"/>
    <cellStyle name="Обычный 2 10 2 4" xfId="13376" xr:uid="{124D9815-1E7B-4679-B50F-419676630257}"/>
    <cellStyle name="Обычный 2 10 3" xfId="13378" xr:uid="{427C8B3A-DDAD-41AE-BFB9-3B12F0E7700A}"/>
    <cellStyle name="Обычный 2 10 3 2" xfId="13383" xr:uid="{19C3204D-3AB3-4BD2-89D7-B2C73B55672B}"/>
    <cellStyle name="Обычный 2 10 4" xfId="13380" xr:uid="{79556175-7D6E-47ED-843C-710F34BABCC0}"/>
    <cellStyle name="Обычный 2 2" xfId="5" xr:uid="{00000000-0005-0000-0000-0000EA1A0000}"/>
    <cellStyle name="Обычный 2 2 2" xfId="499" xr:uid="{00000000-0005-0000-0000-0000EB1A0000}"/>
    <cellStyle name="Обычный 2 2 3" xfId="158" xr:uid="{00000000-0005-0000-0000-0000EC1A0000}"/>
    <cellStyle name="Обычный 2 2 4" xfId="2723" xr:uid="{00000000-0005-0000-0000-0000ED1A0000}"/>
    <cellStyle name="Обычный 2 3" xfId="14" xr:uid="{00000000-0005-0000-0000-0000EE1A0000}"/>
    <cellStyle name="Обычный 2 3 2" xfId="2725" xr:uid="{00000000-0005-0000-0000-0000EF1A0000}"/>
    <cellStyle name="Обычный 2 3 3" xfId="2724" xr:uid="{00000000-0005-0000-0000-0000F01A0000}"/>
    <cellStyle name="Обычный 21" xfId="6" xr:uid="{00000000-0005-0000-0000-0000F11A0000}"/>
    <cellStyle name="Обычный 3" xfId="8" xr:uid="{00000000-0005-0000-0000-0000F21A0000}"/>
    <cellStyle name="Обычный 3 2" xfId="497" xr:uid="{00000000-0005-0000-0000-0000F31A0000}"/>
    <cellStyle name="Обычный 3 2 2" xfId="8028" xr:uid="{8D325946-3EED-4D81-B62E-93D30BF3B5FA}"/>
    <cellStyle name="Обычный 3 2 2 2" xfId="13384" xr:uid="{DCC1019A-6715-4E94-953E-ABB97906D3E2}"/>
    <cellStyle name="Обычный 3 3" xfId="63" xr:uid="{00000000-0005-0000-0000-0000F41A0000}"/>
    <cellStyle name="Обычный 3 3 2" xfId="13381" xr:uid="{F9EE3E2D-F5E9-4258-8D74-417ACB2F2D55}"/>
    <cellStyle name="Обычный 3 4" xfId="8025" xr:uid="{D91A6B23-1AC4-43C5-9775-9B6F10F777A3}"/>
    <cellStyle name="Обычный 4" xfId="3" xr:uid="{00000000-0005-0000-0000-0000F51A0000}"/>
    <cellStyle name="Обычный 4 2" xfId="159" xr:uid="{00000000-0005-0000-0000-0000F61A0000}"/>
    <cellStyle name="Обычный 4 3" xfId="500" xr:uid="{00000000-0005-0000-0000-0000F71A0000}"/>
    <cellStyle name="Обычный 4 4" xfId="56" xr:uid="{00000000-0005-0000-0000-0000F81A0000}"/>
    <cellStyle name="Обычный 5" xfId="17" xr:uid="{00000000-0005-0000-0000-0000F91A0000}"/>
    <cellStyle name="Обычный 5 2" xfId="463" xr:uid="{00000000-0005-0000-0000-0000FA1A0000}"/>
    <cellStyle name="Обычный 5 3" xfId="190" xr:uid="{00000000-0005-0000-0000-0000FB1A0000}"/>
    <cellStyle name="Обычный 6" xfId="461" xr:uid="{00000000-0005-0000-0000-0000FC1A0000}"/>
    <cellStyle name="Обычный 7" xfId="4" xr:uid="{00000000-0005-0000-0000-0000FD1A0000}"/>
    <cellStyle name="Обычный 7 2" xfId="469" xr:uid="{00000000-0005-0000-0000-0000FE1A0000}"/>
    <cellStyle name="Обычный 7 3" xfId="457" xr:uid="{00000000-0005-0000-0000-0000FF1A0000}"/>
    <cellStyle name="Обычный 8" xfId="792" xr:uid="{00000000-0005-0000-0000-0000001B0000}"/>
    <cellStyle name="Обычный 83 2 3 4 2" xfId="8021" xr:uid="{E4FA6B71-07A9-46B8-8EDE-B8E26C6521B0}"/>
    <cellStyle name="Обычный 9" xfId="13374" xr:uid="{84D4A979-F0F5-4C5D-AEE0-2D9F0570D93C}"/>
    <cellStyle name="Обычный_Спец 300" xfId="12" xr:uid="{00000000-0005-0000-0000-0000011B0000}"/>
    <cellStyle name="Плохой 2" xfId="57" xr:uid="{00000000-0005-0000-0000-0000021B0000}"/>
    <cellStyle name="Плохой 2 2" xfId="160" xr:uid="{00000000-0005-0000-0000-0000031B0000}"/>
    <cellStyle name="Плохой 3" xfId="192" xr:uid="{00000000-0005-0000-0000-0000041B0000}"/>
    <cellStyle name="Пояснение 2" xfId="58" xr:uid="{00000000-0005-0000-0000-0000051B0000}"/>
    <cellStyle name="Пояснение 2 2" xfId="161" xr:uid="{00000000-0005-0000-0000-0000061B0000}"/>
    <cellStyle name="Примечание 2" xfId="59" xr:uid="{00000000-0005-0000-0000-0000071B0000}"/>
    <cellStyle name="Примечание 2 10" xfId="932" xr:uid="{00000000-0005-0000-0000-0000081B0000}"/>
    <cellStyle name="Примечание 2 10 2" xfId="4833" xr:uid="{00000000-0005-0000-0000-0000091B0000}"/>
    <cellStyle name="Примечание 2 10 3" xfId="8842" xr:uid="{B0CD9ABC-8431-4851-99C4-C204DF0F74EA}"/>
    <cellStyle name="Примечание 2 10 4" xfId="12733" xr:uid="{52742B2D-78A8-43D5-AEFE-0F833151BECF}"/>
    <cellStyle name="Примечание 2 11" xfId="2726" xr:uid="{00000000-0005-0000-0000-00000A1B0000}"/>
    <cellStyle name="Примечание 2 11 2" xfId="6620" xr:uid="{00000000-0005-0000-0000-00000B1B0000}"/>
    <cellStyle name="Примечание 2 11 3" xfId="10629" xr:uid="{1771E126-3060-402F-8FAA-353D7DC13822}"/>
    <cellStyle name="Примечание 2 12" xfId="2877" xr:uid="{00000000-0005-0000-0000-00000C1B0000}"/>
    <cellStyle name="Примечание 2 12 2" xfId="6771" xr:uid="{00000000-0005-0000-0000-00000D1B0000}"/>
    <cellStyle name="Примечание 2 12 3" xfId="10780" xr:uid="{A4508F0D-7BCE-4834-90FA-181ED17EB233}"/>
    <cellStyle name="Примечание 2 13" xfId="4055" xr:uid="{00000000-0005-0000-0000-00000E1B0000}"/>
    <cellStyle name="Примечание 2 14" xfId="8064" xr:uid="{E7634099-6DEF-4D26-9740-CEC5AF4B8FF7}"/>
    <cellStyle name="Примечание 2 15" xfId="11955" xr:uid="{D335CE59-E278-41A9-A74D-6A35F66234EC}"/>
    <cellStyle name="Примечание 2 16" xfId="13391" xr:uid="{6D8E8B20-F6F3-423A-B919-25E06EF94D93}"/>
    <cellStyle name="Примечание 2 2" xfId="111" xr:uid="{00000000-0005-0000-0000-00000F1B0000}"/>
    <cellStyle name="Примечание 2 2 10" xfId="2887" xr:uid="{00000000-0005-0000-0000-0000101B0000}"/>
    <cellStyle name="Примечание 2 2 10 2" xfId="6781" xr:uid="{00000000-0005-0000-0000-0000111B0000}"/>
    <cellStyle name="Примечание 2 2 10 3" xfId="10790" xr:uid="{C222073B-3004-4658-B508-DCA8249D4054}"/>
    <cellStyle name="Примечание 2 2 11" xfId="4065" xr:uid="{00000000-0005-0000-0000-0000121B0000}"/>
    <cellStyle name="Примечание 2 2 12" xfId="8074" xr:uid="{37F4332C-2D4A-4D50-95ED-E868DD1501B4}"/>
    <cellStyle name="Примечание 2 2 13" xfId="11965" xr:uid="{61560981-3EA2-428F-BCAD-C1818E29FFAC}"/>
    <cellStyle name="Примечание 2 2 14" xfId="13401" xr:uid="{1B9FF235-B53F-4F13-B5A8-602E13571C59}"/>
    <cellStyle name="Примечание 2 2 2" xfId="188" xr:uid="{00000000-0005-0000-0000-0000131B0000}"/>
    <cellStyle name="Примечание 2 2 2 10" xfId="4104" xr:uid="{00000000-0005-0000-0000-0000141B0000}"/>
    <cellStyle name="Примечание 2 2 2 11" xfId="8113" xr:uid="{D5B9252F-7CC6-4F53-9C96-591CE66E7F05}"/>
    <cellStyle name="Примечание 2 2 2 12" xfId="12004" xr:uid="{E6FE5A66-CC64-4276-9E23-7FE96FF40D31}"/>
    <cellStyle name="Примечание 2 2 2 13" xfId="13440" xr:uid="{D9E236ED-42BC-4244-9E3E-1C289AB4BB28}"/>
    <cellStyle name="Примечание 2 2 2 2" xfId="289" xr:uid="{00000000-0005-0000-0000-0000151B0000}"/>
    <cellStyle name="Примечание 2 2 2 2 10" xfId="12102" xr:uid="{1665BC63-443D-463F-9585-204968DC76B5}"/>
    <cellStyle name="Примечание 2 2 2 2 11" xfId="13538" xr:uid="{62829C33-B7E5-4917-9341-2C6D5A283A04}"/>
    <cellStyle name="Примечание 2 2 2 2 2" xfId="445" xr:uid="{00000000-0005-0000-0000-0000161B0000}"/>
    <cellStyle name="Примечание 2 2 2 2 2 2" xfId="775" xr:uid="{00000000-0005-0000-0000-0000171B0000}"/>
    <cellStyle name="Примечание 2 2 2 2 2 2 2" xfId="922" xr:uid="{00000000-0005-0000-0000-0000181B0000}"/>
    <cellStyle name="Примечание 2 2 2 2 2 2 2 2" xfId="2732" xr:uid="{00000000-0005-0000-0000-0000191B0000}"/>
    <cellStyle name="Примечание 2 2 2 2 2 2 2 2 2" xfId="6626" xr:uid="{00000000-0005-0000-0000-00001A1B0000}"/>
    <cellStyle name="Примечание 2 2 2 2 2 2 2 2 3" xfId="10635" xr:uid="{AF8FAA62-7E7F-4021-A04E-8A253EE876F7}"/>
    <cellStyle name="Примечание 2 2 2 2 2 2 2 3" xfId="4041" xr:uid="{00000000-0005-0000-0000-00001B1B0000}"/>
    <cellStyle name="Примечание 2 2 2 2 2 2 2 3 2" xfId="7935" xr:uid="{00000000-0005-0000-0000-00001C1B0000}"/>
    <cellStyle name="Примечание 2 2 2 2 2 2 2 3 3" xfId="11944" xr:uid="{FB9A14EE-A806-4E4D-B7E5-596EA05AC890}"/>
    <cellStyle name="Примечание 2 2 2 2 2 2 2 4" xfId="4823" xr:uid="{00000000-0005-0000-0000-00001D1B0000}"/>
    <cellStyle name="Примечание 2 2 2 2 2 2 2 5" xfId="8832" xr:uid="{5B669C9D-113B-4C7D-A4C2-101D8A18CB7B}"/>
    <cellStyle name="Примечание 2 2 2 2 2 2 2 6" xfId="12723" xr:uid="{87056CC8-60E9-4A1C-8D57-F8FB318D0B03}"/>
    <cellStyle name="Примечание 2 2 2 2 2 2 3" xfId="1556" xr:uid="{00000000-0005-0000-0000-00001E1B0000}"/>
    <cellStyle name="Примечание 2 2 2 2 2 2 3 2" xfId="5457" xr:uid="{00000000-0005-0000-0000-00001F1B0000}"/>
    <cellStyle name="Примечание 2 2 2 2 2 2 3 3" xfId="9466" xr:uid="{4F1003C9-643E-4E80-9DDD-14CBC097DF55}"/>
    <cellStyle name="Примечание 2 2 2 2 2 2 3 4" xfId="13357" xr:uid="{5E46F1F6-A0A9-46F1-951E-CCC6219B73BC}"/>
    <cellStyle name="Примечание 2 2 2 2 2 2 4" xfId="2731" xr:uid="{00000000-0005-0000-0000-0000201B0000}"/>
    <cellStyle name="Примечание 2 2 2 2 2 2 4 2" xfId="6625" xr:uid="{00000000-0005-0000-0000-0000211B0000}"/>
    <cellStyle name="Примечание 2 2 2 2 2 2 4 3" xfId="10634" xr:uid="{9E7A71A5-C41B-493A-9F32-086747D46C90}"/>
    <cellStyle name="Примечание 2 2 2 2 2 2 5" xfId="3501" xr:uid="{00000000-0005-0000-0000-0000221B0000}"/>
    <cellStyle name="Примечание 2 2 2 2 2 2 5 2" xfId="7395" xr:uid="{00000000-0005-0000-0000-0000231B0000}"/>
    <cellStyle name="Примечание 2 2 2 2 2 2 5 3" xfId="11404" xr:uid="{EF8BF895-F63B-438E-97E6-3A2C66B1F2DB}"/>
    <cellStyle name="Примечание 2 2 2 2 2 2 6" xfId="4679" xr:uid="{00000000-0005-0000-0000-0000241B0000}"/>
    <cellStyle name="Примечание 2 2 2 2 2 2 7" xfId="8688" xr:uid="{105897C3-78CB-4E97-83B2-B0E2D7523595}"/>
    <cellStyle name="Примечание 2 2 2 2 2 2 8" xfId="12579" xr:uid="{52735243-B88B-44C0-82FF-C0AA50E674AF}"/>
    <cellStyle name="Примечание 2 2 2 2 2 3" xfId="856" xr:uid="{00000000-0005-0000-0000-0000251B0000}"/>
    <cellStyle name="Примечание 2 2 2 2 2 3 2" xfId="2733" xr:uid="{00000000-0005-0000-0000-0000261B0000}"/>
    <cellStyle name="Примечание 2 2 2 2 2 3 2 2" xfId="6627" xr:uid="{00000000-0005-0000-0000-0000271B0000}"/>
    <cellStyle name="Примечание 2 2 2 2 2 3 2 3" xfId="10636" xr:uid="{0276771E-647C-4A5E-9DF5-FA1719B92624}"/>
    <cellStyle name="Примечание 2 2 2 2 2 3 3" xfId="3975" xr:uid="{00000000-0005-0000-0000-0000281B0000}"/>
    <cellStyle name="Примечание 2 2 2 2 2 3 3 2" xfId="7869" xr:uid="{00000000-0005-0000-0000-0000291B0000}"/>
    <cellStyle name="Примечание 2 2 2 2 2 3 3 3" xfId="11878" xr:uid="{F4B1EFCE-71AF-43AF-BFC0-A440DE0BF99E}"/>
    <cellStyle name="Примечание 2 2 2 2 2 3 4" xfId="4757" xr:uid="{00000000-0005-0000-0000-00002A1B0000}"/>
    <cellStyle name="Примечание 2 2 2 2 2 3 5" xfId="8766" xr:uid="{A1B939EE-816F-4C79-8F7C-B9EB80BEB75F}"/>
    <cellStyle name="Примечание 2 2 2 2 2 3 6" xfId="12657" xr:uid="{60C6B97E-362F-46FF-9A11-1BD2E2BA2692}"/>
    <cellStyle name="Примечание 2 2 2 2 2 4" xfId="1235" xr:uid="{00000000-0005-0000-0000-00002B1B0000}"/>
    <cellStyle name="Примечание 2 2 2 2 2 4 2" xfId="5136" xr:uid="{00000000-0005-0000-0000-00002C1B0000}"/>
    <cellStyle name="Примечание 2 2 2 2 2 4 3" xfId="9145" xr:uid="{798E275D-EDE1-4663-A8E9-7AA2CB20D36A}"/>
    <cellStyle name="Примечание 2 2 2 2 2 4 4" xfId="13036" xr:uid="{83BF0BA3-7535-4ECE-B2A7-10D5481D8031}"/>
    <cellStyle name="Примечание 2 2 2 2 2 5" xfId="2730" xr:uid="{00000000-0005-0000-0000-00002D1B0000}"/>
    <cellStyle name="Примечание 2 2 2 2 2 5 2" xfId="6624" xr:uid="{00000000-0005-0000-0000-00002E1B0000}"/>
    <cellStyle name="Примечание 2 2 2 2 2 5 3" xfId="10633" xr:uid="{A836FF17-E887-48C0-B0C4-B68DDB07BAF5}"/>
    <cellStyle name="Примечание 2 2 2 2 2 6" xfId="3180" xr:uid="{00000000-0005-0000-0000-00002F1B0000}"/>
    <cellStyle name="Примечание 2 2 2 2 2 6 2" xfId="7074" xr:uid="{00000000-0005-0000-0000-0000301B0000}"/>
    <cellStyle name="Примечание 2 2 2 2 2 6 3" xfId="11083" xr:uid="{460496C1-8288-47F6-BF42-F8B8C4D11F5D}"/>
    <cellStyle name="Примечание 2 2 2 2 2 7" xfId="4358" xr:uid="{00000000-0005-0000-0000-0000311B0000}"/>
    <cellStyle name="Примечание 2 2 2 2 2 8" xfId="8367" xr:uid="{82DB96ED-465A-4B71-959B-7794D1068E5C}"/>
    <cellStyle name="Примечание 2 2 2 2 2 9" xfId="12258" xr:uid="{4972A447-70E3-4EBA-8EF4-BC36AAFFF348}"/>
    <cellStyle name="Примечание 2 2 2 2 3" xfId="619" xr:uid="{00000000-0005-0000-0000-0000321B0000}"/>
    <cellStyle name="Примечание 2 2 2 2 3 2" xfId="889" xr:uid="{00000000-0005-0000-0000-0000331B0000}"/>
    <cellStyle name="Примечание 2 2 2 2 3 2 2" xfId="2735" xr:uid="{00000000-0005-0000-0000-0000341B0000}"/>
    <cellStyle name="Примечание 2 2 2 2 3 2 2 2" xfId="6629" xr:uid="{00000000-0005-0000-0000-0000351B0000}"/>
    <cellStyle name="Примечание 2 2 2 2 3 2 2 3" xfId="10638" xr:uid="{13470A23-F939-4B94-8819-982A36A95E25}"/>
    <cellStyle name="Примечание 2 2 2 2 3 2 3" xfId="4008" xr:uid="{00000000-0005-0000-0000-0000361B0000}"/>
    <cellStyle name="Примечание 2 2 2 2 3 2 3 2" xfId="7902" xr:uid="{00000000-0005-0000-0000-0000371B0000}"/>
    <cellStyle name="Примечание 2 2 2 2 3 2 3 3" xfId="11911" xr:uid="{964C930F-D3BE-473B-8422-325B4BE6BB40}"/>
    <cellStyle name="Примечание 2 2 2 2 3 2 4" xfId="4790" xr:uid="{00000000-0005-0000-0000-0000381B0000}"/>
    <cellStyle name="Примечание 2 2 2 2 3 2 5" xfId="8799" xr:uid="{1B2BFA88-2787-46AC-AB5D-C6BC59BD31EC}"/>
    <cellStyle name="Примечание 2 2 2 2 3 2 6" xfId="12690" xr:uid="{7096CC37-D5A0-48A7-8C3E-FDD969AB5C69}"/>
    <cellStyle name="Примечание 2 2 2 2 3 3" xfId="1400" xr:uid="{00000000-0005-0000-0000-0000391B0000}"/>
    <cellStyle name="Примечание 2 2 2 2 3 3 2" xfId="5301" xr:uid="{00000000-0005-0000-0000-00003A1B0000}"/>
    <cellStyle name="Примечание 2 2 2 2 3 3 3" xfId="9310" xr:uid="{66E113B4-563A-4EDC-9404-76B020E4EE94}"/>
    <cellStyle name="Примечание 2 2 2 2 3 3 4" xfId="13201" xr:uid="{6ECE7560-7D6D-4201-8A54-F7ED8E5AEDE7}"/>
    <cellStyle name="Примечание 2 2 2 2 3 4" xfId="2734" xr:uid="{00000000-0005-0000-0000-00003B1B0000}"/>
    <cellStyle name="Примечание 2 2 2 2 3 4 2" xfId="6628" xr:uid="{00000000-0005-0000-0000-00003C1B0000}"/>
    <cellStyle name="Примечание 2 2 2 2 3 4 3" xfId="10637" xr:uid="{48D8138D-3006-42EE-8945-5670D64ACEFA}"/>
    <cellStyle name="Примечание 2 2 2 2 3 5" xfId="3345" xr:uid="{00000000-0005-0000-0000-00003D1B0000}"/>
    <cellStyle name="Примечание 2 2 2 2 3 5 2" xfId="7239" xr:uid="{00000000-0005-0000-0000-00003E1B0000}"/>
    <cellStyle name="Примечание 2 2 2 2 3 5 3" xfId="11248" xr:uid="{7812B318-42C8-48D2-AF91-9C24BE0288C9}"/>
    <cellStyle name="Примечание 2 2 2 2 3 6" xfId="4523" xr:uid="{00000000-0005-0000-0000-00003F1B0000}"/>
    <cellStyle name="Примечание 2 2 2 2 3 7" xfId="8532" xr:uid="{B86A9396-7DDE-491C-A363-9047742441C6}"/>
    <cellStyle name="Примечание 2 2 2 2 3 8" xfId="12423" xr:uid="{9A1C55BD-E61F-4BB8-AEDD-423E01734D3A}"/>
    <cellStyle name="Примечание 2 2 2 2 4" xfId="823" xr:uid="{00000000-0005-0000-0000-0000401B0000}"/>
    <cellStyle name="Примечание 2 2 2 2 4 2" xfId="2736" xr:uid="{00000000-0005-0000-0000-0000411B0000}"/>
    <cellStyle name="Примечание 2 2 2 2 4 2 2" xfId="6630" xr:uid="{00000000-0005-0000-0000-0000421B0000}"/>
    <cellStyle name="Примечание 2 2 2 2 4 2 3" xfId="10639" xr:uid="{E4B1778B-B416-4A46-80AB-D77B76163B3C}"/>
    <cellStyle name="Примечание 2 2 2 2 4 3" xfId="3942" xr:uid="{00000000-0005-0000-0000-0000431B0000}"/>
    <cellStyle name="Примечание 2 2 2 2 4 3 2" xfId="7836" xr:uid="{00000000-0005-0000-0000-0000441B0000}"/>
    <cellStyle name="Примечание 2 2 2 2 4 3 3" xfId="11845" xr:uid="{C0034C59-4FEC-4101-B89A-6CB22341A920}"/>
    <cellStyle name="Примечание 2 2 2 2 4 4" xfId="4724" xr:uid="{00000000-0005-0000-0000-0000451B0000}"/>
    <cellStyle name="Примечание 2 2 2 2 4 5" xfId="8733" xr:uid="{6399C8BD-4C11-457D-9A09-551219167A9F}"/>
    <cellStyle name="Примечание 2 2 2 2 4 6" xfId="12624" xr:uid="{CCCD883C-F735-4B0D-8056-095AD577B721}"/>
    <cellStyle name="Примечание 2 2 2 2 5" xfId="1079" xr:uid="{00000000-0005-0000-0000-0000461B0000}"/>
    <cellStyle name="Примечание 2 2 2 2 5 2" xfId="4980" xr:uid="{00000000-0005-0000-0000-0000471B0000}"/>
    <cellStyle name="Примечание 2 2 2 2 5 3" xfId="8989" xr:uid="{491A8EF9-A983-4BCE-B67B-8A8B0FDCB1B0}"/>
    <cellStyle name="Примечание 2 2 2 2 5 4" xfId="12880" xr:uid="{599F9C87-F31F-424F-80CF-2B0ABDA42DDF}"/>
    <cellStyle name="Примечание 2 2 2 2 6" xfId="2729" xr:uid="{00000000-0005-0000-0000-0000481B0000}"/>
    <cellStyle name="Примечание 2 2 2 2 6 2" xfId="6623" xr:uid="{00000000-0005-0000-0000-0000491B0000}"/>
    <cellStyle name="Примечание 2 2 2 2 6 3" xfId="10632" xr:uid="{92572D28-99BA-4A27-8568-E6F7BE9A9B4C}"/>
    <cellStyle name="Примечание 2 2 2 2 7" xfId="3024" xr:uid="{00000000-0005-0000-0000-00004A1B0000}"/>
    <cellStyle name="Примечание 2 2 2 2 7 2" xfId="6918" xr:uid="{00000000-0005-0000-0000-00004B1B0000}"/>
    <cellStyle name="Примечание 2 2 2 2 7 3" xfId="10927" xr:uid="{294EC9A9-3495-4C2A-BF0A-3E6121771FB4}"/>
    <cellStyle name="Примечание 2 2 2 2 8" xfId="4202" xr:uid="{00000000-0005-0000-0000-00004C1B0000}"/>
    <cellStyle name="Примечание 2 2 2 2 9" xfId="8211" xr:uid="{CC9472C0-F391-4575-BF1D-D0AC85B0B9DB}"/>
    <cellStyle name="Примечание 2 2 2 3" xfId="268" xr:uid="{00000000-0005-0000-0000-00004D1B0000}"/>
    <cellStyle name="Примечание 2 2 2 3 10" xfId="12081" xr:uid="{30B4EA7F-D91A-4781-812A-4C949B198A8E}"/>
    <cellStyle name="Примечание 2 2 2 3 11" xfId="13517" xr:uid="{D885900E-EC5D-4944-ABB5-B06ADA139701}"/>
    <cellStyle name="Примечание 2 2 2 3 2" xfId="424" xr:uid="{00000000-0005-0000-0000-00004E1B0000}"/>
    <cellStyle name="Примечание 2 2 2 3 2 2" xfId="754" xr:uid="{00000000-0005-0000-0000-00004F1B0000}"/>
    <cellStyle name="Примечание 2 2 2 3 2 2 2" xfId="919" xr:uid="{00000000-0005-0000-0000-0000501B0000}"/>
    <cellStyle name="Примечание 2 2 2 3 2 2 2 2" xfId="2740" xr:uid="{00000000-0005-0000-0000-0000511B0000}"/>
    <cellStyle name="Примечание 2 2 2 3 2 2 2 2 2" xfId="6634" xr:uid="{00000000-0005-0000-0000-0000521B0000}"/>
    <cellStyle name="Примечание 2 2 2 3 2 2 2 2 3" xfId="10643" xr:uid="{537A186B-6599-40C1-8485-B224309F8576}"/>
    <cellStyle name="Примечание 2 2 2 3 2 2 2 3" xfId="4038" xr:uid="{00000000-0005-0000-0000-0000531B0000}"/>
    <cellStyle name="Примечание 2 2 2 3 2 2 2 3 2" xfId="7932" xr:uid="{00000000-0005-0000-0000-0000541B0000}"/>
    <cellStyle name="Примечание 2 2 2 3 2 2 2 3 3" xfId="11941" xr:uid="{A8A7FA21-4BEA-4839-97BC-107A98CC1656}"/>
    <cellStyle name="Примечание 2 2 2 3 2 2 2 4" xfId="4820" xr:uid="{00000000-0005-0000-0000-0000551B0000}"/>
    <cellStyle name="Примечание 2 2 2 3 2 2 2 5" xfId="8829" xr:uid="{12072B3C-EBEA-42E6-A1B4-B7E99735A459}"/>
    <cellStyle name="Примечание 2 2 2 3 2 2 2 6" xfId="12720" xr:uid="{7940FC38-A21F-450D-A473-82DEAA26726F}"/>
    <cellStyle name="Примечание 2 2 2 3 2 2 3" xfId="1535" xr:uid="{00000000-0005-0000-0000-0000561B0000}"/>
    <cellStyle name="Примечание 2 2 2 3 2 2 3 2" xfId="5436" xr:uid="{00000000-0005-0000-0000-0000571B0000}"/>
    <cellStyle name="Примечание 2 2 2 3 2 2 3 3" xfId="9445" xr:uid="{2BE48E21-8E4F-42A8-848C-35073FD0AAD7}"/>
    <cellStyle name="Примечание 2 2 2 3 2 2 3 4" xfId="13336" xr:uid="{04A991B0-CAD4-40B3-B4A2-2ECE1AA74469}"/>
    <cellStyle name="Примечание 2 2 2 3 2 2 4" xfId="2739" xr:uid="{00000000-0005-0000-0000-0000581B0000}"/>
    <cellStyle name="Примечание 2 2 2 3 2 2 4 2" xfId="6633" xr:uid="{00000000-0005-0000-0000-0000591B0000}"/>
    <cellStyle name="Примечание 2 2 2 3 2 2 4 3" xfId="10642" xr:uid="{9AD805A6-4DEA-44E3-9C35-056FB3FD6B1E}"/>
    <cellStyle name="Примечание 2 2 2 3 2 2 5" xfId="3480" xr:uid="{00000000-0005-0000-0000-00005A1B0000}"/>
    <cellStyle name="Примечание 2 2 2 3 2 2 5 2" xfId="7374" xr:uid="{00000000-0005-0000-0000-00005B1B0000}"/>
    <cellStyle name="Примечание 2 2 2 3 2 2 5 3" xfId="11383" xr:uid="{7A310AD4-478F-4670-8940-97671E65D735}"/>
    <cellStyle name="Примечание 2 2 2 3 2 2 6" xfId="4658" xr:uid="{00000000-0005-0000-0000-00005C1B0000}"/>
    <cellStyle name="Примечание 2 2 2 3 2 2 7" xfId="8667" xr:uid="{D5C8C8E6-529F-49CA-A7CD-F0E99CF64E6D}"/>
    <cellStyle name="Примечание 2 2 2 3 2 2 8" xfId="12558" xr:uid="{FBBD54C6-67A6-4B35-B007-5ADA567293D1}"/>
    <cellStyle name="Примечание 2 2 2 3 2 3" xfId="853" xr:uid="{00000000-0005-0000-0000-00005D1B0000}"/>
    <cellStyle name="Примечание 2 2 2 3 2 3 2" xfId="2741" xr:uid="{00000000-0005-0000-0000-00005E1B0000}"/>
    <cellStyle name="Примечание 2 2 2 3 2 3 2 2" xfId="6635" xr:uid="{00000000-0005-0000-0000-00005F1B0000}"/>
    <cellStyle name="Примечание 2 2 2 3 2 3 2 3" xfId="10644" xr:uid="{B8AA6C11-AB9A-4A9D-AF09-79BBEF4FAA12}"/>
    <cellStyle name="Примечание 2 2 2 3 2 3 3" xfId="3972" xr:uid="{00000000-0005-0000-0000-0000601B0000}"/>
    <cellStyle name="Примечание 2 2 2 3 2 3 3 2" xfId="7866" xr:uid="{00000000-0005-0000-0000-0000611B0000}"/>
    <cellStyle name="Примечание 2 2 2 3 2 3 3 3" xfId="11875" xr:uid="{D13AC236-3D59-4AAA-A253-2BD0AE757077}"/>
    <cellStyle name="Примечание 2 2 2 3 2 3 4" xfId="4754" xr:uid="{00000000-0005-0000-0000-0000621B0000}"/>
    <cellStyle name="Примечание 2 2 2 3 2 3 5" xfId="8763" xr:uid="{32AC1C91-0D4A-4ECA-82BD-01C125779D8D}"/>
    <cellStyle name="Примечание 2 2 2 3 2 3 6" xfId="12654" xr:uid="{CC993DCA-B3B4-4A36-BC0C-1B7D3DCBFB62}"/>
    <cellStyle name="Примечание 2 2 2 3 2 4" xfId="1214" xr:uid="{00000000-0005-0000-0000-0000631B0000}"/>
    <cellStyle name="Примечание 2 2 2 3 2 4 2" xfId="5115" xr:uid="{00000000-0005-0000-0000-0000641B0000}"/>
    <cellStyle name="Примечание 2 2 2 3 2 4 3" xfId="9124" xr:uid="{1B5FED1B-9672-42A9-8860-E92D0CB22501}"/>
    <cellStyle name="Примечание 2 2 2 3 2 4 4" xfId="13015" xr:uid="{FFCDE279-8842-4A60-A1FF-A64D7BBCC35A}"/>
    <cellStyle name="Примечание 2 2 2 3 2 5" xfId="2738" xr:uid="{00000000-0005-0000-0000-0000651B0000}"/>
    <cellStyle name="Примечание 2 2 2 3 2 5 2" xfId="6632" xr:uid="{00000000-0005-0000-0000-0000661B0000}"/>
    <cellStyle name="Примечание 2 2 2 3 2 5 3" xfId="10641" xr:uid="{89B4E9B7-0FC9-43A6-A2D3-9D2584FD58D8}"/>
    <cellStyle name="Примечание 2 2 2 3 2 6" xfId="3159" xr:uid="{00000000-0005-0000-0000-0000671B0000}"/>
    <cellStyle name="Примечание 2 2 2 3 2 6 2" xfId="7053" xr:uid="{00000000-0005-0000-0000-0000681B0000}"/>
    <cellStyle name="Примечание 2 2 2 3 2 6 3" xfId="11062" xr:uid="{4AA83281-7D3C-4277-9977-A3906114B9BA}"/>
    <cellStyle name="Примечание 2 2 2 3 2 7" xfId="4337" xr:uid="{00000000-0005-0000-0000-0000691B0000}"/>
    <cellStyle name="Примечание 2 2 2 3 2 8" xfId="8346" xr:uid="{1F2CD5C7-5C85-40B1-9E65-FCB351509D30}"/>
    <cellStyle name="Примечание 2 2 2 3 2 9" xfId="12237" xr:uid="{E0DCE219-243C-43FF-88A1-7DB3E0B2D547}"/>
    <cellStyle name="Примечание 2 2 2 3 3" xfId="598" xr:uid="{00000000-0005-0000-0000-00006A1B0000}"/>
    <cellStyle name="Примечание 2 2 2 3 3 2" xfId="886" xr:uid="{00000000-0005-0000-0000-00006B1B0000}"/>
    <cellStyle name="Примечание 2 2 2 3 3 2 2" xfId="2743" xr:uid="{00000000-0005-0000-0000-00006C1B0000}"/>
    <cellStyle name="Примечание 2 2 2 3 3 2 2 2" xfId="6637" xr:uid="{00000000-0005-0000-0000-00006D1B0000}"/>
    <cellStyle name="Примечание 2 2 2 3 3 2 2 3" xfId="10646" xr:uid="{5E26C48E-6A84-4BF2-8434-B16EB2347ECE}"/>
    <cellStyle name="Примечание 2 2 2 3 3 2 3" xfId="4005" xr:uid="{00000000-0005-0000-0000-00006E1B0000}"/>
    <cellStyle name="Примечание 2 2 2 3 3 2 3 2" xfId="7899" xr:uid="{00000000-0005-0000-0000-00006F1B0000}"/>
    <cellStyle name="Примечание 2 2 2 3 3 2 3 3" xfId="11908" xr:uid="{B5B2C60A-D240-4EE8-BBAA-541B1BAB9F80}"/>
    <cellStyle name="Примечание 2 2 2 3 3 2 4" xfId="4787" xr:uid="{00000000-0005-0000-0000-0000701B0000}"/>
    <cellStyle name="Примечание 2 2 2 3 3 2 5" xfId="8796" xr:uid="{B65F354E-FFEA-4324-9324-E06703228445}"/>
    <cellStyle name="Примечание 2 2 2 3 3 2 6" xfId="12687" xr:uid="{21B6696A-5C5A-4E31-BB02-9529BEB31FB4}"/>
    <cellStyle name="Примечание 2 2 2 3 3 3" xfId="1379" xr:uid="{00000000-0005-0000-0000-0000711B0000}"/>
    <cellStyle name="Примечание 2 2 2 3 3 3 2" xfId="5280" xr:uid="{00000000-0005-0000-0000-0000721B0000}"/>
    <cellStyle name="Примечание 2 2 2 3 3 3 3" xfId="9289" xr:uid="{6A4AE741-6324-45C1-B369-D4B614DB78E9}"/>
    <cellStyle name="Примечание 2 2 2 3 3 3 4" xfId="13180" xr:uid="{AD6D982E-7EC4-48E3-BC41-CA5F5BB9C26C}"/>
    <cellStyle name="Примечание 2 2 2 3 3 4" xfId="2742" xr:uid="{00000000-0005-0000-0000-0000731B0000}"/>
    <cellStyle name="Примечание 2 2 2 3 3 4 2" xfId="6636" xr:uid="{00000000-0005-0000-0000-0000741B0000}"/>
    <cellStyle name="Примечание 2 2 2 3 3 4 3" xfId="10645" xr:uid="{B5FB503A-00FA-458E-958F-0DDDE9414615}"/>
    <cellStyle name="Примечание 2 2 2 3 3 5" xfId="3324" xr:uid="{00000000-0005-0000-0000-0000751B0000}"/>
    <cellStyle name="Примечание 2 2 2 3 3 5 2" xfId="7218" xr:uid="{00000000-0005-0000-0000-0000761B0000}"/>
    <cellStyle name="Примечание 2 2 2 3 3 5 3" xfId="11227" xr:uid="{7A798F04-7BAD-46CD-82F6-60BBE573D2AB}"/>
    <cellStyle name="Примечание 2 2 2 3 3 6" xfId="4502" xr:uid="{00000000-0005-0000-0000-0000771B0000}"/>
    <cellStyle name="Примечание 2 2 2 3 3 7" xfId="8511" xr:uid="{5EF98FEF-E04D-4030-B97F-1C7A3764CF56}"/>
    <cellStyle name="Примечание 2 2 2 3 3 8" xfId="12402" xr:uid="{1B32FEAC-B4B2-4E6D-955B-9FE4144D07AC}"/>
    <cellStyle name="Примечание 2 2 2 3 4" xfId="820" xr:uid="{00000000-0005-0000-0000-0000781B0000}"/>
    <cellStyle name="Примечание 2 2 2 3 4 2" xfId="2744" xr:uid="{00000000-0005-0000-0000-0000791B0000}"/>
    <cellStyle name="Примечание 2 2 2 3 4 2 2" xfId="6638" xr:uid="{00000000-0005-0000-0000-00007A1B0000}"/>
    <cellStyle name="Примечание 2 2 2 3 4 2 3" xfId="10647" xr:uid="{067A6658-5EA3-413D-B6A0-AD72DE334D23}"/>
    <cellStyle name="Примечание 2 2 2 3 4 3" xfId="3939" xr:uid="{00000000-0005-0000-0000-00007B1B0000}"/>
    <cellStyle name="Примечание 2 2 2 3 4 3 2" xfId="7833" xr:uid="{00000000-0005-0000-0000-00007C1B0000}"/>
    <cellStyle name="Примечание 2 2 2 3 4 3 3" xfId="11842" xr:uid="{FB8C70A1-C332-4A5C-BE3C-2D0D6A05B6B2}"/>
    <cellStyle name="Примечание 2 2 2 3 4 4" xfId="4721" xr:uid="{00000000-0005-0000-0000-00007D1B0000}"/>
    <cellStyle name="Примечание 2 2 2 3 4 5" xfId="8730" xr:uid="{573343E2-948B-4969-8233-90B2DBAC3268}"/>
    <cellStyle name="Примечание 2 2 2 3 4 6" xfId="12621" xr:uid="{CF986D33-278A-4A88-8531-78DB2063BB0D}"/>
    <cellStyle name="Примечание 2 2 2 3 5" xfId="1058" xr:uid="{00000000-0005-0000-0000-00007E1B0000}"/>
    <cellStyle name="Примечание 2 2 2 3 5 2" xfId="4959" xr:uid="{00000000-0005-0000-0000-00007F1B0000}"/>
    <cellStyle name="Примечание 2 2 2 3 5 3" xfId="8968" xr:uid="{E5CC74B8-158D-4037-B902-C56F3E14BFC5}"/>
    <cellStyle name="Примечание 2 2 2 3 5 4" xfId="12859" xr:uid="{21CFCAF8-0393-4E9C-8D8C-A13857290B29}"/>
    <cellStyle name="Примечание 2 2 2 3 6" xfId="2737" xr:uid="{00000000-0005-0000-0000-0000801B0000}"/>
    <cellStyle name="Примечание 2 2 2 3 6 2" xfId="6631" xr:uid="{00000000-0005-0000-0000-0000811B0000}"/>
    <cellStyle name="Примечание 2 2 2 3 6 3" xfId="10640" xr:uid="{E9A0AF1E-F1B8-4428-A508-37D74B7815CE}"/>
    <cellStyle name="Примечание 2 2 2 3 7" xfId="3003" xr:uid="{00000000-0005-0000-0000-0000821B0000}"/>
    <cellStyle name="Примечание 2 2 2 3 7 2" xfId="6897" xr:uid="{00000000-0005-0000-0000-0000831B0000}"/>
    <cellStyle name="Примечание 2 2 2 3 7 3" xfId="10906" xr:uid="{5764D911-1075-4512-AB17-E951EC337EAC}"/>
    <cellStyle name="Примечание 2 2 2 3 8" xfId="4181" xr:uid="{00000000-0005-0000-0000-0000841B0000}"/>
    <cellStyle name="Примечание 2 2 2 3 9" xfId="8190" xr:uid="{F919C1EB-2F3D-4679-9452-9D47AD4E5F2B}"/>
    <cellStyle name="Примечание 2 2 2 4" xfId="356" xr:uid="{00000000-0005-0000-0000-0000851B0000}"/>
    <cellStyle name="Примечание 2 2 2 4 2" xfId="686" xr:uid="{00000000-0005-0000-0000-0000861B0000}"/>
    <cellStyle name="Примечание 2 2 2 4 2 2" xfId="903" xr:uid="{00000000-0005-0000-0000-0000871B0000}"/>
    <cellStyle name="Примечание 2 2 2 4 2 2 2" xfId="2747" xr:uid="{00000000-0005-0000-0000-0000881B0000}"/>
    <cellStyle name="Примечание 2 2 2 4 2 2 2 2" xfId="6641" xr:uid="{00000000-0005-0000-0000-0000891B0000}"/>
    <cellStyle name="Примечание 2 2 2 4 2 2 2 3" xfId="10650" xr:uid="{965C1A0A-F0F3-498F-B961-0CFFF374A14C}"/>
    <cellStyle name="Примечание 2 2 2 4 2 2 3" xfId="4022" xr:uid="{00000000-0005-0000-0000-00008A1B0000}"/>
    <cellStyle name="Примечание 2 2 2 4 2 2 3 2" xfId="7916" xr:uid="{00000000-0005-0000-0000-00008B1B0000}"/>
    <cellStyle name="Примечание 2 2 2 4 2 2 3 3" xfId="11925" xr:uid="{F66B6B59-70B3-4E33-A008-320B40A7A94F}"/>
    <cellStyle name="Примечание 2 2 2 4 2 2 4" xfId="4804" xr:uid="{00000000-0005-0000-0000-00008C1B0000}"/>
    <cellStyle name="Примечание 2 2 2 4 2 2 5" xfId="8813" xr:uid="{0B7A527D-A3E1-41C6-8574-EC0D3B86785B}"/>
    <cellStyle name="Примечание 2 2 2 4 2 2 6" xfId="12704" xr:uid="{E3ECCE47-02AD-482B-9DB6-6005F3DF90BC}"/>
    <cellStyle name="Примечание 2 2 2 4 2 3" xfId="1467" xr:uid="{00000000-0005-0000-0000-00008D1B0000}"/>
    <cellStyle name="Примечание 2 2 2 4 2 3 2" xfId="5368" xr:uid="{00000000-0005-0000-0000-00008E1B0000}"/>
    <cellStyle name="Примечание 2 2 2 4 2 3 3" xfId="9377" xr:uid="{E732F720-B47C-4EB9-BB72-3E5E434AD5A4}"/>
    <cellStyle name="Примечание 2 2 2 4 2 3 4" xfId="13268" xr:uid="{317E577E-2966-468B-9EC7-9771682EEE21}"/>
    <cellStyle name="Примечание 2 2 2 4 2 4" xfId="2746" xr:uid="{00000000-0005-0000-0000-00008F1B0000}"/>
    <cellStyle name="Примечание 2 2 2 4 2 4 2" xfId="6640" xr:uid="{00000000-0005-0000-0000-0000901B0000}"/>
    <cellStyle name="Примечание 2 2 2 4 2 4 3" xfId="10649" xr:uid="{567DD7CF-EE4C-468B-8DA6-86CF35AFA28B}"/>
    <cellStyle name="Примечание 2 2 2 4 2 5" xfId="3412" xr:uid="{00000000-0005-0000-0000-0000911B0000}"/>
    <cellStyle name="Примечание 2 2 2 4 2 5 2" xfId="7306" xr:uid="{00000000-0005-0000-0000-0000921B0000}"/>
    <cellStyle name="Примечание 2 2 2 4 2 5 3" xfId="11315" xr:uid="{12C82404-8F1D-4B90-8407-57FE0744BFDB}"/>
    <cellStyle name="Примечание 2 2 2 4 2 6" xfId="4590" xr:uid="{00000000-0005-0000-0000-0000931B0000}"/>
    <cellStyle name="Примечание 2 2 2 4 2 7" xfId="8599" xr:uid="{3D13C76C-3984-493C-B77D-17642F5EC019}"/>
    <cellStyle name="Примечание 2 2 2 4 2 8" xfId="12490" xr:uid="{8583103C-356F-446A-B189-C175C8B40130}"/>
    <cellStyle name="Примечание 2 2 2 4 3" xfId="837" xr:uid="{00000000-0005-0000-0000-0000941B0000}"/>
    <cellStyle name="Примечание 2 2 2 4 3 2" xfId="2748" xr:uid="{00000000-0005-0000-0000-0000951B0000}"/>
    <cellStyle name="Примечание 2 2 2 4 3 2 2" xfId="6642" xr:uid="{00000000-0005-0000-0000-0000961B0000}"/>
    <cellStyle name="Примечание 2 2 2 4 3 2 3" xfId="10651" xr:uid="{7633269B-16CF-49CB-8174-9244429042BF}"/>
    <cellStyle name="Примечание 2 2 2 4 3 3" xfId="3956" xr:uid="{00000000-0005-0000-0000-0000971B0000}"/>
    <cellStyle name="Примечание 2 2 2 4 3 3 2" xfId="7850" xr:uid="{00000000-0005-0000-0000-0000981B0000}"/>
    <cellStyle name="Примечание 2 2 2 4 3 3 3" xfId="11859" xr:uid="{E13FB313-64A9-4B50-98B2-7CEE4EE2DF9B}"/>
    <cellStyle name="Примечание 2 2 2 4 3 4" xfId="4738" xr:uid="{00000000-0005-0000-0000-0000991B0000}"/>
    <cellStyle name="Примечание 2 2 2 4 3 5" xfId="8747" xr:uid="{9F94B798-F6B5-44B3-9216-5B8110C0001B}"/>
    <cellStyle name="Примечание 2 2 2 4 3 6" xfId="12638" xr:uid="{80049CD8-2802-42FE-9B35-49E619A84992}"/>
    <cellStyle name="Примечание 2 2 2 4 4" xfId="1146" xr:uid="{00000000-0005-0000-0000-00009A1B0000}"/>
    <cellStyle name="Примечание 2 2 2 4 4 2" xfId="5047" xr:uid="{00000000-0005-0000-0000-00009B1B0000}"/>
    <cellStyle name="Примечание 2 2 2 4 4 3" xfId="9056" xr:uid="{955FBB0A-BD44-4E62-BE1C-DC43D9ED0E22}"/>
    <cellStyle name="Примечание 2 2 2 4 4 4" xfId="12947" xr:uid="{D6C7ABFF-22A3-4F17-B164-E33974F9C45A}"/>
    <cellStyle name="Примечание 2 2 2 4 5" xfId="2745" xr:uid="{00000000-0005-0000-0000-00009C1B0000}"/>
    <cellStyle name="Примечание 2 2 2 4 5 2" xfId="6639" xr:uid="{00000000-0005-0000-0000-00009D1B0000}"/>
    <cellStyle name="Примечание 2 2 2 4 5 3" xfId="10648" xr:uid="{F679A42B-789E-46F4-A3FE-415484FBFEBD}"/>
    <cellStyle name="Примечание 2 2 2 4 6" xfId="3091" xr:uid="{00000000-0005-0000-0000-00009E1B0000}"/>
    <cellStyle name="Примечание 2 2 2 4 6 2" xfId="6985" xr:uid="{00000000-0005-0000-0000-00009F1B0000}"/>
    <cellStyle name="Примечание 2 2 2 4 6 3" xfId="10994" xr:uid="{8F6A3687-AF19-46EB-9429-20AFA9C77016}"/>
    <cellStyle name="Примечание 2 2 2 4 7" xfId="4269" xr:uid="{00000000-0005-0000-0000-0000A01B0000}"/>
    <cellStyle name="Примечание 2 2 2 4 8" xfId="8278" xr:uid="{29317715-D526-493A-9BFA-450D8CB7709B}"/>
    <cellStyle name="Примечание 2 2 2 4 9" xfId="12169" xr:uid="{6B84374D-B699-4B2B-864C-CCBCE869856E}"/>
    <cellStyle name="Примечание 2 2 2 5" xfId="521" xr:uid="{00000000-0005-0000-0000-0000A11B0000}"/>
    <cellStyle name="Примечание 2 2 2 5 2" xfId="870" xr:uid="{00000000-0005-0000-0000-0000A21B0000}"/>
    <cellStyle name="Примечание 2 2 2 5 2 2" xfId="2750" xr:uid="{00000000-0005-0000-0000-0000A31B0000}"/>
    <cellStyle name="Примечание 2 2 2 5 2 2 2" xfId="6644" xr:uid="{00000000-0005-0000-0000-0000A41B0000}"/>
    <cellStyle name="Примечание 2 2 2 5 2 2 3" xfId="10653" xr:uid="{9A242857-D564-4C70-AD70-EB2D80A18D08}"/>
    <cellStyle name="Примечание 2 2 2 5 2 3" xfId="3989" xr:uid="{00000000-0005-0000-0000-0000A51B0000}"/>
    <cellStyle name="Примечание 2 2 2 5 2 3 2" xfId="7883" xr:uid="{00000000-0005-0000-0000-0000A61B0000}"/>
    <cellStyle name="Примечание 2 2 2 5 2 3 3" xfId="11892" xr:uid="{98E77933-1547-4DCA-BD85-2806F511D275}"/>
    <cellStyle name="Примечание 2 2 2 5 2 4" xfId="4771" xr:uid="{00000000-0005-0000-0000-0000A71B0000}"/>
    <cellStyle name="Примечание 2 2 2 5 2 5" xfId="8780" xr:uid="{A8255CBE-7121-406D-AAB7-3E1779381974}"/>
    <cellStyle name="Примечание 2 2 2 5 2 6" xfId="12671" xr:uid="{4114A38C-9EBC-4D42-9E55-3431DE563A52}"/>
    <cellStyle name="Примечание 2 2 2 5 3" xfId="1302" xr:uid="{00000000-0005-0000-0000-0000A81B0000}"/>
    <cellStyle name="Примечание 2 2 2 5 3 2" xfId="5203" xr:uid="{00000000-0005-0000-0000-0000A91B0000}"/>
    <cellStyle name="Примечание 2 2 2 5 3 3" xfId="9212" xr:uid="{A1F5DBA2-916A-41C4-A98C-86D67DF68966}"/>
    <cellStyle name="Примечание 2 2 2 5 3 4" xfId="13103" xr:uid="{3824CDA3-8FE6-4310-8BAC-863BD8C2BC74}"/>
    <cellStyle name="Примечание 2 2 2 5 4" xfId="2749" xr:uid="{00000000-0005-0000-0000-0000AA1B0000}"/>
    <cellStyle name="Примечание 2 2 2 5 4 2" xfId="6643" xr:uid="{00000000-0005-0000-0000-0000AB1B0000}"/>
    <cellStyle name="Примечание 2 2 2 5 4 3" xfId="10652" xr:uid="{ED22E167-100B-4980-A0A6-8CA1579CF04B}"/>
    <cellStyle name="Примечание 2 2 2 5 5" xfId="3247" xr:uid="{00000000-0005-0000-0000-0000AC1B0000}"/>
    <cellStyle name="Примечание 2 2 2 5 5 2" xfId="7141" xr:uid="{00000000-0005-0000-0000-0000AD1B0000}"/>
    <cellStyle name="Примечание 2 2 2 5 5 3" xfId="11150" xr:uid="{B7C7C834-462B-4D0D-BEF6-533F9FE3168E}"/>
    <cellStyle name="Примечание 2 2 2 5 6" xfId="4425" xr:uid="{00000000-0005-0000-0000-0000AE1B0000}"/>
    <cellStyle name="Примечание 2 2 2 5 7" xfId="8434" xr:uid="{BD66F6D9-EB8A-4447-AB7B-FBF97EB49E69}"/>
    <cellStyle name="Примечание 2 2 2 5 8" xfId="12325" xr:uid="{32B863F5-DD10-4188-9188-E98E5E051C9D}"/>
    <cellStyle name="Примечание 2 2 2 6" xfId="804" xr:uid="{00000000-0005-0000-0000-0000AF1B0000}"/>
    <cellStyle name="Примечание 2 2 2 6 2" xfId="2751" xr:uid="{00000000-0005-0000-0000-0000B01B0000}"/>
    <cellStyle name="Примечание 2 2 2 6 2 2" xfId="6645" xr:uid="{00000000-0005-0000-0000-0000B11B0000}"/>
    <cellStyle name="Примечание 2 2 2 6 2 3" xfId="10654" xr:uid="{8A057598-DA6D-4A5C-BA23-9B9D7D5EC3B7}"/>
    <cellStyle name="Примечание 2 2 2 6 3" xfId="3923" xr:uid="{00000000-0005-0000-0000-0000B21B0000}"/>
    <cellStyle name="Примечание 2 2 2 6 3 2" xfId="7817" xr:uid="{00000000-0005-0000-0000-0000B31B0000}"/>
    <cellStyle name="Примечание 2 2 2 6 3 3" xfId="11826" xr:uid="{EF714F19-2078-4F5A-85DB-FFDB72693A67}"/>
    <cellStyle name="Примечание 2 2 2 6 4" xfId="4705" xr:uid="{00000000-0005-0000-0000-0000B41B0000}"/>
    <cellStyle name="Примечание 2 2 2 6 5" xfId="8714" xr:uid="{B7585869-769F-4D0D-AF26-8C4C7FB12D87}"/>
    <cellStyle name="Примечание 2 2 2 6 6" xfId="12605" xr:uid="{E07A269F-8C30-4CE9-81E2-D4F64B2E03BF}"/>
    <cellStyle name="Примечание 2 2 2 7" xfId="981" xr:uid="{00000000-0005-0000-0000-0000B51B0000}"/>
    <cellStyle name="Примечание 2 2 2 7 2" xfId="4882" xr:uid="{00000000-0005-0000-0000-0000B61B0000}"/>
    <cellStyle name="Примечание 2 2 2 7 3" xfId="8891" xr:uid="{EAD16370-FA1F-4852-AB9E-8ACB3A181CBA}"/>
    <cellStyle name="Примечание 2 2 2 7 4" xfId="12782" xr:uid="{8E4251F9-8291-4AB4-893B-599A7159C4F5}"/>
    <cellStyle name="Примечание 2 2 2 8" xfId="2728" xr:uid="{00000000-0005-0000-0000-0000B71B0000}"/>
    <cellStyle name="Примечание 2 2 2 8 2" xfId="6622" xr:uid="{00000000-0005-0000-0000-0000B81B0000}"/>
    <cellStyle name="Примечание 2 2 2 8 3" xfId="10631" xr:uid="{E101F056-0551-490F-9C0F-1B90D2E98C57}"/>
    <cellStyle name="Примечание 2 2 2 9" xfId="2926" xr:uid="{00000000-0005-0000-0000-0000B91B0000}"/>
    <cellStyle name="Примечание 2 2 2 9 2" xfId="6820" xr:uid="{00000000-0005-0000-0000-0000BA1B0000}"/>
    <cellStyle name="Примечание 2 2 2 9 3" xfId="10829" xr:uid="{064A981C-3E27-4F19-8AB0-FA4A52945CEB}"/>
    <cellStyle name="Примечание 2 2 3" xfId="237" xr:uid="{00000000-0005-0000-0000-0000BB1B0000}"/>
    <cellStyle name="Примечание 2 2 3 10" xfId="12050" xr:uid="{3C78A56B-4EC6-4078-8C1B-DE1E99547515}"/>
    <cellStyle name="Примечание 2 2 3 11" xfId="13486" xr:uid="{CE08476A-9F86-4269-96D6-3A4657B6CECE}"/>
    <cellStyle name="Примечание 2 2 3 2" xfId="396" xr:uid="{00000000-0005-0000-0000-0000BC1B0000}"/>
    <cellStyle name="Примечание 2 2 3 2 2" xfId="726" xr:uid="{00000000-0005-0000-0000-0000BD1B0000}"/>
    <cellStyle name="Примечание 2 2 3 2 2 2" xfId="912" xr:uid="{00000000-0005-0000-0000-0000BE1B0000}"/>
    <cellStyle name="Примечание 2 2 3 2 2 2 2" xfId="2755" xr:uid="{00000000-0005-0000-0000-0000BF1B0000}"/>
    <cellStyle name="Примечание 2 2 3 2 2 2 2 2" xfId="6649" xr:uid="{00000000-0005-0000-0000-0000C01B0000}"/>
    <cellStyle name="Примечание 2 2 3 2 2 2 2 3" xfId="10658" xr:uid="{3C7BB448-70BD-40A8-8E49-9297DDA878CC}"/>
    <cellStyle name="Примечание 2 2 3 2 2 2 3" xfId="4031" xr:uid="{00000000-0005-0000-0000-0000C11B0000}"/>
    <cellStyle name="Примечание 2 2 3 2 2 2 3 2" xfId="7925" xr:uid="{00000000-0005-0000-0000-0000C21B0000}"/>
    <cellStyle name="Примечание 2 2 3 2 2 2 3 3" xfId="11934" xr:uid="{0E91F6E1-DA1D-45D1-BE4A-24D73AA63C25}"/>
    <cellStyle name="Примечание 2 2 3 2 2 2 4" xfId="4813" xr:uid="{00000000-0005-0000-0000-0000C31B0000}"/>
    <cellStyle name="Примечание 2 2 3 2 2 2 5" xfId="8822" xr:uid="{8E2EB40E-CDBB-46BF-BB14-CF15BFD37257}"/>
    <cellStyle name="Примечание 2 2 3 2 2 2 6" xfId="12713" xr:uid="{B44DD9F4-C92B-43AF-ADC9-0DB91AE555FC}"/>
    <cellStyle name="Примечание 2 2 3 2 2 3" xfId="1507" xr:uid="{00000000-0005-0000-0000-0000C41B0000}"/>
    <cellStyle name="Примечание 2 2 3 2 2 3 2" xfId="5408" xr:uid="{00000000-0005-0000-0000-0000C51B0000}"/>
    <cellStyle name="Примечание 2 2 3 2 2 3 3" xfId="9417" xr:uid="{700899B2-EA68-409F-97EA-DBB0FD6D7330}"/>
    <cellStyle name="Примечание 2 2 3 2 2 3 4" xfId="13308" xr:uid="{C0C0DB74-3AB2-4DF2-A4C7-87E6A0518DD8}"/>
    <cellStyle name="Примечание 2 2 3 2 2 4" xfId="2754" xr:uid="{00000000-0005-0000-0000-0000C61B0000}"/>
    <cellStyle name="Примечание 2 2 3 2 2 4 2" xfId="6648" xr:uid="{00000000-0005-0000-0000-0000C71B0000}"/>
    <cellStyle name="Примечание 2 2 3 2 2 4 3" xfId="10657" xr:uid="{52E21414-EE44-4EAC-8253-D6ED4951A5A5}"/>
    <cellStyle name="Примечание 2 2 3 2 2 5" xfId="3452" xr:uid="{00000000-0005-0000-0000-0000C81B0000}"/>
    <cellStyle name="Примечание 2 2 3 2 2 5 2" xfId="7346" xr:uid="{00000000-0005-0000-0000-0000C91B0000}"/>
    <cellStyle name="Примечание 2 2 3 2 2 5 3" xfId="11355" xr:uid="{3DA9A346-3584-437F-9BE8-81BF550A33EA}"/>
    <cellStyle name="Примечание 2 2 3 2 2 6" xfId="4630" xr:uid="{00000000-0005-0000-0000-0000CA1B0000}"/>
    <cellStyle name="Примечание 2 2 3 2 2 7" xfId="8639" xr:uid="{1EBBA559-636D-4C8B-91FE-E73FDD7FC5F4}"/>
    <cellStyle name="Примечание 2 2 3 2 2 8" xfId="12530" xr:uid="{53AF3FDF-8CD5-41A5-A0DF-1C78F1830F65}"/>
    <cellStyle name="Примечание 2 2 3 2 3" xfId="846" xr:uid="{00000000-0005-0000-0000-0000CB1B0000}"/>
    <cellStyle name="Примечание 2 2 3 2 3 2" xfId="2756" xr:uid="{00000000-0005-0000-0000-0000CC1B0000}"/>
    <cellStyle name="Примечание 2 2 3 2 3 2 2" xfId="6650" xr:uid="{00000000-0005-0000-0000-0000CD1B0000}"/>
    <cellStyle name="Примечание 2 2 3 2 3 2 3" xfId="10659" xr:uid="{41A6751D-81FD-4653-85D3-189D13B1D19A}"/>
    <cellStyle name="Примечание 2 2 3 2 3 3" xfId="3965" xr:uid="{00000000-0005-0000-0000-0000CE1B0000}"/>
    <cellStyle name="Примечание 2 2 3 2 3 3 2" xfId="7859" xr:uid="{00000000-0005-0000-0000-0000CF1B0000}"/>
    <cellStyle name="Примечание 2 2 3 2 3 3 3" xfId="11868" xr:uid="{40645ECC-686C-4712-A181-F19DB69245DA}"/>
    <cellStyle name="Примечание 2 2 3 2 3 4" xfId="4747" xr:uid="{00000000-0005-0000-0000-0000D01B0000}"/>
    <cellStyle name="Примечание 2 2 3 2 3 5" xfId="8756" xr:uid="{6A36332B-177F-411F-8AF2-CFA9C265DCBB}"/>
    <cellStyle name="Примечание 2 2 3 2 3 6" xfId="12647" xr:uid="{E3473687-512B-4C5D-9025-17A038416625}"/>
    <cellStyle name="Примечание 2 2 3 2 4" xfId="1186" xr:uid="{00000000-0005-0000-0000-0000D11B0000}"/>
    <cellStyle name="Примечание 2 2 3 2 4 2" xfId="5087" xr:uid="{00000000-0005-0000-0000-0000D21B0000}"/>
    <cellStyle name="Примечание 2 2 3 2 4 3" xfId="9096" xr:uid="{92B8620A-AF88-49BB-B3F2-D99EBA5D4084}"/>
    <cellStyle name="Примечание 2 2 3 2 4 4" xfId="12987" xr:uid="{4D97131E-D386-490C-9E6F-49147399F722}"/>
    <cellStyle name="Примечание 2 2 3 2 5" xfId="2753" xr:uid="{00000000-0005-0000-0000-0000D31B0000}"/>
    <cellStyle name="Примечание 2 2 3 2 5 2" xfId="6647" xr:uid="{00000000-0005-0000-0000-0000D41B0000}"/>
    <cellStyle name="Примечание 2 2 3 2 5 3" xfId="10656" xr:uid="{453591FC-120E-429B-830A-37A8A01566E2}"/>
    <cellStyle name="Примечание 2 2 3 2 6" xfId="3131" xr:uid="{00000000-0005-0000-0000-0000D51B0000}"/>
    <cellStyle name="Примечание 2 2 3 2 6 2" xfId="7025" xr:uid="{00000000-0005-0000-0000-0000D61B0000}"/>
    <cellStyle name="Примечание 2 2 3 2 6 3" xfId="11034" xr:uid="{F4A82B2D-1A11-4071-8F21-2C013F335D70}"/>
    <cellStyle name="Примечание 2 2 3 2 7" xfId="4309" xr:uid="{00000000-0005-0000-0000-0000D71B0000}"/>
    <cellStyle name="Примечание 2 2 3 2 8" xfId="8318" xr:uid="{6A74D588-DEAE-4D50-9E91-F238C39F7D29}"/>
    <cellStyle name="Примечание 2 2 3 2 9" xfId="12209" xr:uid="{404C2951-E900-41F1-A676-F1F4F2ECE59D}"/>
    <cellStyle name="Примечание 2 2 3 3" xfId="567" xr:uid="{00000000-0005-0000-0000-0000D81B0000}"/>
    <cellStyle name="Примечание 2 2 3 3 2" xfId="879" xr:uid="{00000000-0005-0000-0000-0000D91B0000}"/>
    <cellStyle name="Примечание 2 2 3 3 2 2" xfId="2758" xr:uid="{00000000-0005-0000-0000-0000DA1B0000}"/>
    <cellStyle name="Примечание 2 2 3 3 2 2 2" xfId="6652" xr:uid="{00000000-0005-0000-0000-0000DB1B0000}"/>
    <cellStyle name="Примечание 2 2 3 3 2 2 3" xfId="10661" xr:uid="{93CDFB09-05F9-4014-9816-0666B609AE50}"/>
    <cellStyle name="Примечание 2 2 3 3 2 3" xfId="3998" xr:uid="{00000000-0005-0000-0000-0000DC1B0000}"/>
    <cellStyle name="Примечание 2 2 3 3 2 3 2" xfId="7892" xr:uid="{00000000-0005-0000-0000-0000DD1B0000}"/>
    <cellStyle name="Примечание 2 2 3 3 2 3 3" xfId="11901" xr:uid="{E66CA6BA-4894-4B7D-B114-4DD5F89B389F}"/>
    <cellStyle name="Примечание 2 2 3 3 2 4" xfId="4780" xr:uid="{00000000-0005-0000-0000-0000DE1B0000}"/>
    <cellStyle name="Примечание 2 2 3 3 2 5" xfId="8789" xr:uid="{1FB29AF9-C88F-49DE-95B1-BB92686629F4}"/>
    <cellStyle name="Примечание 2 2 3 3 2 6" xfId="12680" xr:uid="{475CA094-BB14-45A1-9465-5A13E589E064}"/>
    <cellStyle name="Примечание 2 2 3 3 3" xfId="1348" xr:uid="{00000000-0005-0000-0000-0000DF1B0000}"/>
    <cellStyle name="Примечание 2 2 3 3 3 2" xfId="5249" xr:uid="{00000000-0005-0000-0000-0000E01B0000}"/>
    <cellStyle name="Примечание 2 2 3 3 3 3" xfId="9258" xr:uid="{D24AF416-5290-40BE-9662-019297911B93}"/>
    <cellStyle name="Примечание 2 2 3 3 3 4" xfId="13149" xr:uid="{BDA4B43B-93C0-4618-9F42-1C49DE4ABAFE}"/>
    <cellStyle name="Примечание 2 2 3 3 4" xfId="2757" xr:uid="{00000000-0005-0000-0000-0000E11B0000}"/>
    <cellStyle name="Примечание 2 2 3 3 4 2" xfId="6651" xr:uid="{00000000-0005-0000-0000-0000E21B0000}"/>
    <cellStyle name="Примечание 2 2 3 3 4 3" xfId="10660" xr:uid="{1BECCCFA-AF0E-454C-AF20-BDF0FCF6A924}"/>
    <cellStyle name="Примечание 2 2 3 3 5" xfId="3293" xr:uid="{00000000-0005-0000-0000-0000E31B0000}"/>
    <cellStyle name="Примечание 2 2 3 3 5 2" xfId="7187" xr:uid="{00000000-0005-0000-0000-0000E41B0000}"/>
    <cellStyle name="Примечание 2 2 3 3 5 3" xfId="11196" xr:uid="{C23F6E9E-CC63-4463-A014-0F53374BBEF1}"/>
    <cellStyle name="Примечание 2 2 3 3 6" xfId="4471" xr:uid="{00000000-0005-0000-0000-0000E51B0000}"/>
    <cellStyle name="Примечание 2 2 3 3 7" xfId="8480" xr:uid="{576F7B40-B31E-4706-AC85-4654A6B9E2F7}"/>
    <cellStyle name="Примечание 2 2 3 3 8" xfId="12371" xr:uid="{1F8536A5-7FB2-4223-802D-1CC0FCBE5336}"/>
    <cellStyle name="Примечание 2 2 3 4" xfId="813" xr:uid="{00000000-0005-0000-0000-0000E61B0000}"/>
    <cellStyle name="Примечание 2 2 3 4 2" xfId="2759" xr:uid="{00000000-0005-0000-0000-0000E71B0000}"/>
    <cellStyle name="Примечание 2 2 3 4 2 2" xfId="6653" xr:uid="{00000000-0005-0000-0000-0000E81B0000}"/>
    <cellStyle name="Примечание 2 2 3 4 2 3" xfId="10662" xr:uid="{A0BA948C-AEA5-4739-8633-8AD27D784800}"/>
    <cellStyle name="Примечание 2 2 3 4 3" xfId="3932" xr:uid="{00000000-0005-0000-0000-0000E91B0000}"/>
    <cellStyle name="Примечание 2 2 3 4 3 2" xfId="7826" xr:uid="{00000000-0005-0000-0000-0000EA1B0000}"/>
    <cellStyle name="Примечание 2 2 3 4 3 3" xfId="11835" xr:uid="{89EF5E8F-4F5B-4581-95B7-C60BBF6906DC}"/>
    <cellStyle name="Примечание 2 2 3 4 4" xfId="4714" xr:uid="{00000000-0005-0000-0000-0000EB1B0000}"/>
    <cellStyle name="Примечание 2 2 3 4 5" xfId="8723" xr:uid="{44BD83E4-C151-4EC0-AF81-92DEB2FC1982}"/>
    <cellStyle name="Примечание 2 2 3 4 6" xfId="12614" xr:uid="{5C1E63BA-490E-468F-9525-CD35138F72E4}"/>
    <cellStyle name="Примечание 2 2 3 5" xfId="1027" xr:uid="{00000000-0005-0000-0000-0000EC1B0000}"/>
    <cellStyle name="Примечание 2 2 3 5 2" xfId="4928" xr:uid="{00000000-0005-0000-0000-0000ED1B0000}"/>
    <cellStyle name="Примечание 2 2 3 5 3" xfId="8937" xr:uid="{926E032C-C3BB-429C-A0BC-F51E0FDEF26E}"/>
    <cellStyle name="Примечание 2 2 3 5 4" xfId="12828" xr:uid="{B2E5DF41-8640-4819-A360-C91288ADF1E7}"/>
    <cellStyle name="Примечание 2 2 3 6" xfId="2752" xr:uid="{00000000-0005-0000-0000-0000EE1B0000}"/>
    <cellStyle name="Примечание 2 2 3 6 2" xfId="6646" xr:uid="{00000000-0005-0000-0000-0000EF1B0000}"/>
    <cellStyle name="Примечание 2 2 3 6 3" xfId="10655" xr:uid="{6BB059CA-4052-4F12-BD7A-158111B43E63}"/>
    <cellStyle name="Примечание 2 2 3 7" xfId="2972" xr:uid="{00000000-0005-0000-0000-0000F01B0000}"/>
    <cellStyle name="Примечание 2 2 3 7 2" xfId="6866" xr:uid="{00000000-0005-0000-0000-0000F11B0000}"/>
    <cellStyle name="Примечание 2 2 3 7 3" xfId="10875" xr:uid="{29C327C9-9FCE-4171-B0EE-9CC4DB489E85}"/>
    <cellStyle name="Примечание 2 2 3 8" xfId="4150" xr:uid="{00000000-0005-0000-0000-0000F21B0000}"/>
    <cellStyle name="Примечание 2 2 3 9" xfId="8159" xr:uid="{25BE866E-C027-4F59-823E-1401FFF477E7}"/>
    <cellStyle name="Примечание 2 2 4" xfId="299" xr:uid="{00000000-0005-0000-0000-0000F31B0000}"/>
    <cellStyle name="Примечание 2 2 4 10" xfId="12112" xr:uid="{F31F976C-5F0B-41B6-8F81-29F8FF9F76EC}"/>
    <cellStyle name="Примечание 2 2 4 11" xfId="13548" xr:uid="{F9C8688C-5343-441D-A9F1-56D3D40B05B5}"/>
    <cellStyle name="Примечание 2 2 4 2" xfId="454" xr:uid="{00000000-0005-0000-0000-0000F41B0000}"/>
    <cellStyle name="Примечание 2 2 4 2 2" xfId="784" xr:uid="{00000000-0005-0000-0000-0000F51B0000}"/>
    <cellStyle name="Примечание 2 2 4 2 2 2" xfId="925" xr:uid="{00000000-0005-0000-0000-0000F61B0000}"/>
    <cellStyle name="Примечание 2 2 4 2 2 2 2" xfId="2763" xr:uid="{00000000-0005-0000-0000-0000F71B0000}"/>
    <cellStyle name="Примечание 2 2 4 2 2 2 2 2" xfId="6657" xr:uid="{00000000-0005-0000-0000-0000F81B0000}"/>
    <cellStyle name="Примечание 2 2 4 2 2 2 2 3" xfId="10666" xr:uid="{3F01B575-05D7-4F51-8291-C2A4BA6105EF}"/>
    <cellStyle name="Примечание 2 2 4 2 2 2 3" xfId="4044" xr:uid="{00000000-0005-0000-0000-0000F91B0000}"/>
    <cellStyle name="Примечание 2 2 4 2 2 2 3 2" xfId="7938" xr:uid="{00000000-0005-0000-0000-0000FA1B0000}"/>
    <cellStyle name="Примечание 2 2 4 2 2 2 3 3" xfId="11947" xr:uid="{E5778FED-E16C-43DF-9815-293CC6308AE4}"/>
    <cellStyle name="Примечание 2 2 4 2 2 2 4" xfId="4826" xr:uid="{00000000-0005-0000-0000-0000FB1B0000}"/>
    <cellStyle name="Примечание 2 2 4 2 2 2 5" xfId="8835" xr:uid="{B66A73F0-3A03-468D-B227-9D24D14D810E}"/>
    <cellStyle name="Примечание 2 2 4 2 2 2 6" xfId="12726" xr:uid="{93901A22-BA90-48BB-A003-5314957C7806}"/>
    <cellStyle name="Примечание 2 2 4 2 2 3" xfId="1565" xr:uid="{00000000-0005-0000-0000-0000FC1B0000}"/>
    <cellStyle name="Примечание 2 2 4 2 2 3 2" xfId="5466" xr:uid="{00000000-0005-0000-0000-0000FD1B0000}"/>
    <cellStyle name="Примечание 2 2 4 2 2 3 3" xfId="9475" xr:uid="{A2E0DC53-0674-42F7-A1C4-D2C84BC7D36B}"/>
    <cellStyle name="Примечание 2 2 4 2 2 3 4" xfId="13366" xr:uid="{1AE9C6A8-1B29-4390-BFFA-FB85C560E2EE}"/>
    <cellStyle name="Примечание 2 2 4 2 2 4" xfId="2762" xr:uid="{00000000-0005-0000-0000-0000FE1B0000}"/>
    <cellStyle name="Примечание 2 2 4 2 2 4 2" xfId="6656" xr:uid="{00000000-0005-0000-0000-0000FF1B0000}"/>
    <cellStyle name="Примечание 2 2 4 2 2 4 3" xfId="10665" xr:uid="{AD68EF07-A870-45BC-82F8-EACF5E2507DB}"/>
    <cellStyle name="Примечание 2 2 4 2 2 5" xfId="3510" xr:uid="{00000000-0005-0000-0000-0000001C0000}"/>
    <cellStyle name="Примечание 2 2 4 2 2 5 2" xfId="7404" xr:uid="{00000000-0005-0000-0000-0000011C0000}"/>
    <cellStyle name="Примечание 2 2 4 2 2 5 3" xfId="11413" xr:uid="{0233831E-9FCA-445D-BFA8-F8CBEDACAC2B}"/>
    <cellStyle name="Примечание 2 2 4 2 2 6" xfId="4688" xr:uid="{00000000-0005-0000-0000-0000021C0000}"/>
    <cellStyle name="Примечание 2 2 4 2 2 7" xfId="8697" xr:uid="{9BCE1C0A-82B2-4ED5-BBEB-8068AB6F27B7}"/>
    <cellStyle name="Примечание 2 2 4 2 2 8" xfId="12588" xr:uid="{FDADA93C-A418-44AF-A45C-4E0DF5333C72}"/>
    <cellStyle name="Примечание 2 2 4 2 3" xfId="859" xr:uid="{00000000-0005-0000-0000-0000031C0000}"/>
    <cellStyle name="Примечание 2 2 4 2 3 2" xfId="2764" xr:uid="{00000000-0005-0000-0000-0000041C0000}"/>
    <cellStyle name="Примечание 2 2 4 2 3 2 2" xfId="6658" xr:uid="{00000000-0005-0000-0000-0000051C0000}"/>
    <cellStyle name="Примечание 2 2 4 2 3 2 3" xfId="10667" xr:uid="{EA8D7CEF-38AC-4539-AF31-ECF79754469D}"/>
    <cellStyle name="Примечание 2 2 4 2 3 3" xfId="3978" xr:uid="{00000000-0005-0000-0000-0000061C0000}"/>
    <cellStyle name="Примечание 2 2 4 2 3 3 2" xfId="7872" xr:uid="{00000000-0005-0000-0000-0000071C0000}"/>
    <cellStyle name="Примечание 2 2 4 2 3 3 3" xfId="11881" xr:uid="{3E80E861-8511-4602-A14E-5FA28707F37B}"/>
    <cellStyle name="Примечание 2 2 4 2 3 4" xfId="4760" xr:uid="{00000000-0005-0000-0000-0000081C0000}"/>
    <cellStyle name="Примечание 2 2 4 2 3 5" xfId="8769" xr:uid="{D203BB0C-B231-425E-BDFC-A45315CD8E07}"/>
    <cellStyle name="Примечание 2 2 4 2 3 6" xfId="12660" xr:uid="{464C52C1-6130-4B2C-8906-436ECAABAE9A}"/>
    <cellStyle name="Примечание 2 2 4 2 4" xfId="1244" xr:uid="{00000000-0005-0000-0000-0000091C0000}"/>
    <cellStyle name="Примечание 2 2 4 2 4 2" xfId="5145" xr:uid="{00000000-0005-0000-0000-00000A1C0000}"/>
    <cellStyle name="Примечание 2 2 4 2 4 3" xfId="9154" xr:uid="{3B0D2E74-606A-489B-8365-8DB6BAE3AABC}"/>
    <cellStyle name="Примечание 2 2 4 2 4 4" xfId="13045" xr:uid="{020596F7-DF0A-4133-8FF9-5D1B5DE000D5}"/>
    <cellStyle name="Примечание 2 2 4 2 5" xfId="2761" xr:uid="{00000000-0005-0000-0000-00000B1C0000}"/>
    <cellStyle name="Примечание 2 2 4 2 5 2" xfId="6655" xr:uid="{00000000-0005-0000-0000-00000C1C0000}"/>
    <cellStyle name="Примечание 2 2 4 2 5 3" xfId="10664" xr:uid="{3058057E-E45C-44DE-A451-BF0DB1D2403F}"/>
    <cellStyle name="Примечание 2 2 4 2 6" xfId="3189" xr:uid="{00000000-0005-0000-0000-00000D1C0000}"/>
    <cellStyle name="Примечание 2 2 4 2 6 2" xfId="7083" xr:uid="{00000000-0005-0000-0000-00000E1C0000}"/>
    <cellStyle name="Примечание 2 2 4 2 6 3" xfId="11092" xr:uid="{FCB6805B-8E27-431A-88C3-8837610E135A}"/>
    <cellStyle name="Примечание 2 2 4 2 7" xfId="4367" xr:uid="{00000000-0005-0000-0000-00000F1C0000}"/>
    <cellStyle name="Примечание 2 2 4 2 8" xfId="8376" xr:uid="{15C53C51-C2CB-446B-9EEA-3833A3A25741}"/>
    <cellStyle name="Примечание 2 2 4 2 9" xfId="12267" xr:uid="{E70B9958-02B4-4049-A796-EB5D6D17A8C7}"/>
    <cellStyle name="Примечание 2 2 4 3" xfId="629" xr:uid="{00000000-0005-0000-0000-0000101C0000}"/>
    <cellStyle name="Примечание 2 2 4 3 2" xfId="892" xr:uid="{00000000-0005-0000-0000-0000111C0000}"/>
    <cellStyle name="Примечание 2 2 4 3 2 2" xfId="2766" xr:uid="{00000000-0005-0000-0000-0000121C0000}"/>
    <cellStyle name="Примечание 2 2 4 3 2 2 2" xfId="6660" xr:uid="{00000000-0005-0000-0000-0000131C0000}"/>
    <cellStyle name="Примечание 2 2 4 3 2 2 3" xfId="10669" xr:uid="{957681CB-E4E9-4719-AD9D-A8115FDEA70B}"/>
    <cellStyle name="Примечание 2 2 4 3 2 3" xfId="4011" xr:uid="{00000000-0005-0000-0000-0000141C0000}"/>
    <cellStyle name="Примечание 2 2 4 3 2 3 2" xfId="7905" xr:uid="{00000000-0005-0000-0000-0000151C0000}"/>
    <cellStyle name="Примечание 2 2 4 3 2 3 3" xfId="11914" xr:uid="{071B5024-94B0-4FB7-A07C-0F1DEDDC96D5}"/>
    <cellStyle name="Примечание 2 2 4 3 2 4" xfId="4793" xr:uid="{00000000-0005-0000-0000-0000161C0000}"/>
    <cellStyle name="Примечание 2 2 4 3 2 5" xfId="8802" xr:uid="{2C37B3C3-F9D0-4EC1-A27E-3607B68B0E21}"/>
    <cellStyle name="Примечание 2 2 4 3 2 6" xfId="12693" xr:uid="{64012E66-69B2-4707-A27F-A34635806CE8}"/>
    <cellStyle name="Примечание 2 2 4 3 3" xfId="1410" xr:uid="{00000000-0005-0000-0000-0000171C0000}"/>
    <cellStyle name="Примечание 2 2 4 3 3 2" xfId="5311" xr:uid="{00000000-0005-0000-0000-0000181C0000}"/>
    <cellStyle name="Примечание 2 2 4 3 3 3" xfId="9320" xr:uid="{93852FAA-E1C6-4FE3-9885-2D2F4A7E78CB}"/>
    <cellStyle name="Примечание 2 2 4 3 3 4" xfId="13211" xr:uid="{C580E828-8CFC-4138-A028-8A4C6FA5EA93}"/>
    <cellStyle name="Примечание 2 2 4 3 4" xfId="2765" xr:uid="{00000000-0005-0000-0000-0000191C0000}"/>
    <cellStyle name="Примечание 2 2 4 3 4 2" xfId="6659" xr:uid="{00000000-0005-0000-0000-00001A1C0000}"/>
    <cellStyle name="Примечание 2 2 4 3 4 3" xfId="10668" xr:uid="{93D9FA46-A5BC-42C5-A1E4-977523DDD636}"/>
    <cellStyle name="Примечание 2 2 4 3 5" xfId="3355" xr:uid="{00000000-0005-0000-0000-00001B1C0000}"/>
    <cellStyle name="Примечание 2 2 4 3 5 2" xfId="7249" xr:uid="{00000000-0005-0000-0000-00001C1C0000}"/>
    <cellStyle name="Примечание 2 2 4 3 5 3" xfId="11258" xr:uid="{4C5CDBCD-7A72-4222-8168-E7EE861C3E60}"/>
    <cellStyle name="Примечание 2 2 4 3 6" xfId="4533" xr:uid="{00000000-0005-0000-0000-00001D1C0000}"/>
    <cellStyle name="Примечание 2 2 4 3 7" xfId="8542" xr:uid="{C3258C33-D886-43AA-9510-74981E403ADB}"/>
    <cellStyle name="Примечание 2 2 4 3 8" xfId="12433" xr:uid="{08B30DF9-2B51-46BF-9E26-021EDBE37824}"/>
    <cellStyle name="Примечание 2 2 4 4" xfId="826" xr:uid="{00000000-0005-0000-0000-00001E1C0000}"/>
    <cellStyle name="Примечание 2 2 4 4 2" xfId="2767" xr:uid="{00000000-0005-0000-0000-00001F1C0000}"/>
    <cellStyle name="Примечание 2 2 4 4 2 2" xfId="6661" xr:uid="{00000000-0005-0000-0000-0000201C0000}"/>
    <cellStyle name="Примечание 2 2 4 4 2 3" xfId="10670" xr:uid="{03F026C1-FE1E-4AF2-9C72-4EF584AE88AE}"/>
    <cellStyle name="Примечание 2 2 4 4 3" xfId="3945" xr:uid="{00000000-0005-0000-0000-0000211C0000}"/>
    <cellStyle name="Примечание 2 2 4 4 3 2" xfId="7839" xr:uid="{00000000-0005-0000-0000-0000221C0000}"/>
    <cellStyle name="Примечание 2 2 4 4 3 3" xfId="11848" xr:uid="{ADC9A6E1-3120-47B3-941B-52D429795234}"/>
    <cellStyle name="Примечание 2 2 4 4 4" xfId="4727" xr:uid="{00000000-0005-0000-0000-0000231C0000}"/>
    <cellStyle name="Примечание 2 2 4 4 5" xfId="8736" xr:uid="{5BA04002-AA06-44DB-870C-FB42F2E3727C}"/>
    <cellStyle name="Примечание 2 2 4 4 6" xfId="12627" xr:uid="{C21395D1-6B10-45D8-973C-75EC635FD0F2}"/>
    <cellStyle name="Примечание 2 2 4 5" xfId="1089" xr:uid="{00000000-0005-0000-0000-0000241C0000}"/>
    <cellStyle name="Примечание 2 2 4 5 2" xfId="4990" xr:uid="{00000000-0005-0000-0000-0000251C0000}"/>
    <cellStyle name="Примечание 2 2 4 5 3" xfId="8999" xr:uid="{580E3FAA-3F99-4C76-A59E-DF0A72CDACCF}"/>
    <cellStyle name="Примечание 2 2 4 5 4" xfId="12890" xr:uid="{394C3FA6-30A4-4151-A0DB-384260658FB0}"/>
    <cellStyle name="Примечание 2 2 4 6" xfId="2760" xr:uid="{00000000-0005-0000-0000-0000261C0000}"/>
    <cellStyle name="Примечание 2 2 4 6 2" xfId="6654" xr:uid="{00000000-0005-0000-0000-0000271C0000}"/>
    <cellStyle name="Примечание 2 2 4 6 3" xfId="10663" xr:uid="{011B943F-7168-454A-8336-2172A401E7DE}"/>
    <cellStyle name="Примечание 2 2 4 7" xfId="3034" xr:uid="{00000000-0005-0000-0000-0000281C0000}"/>
    <cellStyle name="Примечание 2 2 4 7 2" xfId="6928" xr:uid="{00000000-0005-0000-0000-0000291C0000}"/>
    <cellStyle name="Примечание 2 2 4 7 3" xfId="10937" xr:uid="{024F111A-C53E-4A46-BB43-DECC83713B47}"/>
    <cellStyle name="Примечание 2 2 4 8" xfId="4212" xr:uid="{00000000-0005-0000-0000-00002A1C0000}"/>
    <cellStyle name="Примечание 2 2 4 9" xfId="8221" xr:uid="{7A33F5B1-252D-4FDB-AAB3-A67266BC327B}"/>
    <cellStyle name="Примечание 2 2 5" xfId="317" xr:uid="{00000000-0005-0000-0000-00002B1C0000}"/>
    <cellStyle name="Примечание 2 2 5 2" xfId="647" xr:uid="{00000000-0005-0000-0000-00002C1C0000}"/>
    <cellStyle name="Примечание 2 2 5 2 2" xfId="896" xr:uid="{00000000-0005-0000-0000-00002D1C0000}"/>
    <cellStyle name="Примечание 2 2 5 2 2 2" xfId="2770" xr:uid="{00000000-0005-0000-0000-00002E1C0000}"/>
    <cellStyle name="Примечание 2 2 5 2 2 2 2" xfId="6664" xr:uid="{00000000-0005-0000-0000-00002F1C0000}"/>
    <cellStyle name="Примечание 2 2 5 2 2 2 3" xfId="10673" xr:uid="{AA74DC76-3FFA-4FEE-993B-100D9BEFA98E}"/>
    <cellStyle name="Примечание 2 2 5 2 2 3" xfId="4015" xr:uid="{00000000-0005-0000-0000-0000301C0000}"/>
    <cellStyle name="Примечание 2 2 5 2 2 3 2" xfId="7909" xr:uid="{00000000-0005-0000-0000-0000311C0000}"/>
    <cellStyle name="Примечание 2 2 5 2 2 3 3" xfId="11918" xr:uid="{DC06DB02-58FB-4409-8371-5880904B72CE}"/>
    <cellStyle name="Примечание 2 2 5 2 2 4" xfId="4797" xr:uid="{00000000-0005-0000-0000-0000321C0000}"/>
    <cellStyle name="Примечание 2 2 5 2 2 5" xfId="8806" xr:uid="{B7F6DF30-0BA7-428A-93D8-C4C6ADACE986}"/>
    <cellStyle name="Примечание 2 2 5 2 2 6" xfId="12697" xr:uid="{3D4067B4-6368-4D62-A1FC-986A05144398}"/>
    <cellStyle name="Примечание 2 2 5 2 3" xfId="1428" xr:uid="{00000000-0005-0000-0000-0000331C0000}"/>
    <cellStyle name="Примечание 2 2 5 2 3 2" xfId="5329" xr:uid="{00000000-0005-0000-0000-0000341C0000}"/>
    <cellStyle name="Примечание 2 2 5 2 3 3" xfId="9338" xr:uid="{F9C885D8-AC0B-459B-9569-31A8430F5FEC}"/>
    <cellStyle name="Примечание 2 2 5 2 3 4" xfId="13229" xr:uid="{A1852E76-BC37-4661-B800-3296851B430B}"/>
    <cellStyle name="Примечание 2 2 5 2 4" xfId="2769" xr:uid="{00000000-0005-0000-0000-0000351C0000}"/>
    <cellStyle name="Примечание 2 2 5 2 4 2" xfId="6663" xr:uid="{00000000-0005-0000-0000-0000361C0000}"/>
    <cellStyle name="Примечание 2 2 5 2 4 3" xfId="10672" xr:uid="{C8FBB9D9-DD87-4FC5-B4AC-A1BBDD105D0B}"/>
    <cellStyle name="Примечание 2 2 5 2 5" xfId="3373" xr:uid="{00000000-0005-0000-0000-0000371C0000}"/>
    <cellStyle name="Примечание 2 2 5 2 5 2" xfId="7267" xr:uid="{00000000-0005-0000-0000-0000381C0000}"/>
    <cellStyle name="Примечание 2 2 5 2 5 3" xfId="11276" xr:uid="{9C706E8C-D5A9-4B08-B1D7-BD5D3B4DD625}"/>
    <cellStyle name="Примечание 2 2 5 2 6" xfId="4551" xr:uid="{00000000-0005-0000-0000-0000391C0000}"/>
    <cellStyle name="Примечание 2 2 5 2 7" xfId="8560" xr:uid="{937F7FC1-36AC-4F8B-9FA1-2A67E0552748}"/>
    <cellStyle name="Примечание 2 2 5 2 8" xfId="12451" xr:uid="{E0FF0011-6423-43C2-9E8F-8F6177F1ADB6}"/>
    <cellStyle name="Примечание 2 2 5 3" xfId="830" xr:uid="{00000000-0005-0000-0000-00003A1C0000}"/>
    <cellStyle name="Примечание 2 2 5 3 2" xfId="2771" xr:uid="{00000000-0005-0000-0000-00003B1C0000}"/>
    <cellStyle name="Примечание 2 2 5 3 2 2" xfId="6665" xr:uid="{00000000-0005-0000-0000-00003C1C0000}"/>
    <cellStyle name="Примечание 2 2 5 3 2 3" xfId="10674" xr:uid="{8F858F94-5A7D-4E6D-8DAF-266C43C377FF}"/>
    <cellStyle name="Примечание 2 2 5 3 3" xfId="3949" xr:uid="{00000000-0005-0000-0000-00003D1C0000}"/>
    <cellStyle name="Примечание 2 2 5 3 3 2" xfId="7843" xr:uid="{00000000-0005-0000-0000-00003E1C0000}"/>
    <cellStyle name="Примечание 2 2 5 3 3 3" xfId="11852" xr:uid="{26B415D8-10EA-4A73-BC14-9C42501A0D14}"/>
    <cellStyle name="Примечание 2 2 5 3 4" xfId="4731" xr:uid="{00000000-0005-0000-0000-00003F1C0000}"/>
    <cellStyle name="Примечание 2 2 5 3 5" xfId="8740" xr:uid="{9A7DE668-BD48-4F87-B9E4-28556702B054}"/>
    <cellStyle name="Примечание 2 2 5 3 6" xfId="12631" xr:uid="{B5FA082B-3294-4723-A642-AF733F306479}"/>
    <cellStyle name="Примечание 2 2 5 4" xfId="1107" xr:uid="{00000000-0005-0000-0000-0000401C0000}"/>
    <cellStyle name="Примечание 2 2 5 4 2" xfId="5008" xr:uid="{00000000-0005-0000-0000-0000411C0000}"/>
    <cellStyle name="Примечание 2 2 5 4 3" xfId="9017" xr:uid="{1660BA97-B6D4-44C2-9B38-3F62EEF5D25C}"/>
    <cellStyle name="Примечание 2 2 5 4 4" xfId="12908" xr:uid="{2D881B3F-C6F2-4DE7-A7A4-B274E3DBCE8B}"/>
    <cellStyle name="Примечание 2 2 5 5" xfId="2768" xr:uid="{00000000-0005-0000-0000-0000421C0000}"/>
    <cellStyle name="Примечание 2 2 5 5 2" xfId="6662" xr:uid="{00000000-0005-0000-0000-0000431C0000}"/>
    <cellStyle name="Примечание 2 2 5 5 3" xfId="10671" xr:uid="{E3367D30-CE89-4C5F-9317-89AC18CA6D5C}"/>
    <cellStyle name="Примечание 2 2 5 6" xfId="3052" xr:uid="{00000000-0005-0000-0000-0000441C0000}"/>
    <cellStyle name="Примечание 2 2 5 6 2" xfId="6946" xr:uid="{00000000-0005-0000-0000-0000451C0000}"/>
    <cellStyle name="Примечание 2 2 5 6 3" xfId="10955" xr:uid="{B3369317-4E7E-4B44-9B67-37B1D92B7F31}"/>
    <cellStyle name="Примечание 2 2 5 7" xfId="4230" xr:uid="{00000000-0005-0000-0000-0000461C0000}"/>
    <cellStyle name="Примечание 2 2 5 8" xfId="8239" xr:uid="{37AE44AE-DA6C-4925-872B-72D0E37222A3}"/>
    <cellStyle name="Примечание 2 2 5 9" xfId="12130" xr:uid="{BB899A32-7607-4255-8B06-1CAA0292163C}"/>
    <cellStyle name="Примечание 2 2 6" xfId="479" xr:uid="{00000000-0005-0000-0000-0000471C0000}"/>
    <cellStyle name="Примечание 2 2 6 2" xfId="863" xr:uid="{00000000-0005-0000-0000-0000481C0000}"/>
    <cellStyle name="Примечание 2 2 6 2 2" xfId="2773" xr:uid="{00000000-0005-0000-0000-0000491C0000}"/>
    <cellStyle name="Примечание 2 2 6 2 2 2" xfId="6667" xr:uid="{00000000-0005-0000-0000-00004A1C0000}"/>
    <cellStyle name="Примечание 2 2 6 2 2 3" xfId="10676" xr:uid="{2D7A98C9-802C-4CFB-B978-031BCFC095BA}"/>
    <cellStyle name="Примечание 2 2 6 2 3" xfId="3982" xr:uid="{00000000-0005-0000-0000-00004B1C0000}"/>
    <cellStyle name="Примечание 2 2 6 2 3 2" xfId="7876" xr:uid="{00000000-0005-0000-0000-00004C1C0000}"/>
    <cellStyle name="Примечание 2 2 6 2 3 3" xfId="11885" xr:uid="{2F28C07B-7D33-4C98-87F8-D14DFC9BD1BA}"/>
    <cellStyle name="Примечание 2 2 6 2 4" xfId="4764" xr:uid="{00000000-0005-0000-0000-00004D1C0000}"/>
    <cellStyle name="Примечание 2 2 6 2 5" xfId="8773" xr:uid="{D028BD53-6D1A-40B4-8E55-9A975416FF7D}"/>
    <cellStyle name="Примечание 2 2 6 2 6" xfId="12664" xr:uid="{8D6A59D1-8F7D-45E3-A5CA-FCA70DED5A0A}"/>
    <cellStyle name="Примечание 2 2 6 3" xfId="1263" xr:uid="{00000000-0005-0000-0000-00004E1C0000}"/>
    <cellStyle name="Примечание 2 2 6 3 2" xfId="5164" xr:uid="{00000000-0005-0000-0000-00004F1C0000}"/>
    <cellStyle name="Примечание 2 2 6 3 3" xfId="9173" xr:uid="{630C4C89-6C5E-4BA5-BDF7-E12588ED0F2E}"/>
    <cellStyle name="Примечание 2 2 6 3 4" xfId="13064" xr:uid="{AADF5685-59D3-444E-A6A7-0E6DB63407D4}"/>
    <cellStyle name="Примечание 2 2 6 4" xfId="2772" xr:uid="{00000000-0005-0000-0000-0000501C0000}"/>
    <cellStyle name="Примечание 2 2 6 4 2" xfId="6666" xr:uid="{00000000-0005-0000-0000-0000511C0000}"/>
    <cellStyle name="Примечание 2 2 6 4 3" xfId="10675" xr:uid="{867394A9-A379-4BE9-8FE7-5049D630CFD4}"/>
    <cellStyle name="Примечание 2 2 6 5" xfId="3208" xr:uid="{00000000-0005-0000-0000-0000521C0000}"/>
    <cellStyle name="Примечание 2 2 6 5 2" xfId="7102" xr:uid="{00000000-0005-0000-0000-0000531C0000}"/>
    <cellStyle name="Примечание 2 2 6 5 3" xfId="11111" xr:uid="{41E77753-16E8-4AF6-9C80-5A44530205BF}"/>
    <cellStyle name="Примечание 2 2 6 6" xfId="4386" xr:uid="{00000000-0005-0000-0000-0000541C0000}"/>
    <cellStyle name="Примечание 2 2 6 7" xfId="8395" xr:uid="{35505198-4508-4CCF-92BE-C8643E1713B3}"/>
    <cellStyle name="Примечание 2 2 6 8" xfId="12286" xr:uid="{D6D960F0-A398-4DD8-BE0D-D7EA128DE216}"/>
    <cellStyle name="Примечание 2 2 7" xfId="797" xr:uid="{00000000-0005-0000-0000-0000551C0000}"/>
    <cellStyle name="Примечание 2 2 7 2" xfId="2774" xr:uid="{00000000-0005-0000-0000-0000561C0000}"/>
    <cellStyle name="Примечание 2 2 7 2 2" xfId="6668" xr:uid="{00000000-0005-0000-0000-0000571C0000}"/>
    <cellStyle name="Примечание 2 2 7 2 3" xfId="10677" xr:uid="{CC3AC416-4E5D-409F-89A5-F0C8E273410F}"/>
    <cellStyle name="Примечание 2 2 7 3" xfId="3916" xr:uid="{00000000-0005-0000-0000-0000581C0000}"/>
    <cellStyle name="Примечание 2 2 7 3 2" xfId="7810" xr:uid="{00000000-0005-0000-0000-0000591C0000}"/>
    <cellStyle name="Примечание 2 2 7 3 3" xfId="11819" xr:uid="{8E74BD9B-C48E-4A0C-90D0-2DEB3E45AA6B}"/>
    <cellStyle name="Примечание 2 2 7 4" xfId="4698" xr:uid="{00000000-0005-0000-0000-00005A1C0000}"/>
    <cellStyle name="Примечание 2 2 7 5" xfId="8707" xr:uid="{13415260-13CF-431A-8D9C-7676C6704BBD}"/>
    <cellStyle name="Примечание 2 2 7 6" xfId="12598" xr:uid="{0A5E57C8-AFB1-4F64-93BB-95FADE9A7CD6}"/>
    <cellStyle name="Примечание 2 2 8" xfId="942" xr:uid="{00000000-0005-0000-0000-00005B1C0000}"/>
    <cellStyle name="Примечание 2 2 8 2" xfId="4843" xr:uid="{00000000-0005-0000-0000-00005C1C0000}"/>
    <cellStyle name="Примечание 2 2 8 3" xfId="8852" xr:uid="{3A412A48-FA48-4232-B6F4-909AFB31ABD2}"/>
    <cellStyle name="Примечание 2 2 8 4" xfId="12743" xr:uid="{6DFF3A39-3E64-4F8E-91B3-8797C5EED71E}"/>
    <cellStyle name="Примечание 2 2 9" xfId="2727" xr:uid="{00000000-0005-0000-0000-00005D1C0000}"/>
    <cellStyle name="Примечание 2 2 9 2" xfId="6621" xr:uid="{00000000-0005-0000-0000-00005E1C0000}"/>
    <cellStyle name="Примечание 2 2 9 3" xfId="10630" xr:uid="{39C1F320-9ED2-4C8C-84C7-3652B59E1DB2}"/>
    <cellStyle name="Примечание 2 3" xfId="162" xr:uid="{00000000-0005-0000-0000-00005F1C0000}"/>
    <cellStyle name="Примечание 2 3 10" xfId="4083" xr:uid="{00000000-0005-0000-0000-0000601C0000}"/>
    <cellStyle name="Примечание 2 3 11" xfId="8092" xr:uid="{8BC5B989-DAFD-4E6F-B3DC-EE19215F2EA9}"/>
    <cellStyle name="Примечание 2 3 12" xfId="11983" xr:uid="{BB44DC7E-A5DA-48E3-9598-13346DBAA57F}"/>
    <cellStyle name="Примечание 2 3 13" xfId="13419" xr:uid="{B7E5DFED-7AA0-43C8-B1E9-09382A11A602}"/>
    <cellStyle name="Примечание 2 3 2" xfId="264" xr:uid="{00000000-0005-0000-0000-0000611C0000}"/>
    <cellStyle name="Примечание 2 3 2 10" xfId="12077" xr:uid="{91FD8D60-713C-45DD-A888-503578EA2600}"/>
    <cellStyle name="Примечание 2 3 2 11" xfId="13513" xr:uid="{BEA69683-A66E-48AF-8155-CE1ABBEE23A7}"/>
    <cellStyle name="Примечание 2 3 2 2" xfId="421" xr:uid="{00000000-0005-0000-0000-0000621C0000}"/>
    <cellStyle name="Примечание 2 3 2 2 2" xfId="751" xr:uid="{00000000-0005-0000-0000-0000631C0000}"/>
    <cellStyle name="Примечание 2 3 2 2 2 2" xfId="918" xr:uid="{00000000-0005-0000-0000-0000641C0000}"/>
    <cellStyle name="Примечание 2 3 2 2 2 2 2" xfId="2779" xr:uid="{00000000-0005-0000-0000-0000651C0000}"/>
    <cellStyle name="Примечание 2 3 2 2 2 2 2 2" xfId="6673" xr:uid="{00000000-0005-0000-0000-0000661C0000}"/>
    <cellStyle name="Примечание 2 3 2 2 2 2 2 3" xfId="10682" xr:uid="{62D19AD6-6AE1-43A2-AAAE-E26376F4AC78}"/>
    <cellStyle name="Примечание 2 3 2 2 2 2 3" xfId="4037" xr:uid="{00000000-0005-0000-0000-0000671C0000}"/>
    <cellStyle name="Примечание 2 3 2 2 2 2 3 2" xfId="7931" xr:uid="{00000000-0005-0000-0000-0000681C0000}"/>
    <cellStyle name="Примечание 2 3 2 2 2 2 3 3" xfId="11940" xr:uid="{FA2A0309-6C0E-4A84-B881-58415BF53F51}"/>
    <cellStyle name="Примечание 2 3 2 2 2 2 4" xfId="4819" xr:uid="{00000000-0005-0000-0000-0000691C0000}"/>
    <cellStyle name="Примечание 2 3 2 2 2 2 5" xfId="8828" xr:uid="{06091BAB-C0FE-4201-A7AB-3A8ED16002DD}"/>
    <cellStyle name="Примечание 2 3 2 2 2 2 6" xfId="12719" xr:uid="{BBC483D8-522D-422C-A5C6-AAE3FB2A53B7}"/>
    <cellStyle name="Примечание 2 3 2 2 2 3" xfId="1532" xr:uid="{00000000-0005-0000-0000-00006A1C0000}"/>
    <cellStyle name="Примечание 2 3 2 2 2 3 2" xfId="5433" xr:uid="{00000000-0005-0000-0000-00006B1C0000}"/>
    <cellStyle name="Примечание 2 3 2 2 2 3 3" xfId="9442" xr:uid="{A75A8BC2-BE9D-4D93-A2FD-01CF6F3ACF47}"/>
    <cellStyle name="Примечание 2 3 2 2 2 3 4" xfId="13333" xr:uid="{758BD1AB-7536-42CD-819D-B2804B81267A}"/>
    <cellStyle name="Примечание 2 3 2 2 2 4" xfId="2778" xr:uid="{00000000-0005-0000-0000-00006C1C0000}"/>
    <cellStyle name="Примечание 2 3 2 2 2 4 2" xfId="6672" xr:uid="{00000000-0005-0000-0000-00006D1C0000}"/>
    <cellStyle name="Примечание 2 3 2 2 2 4 3" xfId="10681" xr:uid="{36241CA2-D80C-47A5-A8AD-32BBD2F6394E}"/>
    <cellStyle name="Примечание 2 3 2 2 2 5" xfId="3477" xr:uid="{00000000-0005-0000-0000-00006E1C0000}"/>
    <cellStyle name="Примечание 2 3 2 2 2 5 2" xfId="7371" xr:uid="{00000000-0005-0000-0000-00006F1C0000}"/>
    <cellStyle name="Примечание 2 3 2 2 2 5 3" xfId="11380" xr:uid="{90C8C1D7-06F9-4FF3-8753-A4D15C347DC7}"/>
    <cellStyle name="Примечание 2 3 2 2 2 6" xfId="4655" xr:uid="{00000000-0005-0000-0000-0000701C0000}"/>
    <cellStyle name="Примечание 2 3 2 2 2 7" xfId="8664" xr:uid="{66F0044F-EF5B-42EF-8B2D-166484C6727D}"/>
    <cellStyle name="Примечание 2 3 2 2 2 8" xfId="12555" xr:uid="{44F91BAB-950F-46D1-A9BB-6A715642526E}"/>
    <cellStyle name="Примечание 2 3 2 2 3" xfId="852" xr:uid="{00000000-0005-0000-0000-0000711C0000}"/>
    <cellStyle name="Примечание 2 3 2 2 3 2" xfId="2780" xr:uid="{00000000-0005-0000-0000-0000721C0000}"/>
    <cellStyle name="Примечание 2 3 2 2 3 2 2" xfId="6674" xr:uid="{00000000-0005-0000-0000-0000731C0000}"/>
    <cellStyle name="Примечание 2 3 2 2 3 2 3" xfId="10683" xr:uid="{4D0DFE08-BA40-493E-AB5F-725F69FE266F}"/>
    <cellStyle name="Примечание 2 3 2 2 3 3" xfId="3971" xr:uid="{00000000-0005-0000-0000-0000741C0000}"/>
    <cellStyle name="Примечание 2 3 2 2 3 3 2" xfId="7865" xr:uid="{00000000-0005-0000-0000-0000751C0000}"/>
    <cellStyle name="Примечание 2 3 2 2 3 3 3" xfId="11874" xr:uid="{27130CEC-7330-47BD-B942-E923518950C9}"/>
    <cellStyle name="Примечание 2 3 2 2 3 4" xfId="4753" xr:uid="{00000000-0005-0000-0000-0000761C0000}"/>
    <cellStyle name="Примечание 2 3 2 2 3 5" xfId="8762" xr:uid="{2CC403E8-6A5D-484E-A13B-0335304A7A96}"/>
    <cellStyle name="Примечание 2 3 2 2 3 6" xfId="12653" xr:uid="{4E36EA3F-E439-4642-AA76-F0561B468B02}"/>
    <cellStyle name="Примечание 2 3 2 2 4" xfId="1211" xr:uid="{00000000-0005-0000-0000-0000771C0000}"/>
    <cellStyle name="Примечание 2 3 2 2 4 2" xfId="5112" xr:uid="{00000000-0005-0000-0000-0000781C0000}"/>
    <cellStyle name="Примечание 2 3 2 2 4 3" xfId="9121" xr:uid="{DE31F2D3-019D-4819-99F2-930F280ECD7F}"/>
    <cellStyle name="Примечание 2 3 2 2 4 4" xfId="13012" xr:uid="{643EEA5E-8D79-4292-A17D-C37DDE15A928}"/>
    <cellStyle name="Примечание 2 3 2 2 5" xfId="2777" xr:uid="{00000000-0005-0000-0000-0000791C0000}"/>
    <cellStyle name="Примечание 2 3 2 2 5 2" xfId="6671" xr:uid="{00000000-0005-0000-0000-00007A1C0000}"/>
    <cellStyle name="Примечание 2 3 2 2 5 3" xfId="10680" xr:uid="{1AF75AF1-D53B-436B-AB6E-EF233425D883}"/>
    <cellStyle name="Примечание 2 3 2 2 6" xfId="3156" xr:uid="{00000000-0005-0000-0000-00007B1C0000}"/>
    <cellStyle name="Примечание 2 3 2 2 6 2" xfId="7050" xr:uid="{00000000-0005-0000-0000-00007C1C0000}"/>
    <cellStyle name="Примечание 2 3 2 2 6 3" xfId="11059" xr:uid="{78288023-C679-4F44-8BD5-362188CA9824}"/>
    <cellStyle name="Примечание 2 3 2 2 7" xfId="4334" xr:uid="{00000000-0005-0000-0000-00007D1C0000}"/>
    <cellStyle name="Примечание 2 3 2 2 8" xfId="8343" xr:uid="{E84DF05A-210B-4C15-B926-D82CC8D7C86B}"/>
    <cellStyle name="Примечание 2 3 2 2 9" xfId="12234" xr:uid="{54861CD0-A744-49FE-987A-1D0BF11814AC}"/>
    <cellStyle name="Примечание 2 3 2 3" xfId="594" xr:uid="{00000000-0005-0000-0000-00007E1C0000}"/>
    <cellStyle name="Примечание 2 3 2 3 2" xfId="885" xr:uid="{00000000-0005-0000-0000-00007F1C0000}"/>
    <cellStyle name="Примечание 2 3 2 3 2 2" xfId="2782" xr:uid="{00000000-0005-0000-0000-0000801C0000}"/>
    <cellStyle name="Примечание 2 3 2 3 2 2 2" xfId="6676" xr:uid="{00000000-0005-0000-0000-0000811C0000}"/>
    <cellStyle name="Примечание 2 3 2 3 2 2 3" xfId="10685" xr:uid="{4CDB94F5-E78F-400C-90C2-0D0A8EED70FF}"/>
    <cellStyle name="Примечание 2 3 2 3 2 3" xfId="4004" xr:uid="{00000000-0005-0000-0000-0000821C0000}"/>
    <cellStyle name="Примечание 2 3 2 3 2 3 2" xfId="7898" xr:uid="{00000000-0005-0000-0000-0000831C0000}"/>
    <cellStyle name="Примечание 2 3 2 3 2 3 3" xfId="11907" xr:uid="{A91ED6CB-5E8C-4776-92E1-82F02AA7D7F0}"/>
    <cellStyle name="Примечание 2 3 2 3 2 4" xfId="4786" xr:uid="{00000000-0005-0000-0000-0000841C0000}"/>
    <cellStyle name="Примечание 2 3 2 3 2 5" xfId="8795" xr:uid="{F04B5B80-AE5F-4FFE-8B90-0D7BCBC44118}"/>
    <cellStyle name="Примечание 2 3 2 3 2 6" xfId="12686" xr:uid="{B4BE50E7-CFAE-4D02-9C42-595D7C7D86CC}"/>
    <cellStyle name="Примечание 2 3 2 3 3" xfId="1375" xr:uid="{00000000-0005-0000-0000-0000851C0000}"/>
    <cellStyle name="Примечание 2 3 2 3 3 2" xfId="5276" xr:uid="{00000000-0005-0000-0000-0000861C0000}"/>
    <cellStyle name="Примечание 2 3 2 3 3 3" xfId="9285" xr:uid="{FA656591-07FA-47E1-BE67-26413E766B87}"/>
    <cellStyle name="Примечание 2 3 2 3 3 4" xfId="13176" xr:uid="{50663E47-252A-4661-B657-CE1AD5314E5D}"/>
    <cellStyle name="Примечание 2 3 2 3 4" xfId="2781" xr:uid="{00000000-0005-0000-0000-0000871C0000}"/>
    <cellStyle name="Примечание 2 3 2 3 4 2" xfId="6675" xr:uid="{00000000-0005-0000-0000-0000881C0000}"/>
    <cellStyle name="Примечание 2 3 2 3 4 3" xfId="10684" xr:uid="{63773453-7852-4A4D-8EA8-35B52D27CBDB}"/>
    <cellStyle name="Примечание 2 3 2 3 5" xfId="3320" xr:uid="{00000000-0005-0000-0000-0000891C0000}"/>
    <cellStyle name="Примечание 2 3 2 3 5 2" xfId="7214" xr:uid="{00000000-0005-0000-0000-00008A1C0000}"/>
    <cellStyle name="Примечание 2 3 2 3 5 3" xfId="11223" xr:uid="{E1E6D618-B8A3-4B93-B2B1-096FECF2E433}"/>
    <cellStyle name="Примечание 2 3 2 3 6" xfId="4498" xr:uid="{00000000-0005-0000-0000-00008B1C0000}"/>
    <cellStyle name="Примечание 2 3 2 3 7" xfId="8507" xr:uid="{83297EA3-7EFE-47A6-8F8B-C8DED71AF99F}"/>
    <cellStyle name="Примечание 2 3 2 3 8" xfId="12398" xr:uid="{5C625376-0541-45F1-A82A-125E41B55AC5}"/>
    <cellStyle name="Примечание 2 3 2 4" xfId="819" xr:uid="{00000000-0005-0000-0000-00008C1C0000}"/>
    <cellStyle name="Примечание 2 3 2 4 2" xfId="2783" xr:uid="{00000000-0005-0000-0000-00008D1C0000}"/>
    <cellStyle name="Примечание 2 3 2 4 2 2" xfId="6677" xr:uid="{00000000-0005-0000-0000-00008E1C0000}"/>
    <cellStyle name="Примечание 2 3 2 4 2 3" xfId="10686" xr:uid="{B4686C07-3361-4DE9-A637-B482CBC66EE8}"/>
    <cellStyle name="Примечание 2 3 2 4 3" xfId="3938" xr:uid="{00000000-0005-0000-0000-00008F1C0000}"/>
    <cellStyle name="Примечание 2 3 2 4 3 2" xfId="7832" xr:uid="{00000000-0005-0000-0000-0000901C0000}"/>
    <cellStyle name="Примечание 2 3 2 4 3 3" xfId="11841" xr:uid="{4D9E4A59-52A4-4C50-B966-FCAE961100AD}"/>
    <cellStyle name="Примечание 2 3 2 4 4" xfId="4720" xr:uid="{00000000-0005-0000-0000-0000911C0000}"/>
    <cellStyle name="Примечание 2 3 2 4 5" xfId="8729" xr:uid="{F687747C-330F-406B-A245-511B7FB96DB9}"/>
    <cellStyle name="Примечание 2 3 2 4 6" xfId="12620" xr:uid="{B0657B74-3A99-41B4-B541-B97B4739D85F}"/>
    <cellStyle name="Примечание 2 3 2 5" xfId="1054" xr:uid="{00000000-0005-0000-0000-0000921C0000}"/>
    <cellStyle name="Примечание 2 3 2 5 2" xfId="4955" xr:uid="{00000000-0005-0000-0000-0000931C0000}"/>
    <cellStyle name="Примечание 2 3 2 5 3" xfId="8964" xr:uid="{41FA6AC3-A233-487F-BAF5-2BD68162AE9E}"/>
    <cellStyle name="Примечание 2 3 2 5 4" xfId="12855" xr:uid="{4FAB0162-C366-4B9A-853A-7FED4818017E}"/>
    <cellStyle name="Примечание 2 3 2 6" xfId="2776" xr:uid="{00000000-0005-0000-0000-0000941C0000}"/>
    <cellStyle name="Примечание 2 3 2 6 2" xfId="6670" xr:uid="{00000000-0005-0000-0000-0000951C0000}"/>
    <cellStyle name="Примечание 2 3 2 6 3" xfId="10679" xr:uid="{F433658A-FF8A-4655-B5CF-3F6D1DF9C856}"/>
    <cellStyle name="Примечание 2 3 2 7" xfId="2999" xr:uid="{00000000-0005-0000-0000-0000961C0000}"/>
    <cellStyle name="Примечание 2 3 2 7 2" xfId="6893" xr:uid="{00000000-0005-0000-0000-0000971C0000}"/>
    <cellStyle name="Примечание 2 3 2 7 3" xfId="10902" xr:uid="{3FCB8151-8F08-4285-BE64-F9D082BE2BCE}"/>
    <cellStyle name="Примечание 2 3 2 8" xfId="4177" xr:uid="{00000000-0005-0000-0000-0000981C0000}"/>
    <cellStyle name="Примечание 2 3 2 9" xfId="8186" xr:uid="{89097E8C-96A1-4EA3-8178-FEAEDB41D161}"/>
    <cellStyle name="Примечание 2 3 3" xfId="207" xr:uid="{00000000-0005-0000-0000-0000991C0000}"/>
    <cellStyle name="Примечание 2 3 3 10" xfId="12020" xr:uid="{F12A80C2-036B-4D6B-9957-AB969D81EB84}"/>
    <cellStyle name="Примечание 2 3 3 11" xfId="13456" xr:uid="{38EA1D9E-8690-4862-8E0E-AACA6D981F2C}"/>
    <cellStyle name="Примечание 2 3 3 2" xfId="371" xr:uid="{00000000-0005-0000-0000-00009A1C0000}"/>
    <cellStyle name="Примечание 2 3 3 2 2" xfId="701" xr:uid="{00000000-0005-0000-0000-00009B1C0000}"/>
    <cellStyle name="Примечание 2 3 3 2 2 2" xfId="907" xr:uid="{00000000-0005-0000-0000-00009C1C0000}"/>
    <cellStyle name="Примечание 2 3 3 2 2 2 2" xfId="2787" xr:uid="{00000000-0005-0000-0000-00009D1C0000}"/>
    <cellStyle name="Примечание 2 3 3 2 2 2 2 2" xfId="6681" xr:uid="{00000000-0005-0000-0000-00009E1C0000}"/>
    <cellStyle name="Примечание 2 3 3 2 2 2 2 3" xfId="10690" xr:uid="{0F114714-6154-4971-9FEE-355AD36F5A29}"/>
    <cellStyle name="Примечание 2 3 3 2 2 2 3" xfId="4026" xr:uid="{00000000-0005-0000-0000-00009F1C0000}"/>
    <cellStyle name="Примечание 2 3 3 2 2 2 3 2" xfId="7920" xr:uid="{00000000-0005-0000-0000-0000A01C0000}"/>
    <cellStyle name="Примечание 2 3 3 2 2 2 3 3" xfId="11929" xr:uid="{E96397CF-FDF6-46FC-839F-1777FA808568}"/>
    <cellStyle name="Примечание 2 3 3 2 2 2 4" xfId="4808" xr:uid="{00000000-0005-0000-0000-0000A11C0000}"/>
    <cellStyle name="Примечание 2 3 3 2 2 2 5" xfId="8817" xr:uid="{266478BC-8C9D-4CC6-9F3C-4581CC12D899}"/>
    <cellStyle name="Примечание 2 3 3 2 2 2 6" xfId="12708" xr:uid="{90748EFC-9B15-4CC5-8A8E-1B8206C33380}"/>
    <cellStyle name="Примечание 2 3 3 2 2 3" xfId="1482" xr:uid="{00000000-0005-0000-0000-0000A21C0000}"/>
    <cellStyle name="Примечание 2 3 3 2 2 3 2" xfId="5383" xr:uid="{00000000-0005-0000-0000-0000A31C0000}"/>
    <cellStyle name="Примечание 2 3 3 2 2 3 3" xfId="9392" xr:uid="{F55647D8-1D72-462A-B6FC-1376BEB3BFC2}"/>
    <cellStyle name="Примечание 2 3 3 2 2 3 4" xfId="13283" xr:uid="{CA18B882-5880-4429-8ECF-470357215E33}"/>
    <cellStyle name="Примечание 2 3 3 2 2 4" xfId="2786" xr:uid="{00000000-0005-0000-0000-0000A41C0000}"/>
    <cellStyle name="Примечание 2 3 3 2 2 4 2" xfId="6680" xr:uid="{00000000-0005-0000-0000-0000A51C0000}"/>
    <cellStyle name="Примечание 2 3 3 2 2 4 3" xfId="10689" xr:uid="{E5E64C06-C1AD-4EDB-9EDC-57A19FB16E31}"/>
    <cellStyle name="Примечание 2 3 3 2 2 5" xfId="3427" xr:uid="{00000000-0005-0000-0000-0000A61C0000}"/>
    <cellStyle name="Примечание 2 3 3 2 2 5 2" xfId="7321" xr:uid="{00000000-0005-0000-0000-0000A71C0000}"/>
    <cellStyle name="Примечание 2 3 3 2 2 5 3" xfId="11330" xr:uid="{93DA83A8-7F6D-4BA3-A279-11EE74A858EC}"/>
    <cellStyle name="Примечание 2 3 3 2 2 6" xfId="4605" xr:uid="{00000000-0005-0000-0000-0000A81C0000}"/>
    <cellStyle name="Примечание 2 3 3 2 2 7" xfId="8614" xr:uid="{3BAA0518-4390-4992-992B-488ED98E5A56}"/>
    <cellStyle name="Примечание 2 3 3 2 2 8" xfId="12505" xr:uid="{FA478029-81D6-4E8C-A18F-30EB8D24ABA4}"/>
    <cellStyle name="Примечание 2 3 3 2 3" xfId="841" xr:uid="{00000000-0005-0000-0000-0000A91C0000}"/>
    <cellStyle name="Примечание 2 3 3 2 3 2" xfId="2788" xr:uid="{00000000-0005-0000-0000-0000AA1C0000}"/>
    <cellStyle name="Примечание 2 3 3 2 3 2 2" xfId="6682" xr:uid="{00000000-0005-0000-0000-0000AB1C0000}"/>
    <cellStyle name="Примечание 2 3 3 2 3 2 3" xfId="10691" xr:uid="{FEFAC370-C791-4391-BEFF-776F450FEF75}"/>
    <cellStyle name="Примечание 2 3 3 2 3 3" xfId="3960" xr:uid="{00000000-0005-0000-0000-0000AC1C0000}"/>
    <cellStyle name="Примечание 2 3 3 2 3 3 2" xfId="7854" xr:uid="{00000000-0005-0000-0000-0000AD1C0000}"/>
    <cellStyle name="Примечание 2 3 3 2 3 3 3" xfId="11863" xr:uid="{8E11E511-0970-4700-A109-3A33AF30E714}"/>
    <cellStyle name="Примечание 2 3 3 2 3 4" xfId="4742" xr:uid="{00000000-0005-0000-0000-0000AE1C0000}"/>
    <cellStyle name="Примечание 2 3 3 2 3 5" xfId="8751" xr:uid="{EAFCCADB-01E0-4FCC-9F1E-7790655BB4FD}"/>
    <cellStyle name="Примечание 2 3 3 2 3 6" xfId="12642" xr:uid="{02052313-43AA-4FDF-AD9A-7913F9B95EE6}"/>
    <cellStyle name="Примечание 2 3 3 2 4" xfId="1161" xr:uid="{00000000-0005-0000-0000-0000AF1C0000}"/>
    <cellStyle name="Примечание 2 3 3 2 4 2" xfId="5062" xr:uid="{00000000-0005-0000-0000-0000B01C0000}"/>
    <cellStyle name="Примечание 2 3 3 2 4 3" xfId="9071" xr:uid="{C15F4CF9-0DBB-42BD-8463-5AFD9AAD54E8}"/>
    <cellStyle name="Примечание 2 3 3 2 4 4" xfId="12962" xr:uid="{82854EF9-9981-46EC-B073-94A3DF0515D5}"/>
    <cellStyle name="Примечание 2 3 3 2 5" xfId="2785" xr:uid="{00000000-0005-0000-0000-0000B11C0000}"/>
    <cellStyle name="Примечание 2 3 3 2 5 2" xfId="6679" xr:uid="{00000000-0005-0000-0000-0000B21C0000}"/>
    <cellStyle name="Примечание 2 3 3 2 5 3" xfId="10688" xr:uid="{B5CD4C4B-9F2C-47AD-8189-83CA24E427B6}"/>
    <cellStyle name="Примечание 2 3 3 2 6" xfId="3106" xr:uid="{00000000-0005-0000-0000-0000B31C0000}"/>
    <cellStyle name="Примечание 2 3 3 2 6 2" xfId="7000" xr:uid="{00000000-0005-0000-0000-0000B41C0000}"/>
    <cellStyle name="Примечание 2 3 3 2 6 3" xfId="11009" xr:uid="{761AA199-3291-408F-8A4C-1726EB0DF4E6}"/>
    <cellStyle name="Примечание 2 3 3 2 7" xfId="4284" xr:uid="{00000000-0005-0000-0000-0000B51C0000}"/>
    <cellStyle name="Примечание 2 3 3 2 8" xfId="8293" xr:uid="{8B17A1BD-21F2-46CE-817C-09F872C72206}"/>
    <cellStyle name="Примечание 2 3 3 2 9" xfId="12184" xr:uid="{3B6A2F31-1976-422D-8D21-B8801078C18B}"/>
    <cellStyle name="Примечание 2 3 3 3" xfId="537" xr:uid="{00000000-0005-0000-0000-0000B61C0000}"/>
    <cellStyle name="Примечание 2 3 3 3 2" xfId="874" xr:uid="{00000000-0005-0000-0000-0000B71C0000}"/>
    <cellStyle name="Примечание 2 3 3 3 2 2" xfId="2790" xr:uid="{00000000-0005-0000-0000-0000B81C0000}"/>
    <cellStyle name="Примечание 2 3 3 3 2 2 2" xfId="6684" xr:uid="{00000000-0005-0000-0000-0000B91C0000}"/>
    <cellStyle name="Примечание 2 3 3 3 2 2 3" xfId="10693" xr:uid="{DAF52342-D27E-436E-812A-18EB5F40F96B}"/>
    <cellStyle name="Примечание 2 3 3 3 2 3" xfId="3993" xr:uid="{00000000-0005-0000-0000-0000BA1C0000}"/>
    <cellStyle name="Примечание 2 3 3 3 2 3 2" xfId="7887" xr:uid="{00000000-0005-0000-0000-0000BB1C0000}"/>
    <cellStyle name="Примечание 2 3 3 3 2 3 3" xfId="11896" xr:uid="{F5BA978C-6BA5-48FF-A65A-01D791E556D7}"/>
    <cellStyle name="Примечание 2 3 3 3 2 4" xfId="4775" xr:uid="{00000000-0005-0000-0000-0000BC1C0000}"/>
    <cellStyle name="Примечание 2 3 3 3 2 5" xfId="8784" xr:uid="{F85E27C0-26A5-484A-8047-D4B56ADECA46}"/>
    <cellStyle name="Примечание 2 3 3 3 2 6" xfId="12675" xr:uid="{3CFFD6CA-EEDD-4B45-A2AF-D979D728E45E}"/>
    <cellStyle name="Примечание 2 3 3 3 3" xfId="1318" xr:uid="{00000000-0005-0000-0000-0000BD1C0000}"/>
    <cellStyle name="Примечание 2 3 3 3 3 2" xfId="5219" xr:uid="{00000000-0005-0000-0000-0000BE1C0000}"/>
    <cellStyle name="Примечание 2 3 3 3 3 3" xfId="9228" xr:uid="{8C583733-F687-470F-95AE-9CF8ABC91E01}"/>
    <cellStyle name="Примечание 2 3 3 3 3 4" xfId="13119" xr:uid="{8C640B61-A417-4C9A-AF9B-BD479971F81C}"/>
    <cellStyle name="Примечание 2 3 3 3 4" xfId="2789" xr:uid="{00000000-0005-0000-0000-0000BF1C0000}"/>
    <cellStyle name="Примечание 2 3 3 3 4 2" xfId="6683" xr:uid="{00000000-0005-0000-0000-0000C01C0000}"/>
    <cellStyle name="Примечание 2 3 3 3 4 3" xfId="10692" xr:uid="{1AA7BDA7-A0C4-42AC-8FA0-CFBC4FE15D60}"/>
    <cellStyle name="Примечание 2 3 3 3 5" xfId="3263" xr:uid="{00000000-0005-0000-0000-0000C11C0000}"/>
    <cellStyle name="Примечание 2 3 3 3 5 2" xfId="7157" xr:uid="{00000000-0005-0000-0000-0000C21C0000}"/>
    <cellStyle name="Примечание 2 3 3 3 5 3" xfId="11166" xr:uid="{16DBBC61-30F2-4602-B862-6B5A4CDD72DA}"/>
    <cellStyle name="Примечание 2 3 3 3 6" xfId="4441" xr:uid="{00000000-0005-0000-0000-0000C31C0000}"/>
    <cellStyle name="Примечание 2 3 3 3 7" xfId="8450" xr:uid="{EC53EF2B-8E2D-47DF-8A52-C27581BCFDE0}"/>
    <cellStyle name="Примечание 2 3 3 3 8" xfId="12341" xr:uid="{B92D29AA-7874-4126-BB4E-96D531B1F6E4}"/>
    <cellStyle name="Примечание 2 3 3 4" xfId="808" xr:uid="{00000000-0005-0000-0000-0000C41C0000}"/>
    <cellStyle name="Примечание 2 3 3 4 2" xfId="2791" xr:uid="{00000000-0005-0000-0000-0000C51C0000}"/>
    <cellStyle name="Примечание 2 3 3 4 2 2" xfId="6685" xr:uid="{00000000-0005-0000-0000-0000C61C0000}"/>
    <cellStyle name="Примечание 2 3 3 4 2 3" xfId="10694" xr:uid="{B311FC70-1737-468F-91F1-42F544FC56E1}"/>
    <cellStyle name="Примечание 2 3 3 4 3" xfId="3927" xr:uid="{00000000-0005-0000-0000-0000C71C0000}"/>
    <cellStyle name="Примечание 2 3 3 4 3 2" xfId="7821" xr:uid="{00000000-0005-0000-0000-0000C81C0000}"/>
    <cellStyle name="Примечание 2 3 3 4 3 3" xfId="11830" xr:uid="{2C28AFD8-0FA5-49D8-9B86-A0811CBFA70B}"/>
    <cellStyle name="Примечание 2 3 3 4 4" xfId="4709" xr:uid="{00000000-0005-0000-0000-0000C91C0000}"/>
    <cellStyle name="Примечание 2 3 3 4 5" xfId="8718" xr:uid="{E05BBA9E-2FBA-4556-A291-10AE1D03F584}"/>
    <cellStyle name="Примечание 2 3 3 4 6" xfId="12609" xr:uid="{645A123F-F7C9-44B6-9385-C4E065B70651}"/>
    <cellStyle name="Примечание 2 3 3 5" xfId="997" xr:uid="{00000000-0005-0000-0000-0000CA1C0000}"/>
    <cellStyle name="Примечание 2 3 3 5 2" xfId="4898" xr:uid="{00000000-0005-0000-0000-0000CB1C0000}"/>
    <cellStyle name="Примечание 2 3 3 5 3" xfId="8907" xr:uid="{A3453C61-D68C-48FC-91C7-126855A2F306}"/>
    <cellStyle name="Примечание 2 3 3 5 4" xfId="12798" xr:uid="{C85A7A8F-60E4-47D4-8B12-7FB8555CDC48}"/>
    <cellStyle name="Примечание 2 3 3 6" xfId="2784" xr:uid="{00000000-0005-0000-0000-0000CC1C0000}"/>
    <cellStyle name="Примечание 2 3 3 6 2" xfId="6678" xr:uid="{00000000-0005-0000-0000-0000CD1C0000}"/>
    <cellStyle name="Примечание 2 3 3 6 3" xfId="10687" xr:uid="{DE043483-B8BB-479F-B636-31B8DA9FFB07}"/>
    <cellStyle name="Примечание 2 3 3 7" xfId="2942" xr:uid="{00000000-0005-0000-0000-0000CE1C0000}"/>
    <cellStyle name="Примечание 2 3 3 7 2" xfId="6836" xr:uid="{00000000-0005-0000-0000-0000CF1C0000}"/>
    <cellStyle name="Примечание 2 3 3 7 3" xfId="10845" xr:uid="{1DE4DA42-6D99-4ECA-A16E-F199C15AE09A}"/>
    <cellStyle name="Примечание 2 3 3 8" xfId="4120" xr:uid="{00000000-0005-0000-0000-0000D01C0000}"/>
    <cellStyle name="Примечание 2 3 3 9" xfId="8129" xr:uid="{B6F917F2-E7D5-4F99-86A7-65FE8925594E}"/>
    <cellStyle name="Примечание 2 3 4" xfId="335" xr:uid="{00000000-0005-0000-0000-0000D11C0000}"/>
    <cellStyle name="Примечание 2 3 4 2" xfId="665" xr:uid="{00000000-0005-0000-0000-0000D21C0000}"/>
    <cellStyle name="Примечание 2 3 4 2 2" xfId="900" xr:uid="{00000000-0005-0000-0000-0000D31C0000}"/>
    <cellStyle name="Примечание 2 3 4 2 2 2" xfId="2794" xr:uid="{00000000-0005-0000-0000-0000D41C0000}"/>
    <cellStyle name="Примечание 2 3 4 2 2 2 2" xfId="6688" xr:uid="{00000000-0005-0000-0000-0000D51C0000}"/>
    <cellStyle name="Примечание 2 3 4 2 2 2 3" xfId="10697" xr:uid="{8C74027E-82A0-4BE6-82BD-804D1B3BCF65}"/>
    <cellStyle name="Примечание 2 3 4 2 2 3" xfId="4019" xr:uid="{00000000-0005-0000-0000-0000D61C0000}"/>
    <cellStyle name="Примечание 2 3 4 2 2 3 2" xfId="7913" xr:uid="{00000000-0005-0000-0000-0000D71C0000}"/>
    <cellStyle name="Примечание 2 3 4 2 2 3 3" xfId="11922" xr:uid="{E62CC613-27CA-4554-BC9C-A9B0B9C203EE}"/>
    <cellStyle name="Примечание 2 3 4 2 2 4" xfId="4801" xr:uid="{00000000-0005-0000-0000-0000D81C0000}"/>
    <cellStyle name="Примечание 2 3 4 2 2 5" xfId="8810" xr:uid="{34EE30CC-72FA-4BF1-B79B-2CFBD994D954}"/>
    <cellStyle name="Примечание 2 3 4 2 2 6" xfId="12701" xr:uid="{76073F58-242F-4046-A261-603F38EE93A3}"/>
    <cellStyle name="Примечание 2 3 4 2 3" xfId="1446" xr:uid="{00000000-0005-0000-0000-0000D91C0000}"/>
    <cellStyle name="Примечание 2 3 4 2 3 2" xfId="5347" xr:uid="{00000000-0005-0000-0000-0000DA1C0000}"/>
    <cellStyle name="Примечание 2 3 4 2 3 3" xfId="9356" xr:uid="{883C4534-F4F2-42AD-953B-596177B339AD}"/>
    <cellStyle name="Примечание 2 3 4 2 3 4" xfId="13247" xr:uid="{4DF4C8A7-3FEC-45DF-A31B-09B26BAB6B12}"/>
    <cellStyle name="Примечание 2 3 4 2 4" xfId="2793" xr:uid="{00000000-0005-0000-0000-0000DB1C0000}"/>
    <cellStyle name="Примечание 2 3 4 2 4 2" xfId="6687" xr:uid="{00000000-0005-0000-0000-0000DC1C0000}"/>
    <cellStyle name="Примечание 2 3 4 2 4 3" xfId="10696" xr:uid="{70F16893-B522-43F6-B1DF-5A42D5EBF878}"/>
    <cellStyle name="Примечание 2 3 4 2 5" xfId="3391" xr:uid="{00000000-0005-0000-0000-0000DD1C0000}"/>
    <cellStyle name="Примечание 2 3 4 2 5 2" xfId="7285" xr:uid="{00000000-0005-0000-0000-0000DE1C0000}"/>
    <cellStyle name="Примечание 2 3 4 2 5 3" xfId="11294" xr:uid="{1C8D548D-6F6D-48A5-99FF-235777F9BDDA}"/>
    <cellStyle name="Примечание 2 3 4 2 6" xfId="4569" xr:uid="{00000000-0005-0000-0000-0000DF1C0000}"/>
    <cellStyle name="Примечание 2 3 4 2 7" xfId="8578" xr:uid="{CA3EDD51-4983-4B52-A990-038DB67F7A11}"/>
    <cellStyle name="Примечание 2 3 4 2 8" xfId="12469" xr:uid="{70478C6B-F5BE-49CF-B223-D958619B70D8}"/>
    <cellStyle name="Примечание 2 3 4 3" xfId="834" xr:uid="{00000000-0005-0000-0000-0000E01C0000}"/>
    <cellStyle name="Примечание 2 3 4 3 2" xfId="2795" xr:uid="{00000000-0005-0000-0000-0000E11C0000}"/>
    <cellStyle name="Примечание 2 3 4 3 2 2" xfId="6689" xr:uid="{00000000-0005-0000-0000-0000E21C0000}"/>
    <cellStyle name="Примечание 2 3 4 3 2 3" xfId="10698" xr:uid="{7CE0781A-1C02-4C2F-85DD-95269577605F}"/>
    <cellStyle name="Примечание 2 3 4 3 3" xfId="3953" xr:uid="{00000000-0005-0000-0000-0000E31C0000}"/>
    <cellStyle name="Примечание 2 3 4 3 3 2" xfId="7847" xr:uid="{00000000-0005-0000-0000-0000E41C0000}"/>
    <cellStyle name="Примечание 2 3 4 3 3 3" xfId="11856" xr:uid="{E4C6830E-B758-4E66-ABEA-9FACEA409FFC}"/>
    <cellStyle name="Примечание 2 3 4 3 4" xfId="4735" xr:uid="{00000000-0005-0000-0000-0000E51C0000}"/>
    <cellStyle name="Примечание 2 3 4 3 5" xfId="8744" xr:uid="{67B1AD75-B211-470B-B4D7-E7836E09387B}"/>
    <cellStyle name="Примечание 2 3 4 3 6" xfId="12635" xr:uid="{572CF2A3-7737-4628-A5C8-CE40975413B2}"/>
    <cellStyle name="Примечание 2 3 4 4" xfId="1125" xr:uid="{00000000-0005-0000-0000-0000E61C0000}"/>
    <cellStyle name="Примечание 2 3 4 4 2" xfId="5026" xr:uid="{00000000-0005-0000-0000-0000E71C0000}"/>
    <cellStyle name="Примечание 2 3 4 4 3" xfId="9035" xr:uid="{BB2E6E30-141B-402D-A8EA-43AB6FB9C0BE}"/>
    <cellStyle name="Примечание 2 3 4 4 4" xfId="12926" xr:uid="{835BEDC0-AB87-4EE0-BCF4-1659405ED02B}"/>
    <cellStyle name="Примечание 2 3 4 5" xfId="2792" xr:uid="{00000000-0005-0000-0000-0000E81C0000}"/>
    <cellStyle name="Примечание 2 3 4 5 2" xfId="6686" xr:uid="{00000000-0005-0000-0000-0000E91C0000}"/>
    <cellStyle name="Примечание 2 3 4 5 3" xfId="10695" xr:uid="{23C0B0EB-C843-4CF0-9625-EAE86204F848}"/>
    <cellStyle name="Примечание 2 3 4 6" xfId="3070" xr:uid="{00000000-0005-0000-0000-0000EA1C0000}"/>
    <cellStyle name="Примечание 2 3 4 6 2" xfId="6964" xr:uid="{00000000-0005-0000-0000-0000EB1C0000}"/>
    <cellStyle name="Примечание 2 3 4 6 3" xfId="10973" xr:uid="{CD7F9F42-9DC9-41F2-8005-2ABA69ECDF68}"/>
    <cellStyle name="Примечание 2 3 4 7" xfId="4248" xr:uid="{00000000-0005-0000-0000-0000EC1C0000}"/>
    <cellStyle name="Примечание 2 3 4 8" xfId="8257" xr:uid="{8240AF75-1ACD-486E-A930-CFAA82D27629}"/>
    <cellStyle name="Примечание 2 3 4 9" xfId="12148" xr:uid="{040C884B-F6C2-4211-91C5-1D11E68C85B6}"/>
    <cellStyle name="Примечание 2 3 5" xfId="498" xr:uid="{00000000-0005-0000-0000-0000ED1C0000}"/>
    <cellStyle name="Примечание 2 3 5 2" xfId="867" xr:uid="{00000000-0005-0000-0000-0000EE1C0000}"/>
    <cellStyle name="Примечание 2 3 5 2 2" xfId="2797" xr:uid="{00000000-0005-0000-0000-0000EF1C0000}"/>
    <cellStyle name="Примечание 2 3 5 2 2 2" xfId="6691" xr:uid="{00000000-0005-0000-0000-0000F01C0000}"/>
    <cellStyle name="Примечание 2 3 5 2 2 3" xfId="10700" xr:uid="{6FAF1E55-E607-4632-ABFF-E89F38AC77CD}"/>
    <cellStyle name="Примечание 2 3 5 2 3" xfId="3986" xr:uid="{00000000-0005-0000-0000-0000F11C0000}"/>
    <cellStyle name="Примечание 2 3 5 2 3 2" xfId="7880" xr:uid="{00000000-0005-0000-0000-0000F21C0000}"/>
    <cellStyle name="Примечание 2 3 5 2 3 3" xfId="11889" xr:uid="{A5D46B0B-8648-43C7-BCDD-E423193FFFCF}"/>
    <cellStyle name="Примечание 2 3 5 2 4" xfId="4768" xr:uid="{00000000-0005-0000-0000-0000F31C0000}"/>
    <cellStyle name="Примечание 2 3 5 2 5" xfId="8777" xr:uid="{723FAE36-B448-46CB-A414-7F4B75579238}"/>
    <cellStyle name="Примечание 2 3 5 2 6" xfId="12668" xr:uid="{3FDA958C-80A1-4E59-9577-887569713F84}"/>
    <cellStyle name="Примечание 2 3 5 3" xfId="1281" xr:uid="{00000000-0005-0000-0000-0000F41C0000}"/>
    <cellStyle name="Примечание 2 3 5 3 2" xfId="5182" xr:uid="{00000000-0005-0000-0000-0000F51C0000}"/>
    <cellStyle name="Примечание 2 3 5 3 3" xfId="9191" xr:uid="{540690EE-AAF6-4A2E-A09C-F294BAC74A94}"/>
    <cellStyle name="Примечание 2 3 5 3 4" xfId="13082" xr:uid="{3147A519-9273-493D-B843-F74370A01A5F}"/>
    <cellStyle name="Примечание 2 3 5 4" xfId="2796" xr:uid="{00000000-0005-0000-0000-0000F61C0000}"/>
    <cellStyle name="Примечание 2 3 5 4 2" xfId="6690" xr:uid="{00000000-0005-0000-0000-0000F71C0000}"/>
    <cellStyle name="Примечание 2 3 5 4 3" xfId="10699" xr:uid="{04CAE55C-9EB7-4F78-8895-7EC94CAB56EB}"/>
    <cellStyle name="Примечание 2 3 5 5" xfId="3226" xr:uid="{00000000-0005-0000-0000-0000F81C0000}"/>
    <cellStyle name="Примечание 2 3 5 5 2" xfId="7120" xr:uid="{00000000-0005-0000-0000-0000F91C0000}"/>
    <cellStyle name="Примечание 2 3 5 5 3" xfId="11129" xr:uid="{DACC0753-B69F-4DC3-A6A5-DCF547398D8A}"/>
    <cellStyle name="Примечание 2 3 5 6" xfId="4404" xr:uid="{00000000-0005-0000-0000-0000FA1C0000}"/>
    <cellStyle name="Примечание 2 3 5 7" xfId="8413" xr:uid="{B32D7145-3B94-45E0-BE13-7F7C63B0CFC6}"/>
    <cellStyle name="Примечание 2 3 5 8" xfId="12304" xr:uid="{B66BB356-C909-4AC8-B050-AA3136BBC7E5}"/>
    <cellStyle name="Примечание 2 3 6" xfId="801" xr:uid="{00000000-0005-0000-0000-0000FB1C0000}"/>
    <cellStyle name="Примечание 2 3 6 2" xfId="2798" xr:uid="{00000000-0005-0000-0000-0000FC1C0000}"/>
    <cellStyle name="Примечание 2 3 6 2 2" xfId="6692" xr:uid="{00000000-0005-0000-0000-0000FD1C0000}"/>
    <cellStyle name="Примечание 2 3 6 2 3" xfId="10701" xr:uid="{D8F9AFD5-6E4D-442F-93AD-814317315F9B}"/>
    <cellStyle name="Примечание 2 3 6 3" xfId="3920" xr:uid="{00000000-0005-0000-0000-0000FE1C0000}"/>
    <cellStyle name="Примечание 2 3 6 3 2" xfId="7814" xr:uid="{00000000-0005-0000-0000-0000FF1C0000}"/>
    <cellStyle name="Примечание 2 3 6 3 3" xfId="11823" xr:uid="{ABB5716D-2C4C-44E9-BB6D-E9849967F32A}"/>
    <cellStyle name="Примечание 2 3 6 4" xfId="4702" xr:uid="{00000000-0005-0000-0000-0000001D0000}"/>
    <cellStyle name="Примечание 2 3 6 5" xfId="8711" xr:uid="{A63F3BFB-92D0-4D9F-A79F-7E23B5345833}"/>
    <cellStyle name="Примечание 2 3 6 6" xfId="12602" xr:uid="{A90E4819-6E96-4265-952B-3450F54780A7}"/>
    <cellStyle name="Примечание 2 3 7" xfId="960" xr:uid="{00000000-0005-0000-0000-0000011D0000}"/>
    <cellStyle name="Примечание 2 3 7 2" xfId="4861" xr:uid="{00000000-0005-0000-0000-0000021D0000}"/>
    <cellStyle name="Примечание 2 3 7 3" xfId="8870" xr:uid="{24C09397-D224-4806-9C16-8A529B115C51}"/>
    <cellStyle name="Примечание 2 3 7 4" xfId="12761" xr:uid="{1D67F95B-3DA4-4047-BDBF-BCAE5BBD06A3}"/>
    <cellStyle name="Примечание 2 3 8" xfId="2775" xr:uid="{00000000-0005-0000-0000-0000031D0000}"/>
    <cellStyle name="Примечание 2 3 8 2" xfId="6669" xr:uid="{00000000-0005-0000-0000-0000041D0000}"/>
    <cellStyle name="Примечание 2 3 8 3" xfId="10678" xr:uid="{22D3C41A-9DE5-4256-812E-D519841E60A8}"/>
    <cellStyle name="Примечание 2 3 9" xfId="2905" xr:uid="{00000000-0005-0000-0000-0000051D0000}"/>
    <cellStyle name="Примечание 2 3 9 2" xfId="6799" xr:uid="{00000000-0005-0000-0000-0000061D0000}"/>
    <cellStyle name="Примечание 2 3 9 3" xfId="10808" xr:uid="{3B9D41B5-AB2E-4AA7-AF36-B35A33E7F8BF}"/>
    <cellStyle name="Примечание 2 4" xfId="127" xr:uid="{00000000-0005-0000-0000-0000071D0000}"/>
    <cellStyle name="Примечание 2 4 10" xfId="2893" xr:uid="{00000000-0005-0000-0000-0000081D0000}"/>
    <cellStyle name="Примечание 2 4 10 2" xfId="6787" xr:uid="{00000000-0005-0000-0000-0000091D0000}"/>
    <cellStyle name="Примечание 2 4 10 3" xfId="10796" xr:uid="{D936A39F-DDF4-4198-A0EF-A484D13AD990}"/>
    <cellStyle name="Примечание 2 4 11" xfId="4071" xr:uid="{00000000-0005-0000-0000-00000A1D0000}"/>
    <cellStyle name="Примечание 2 4 12" xfId="8080" xr:uid="{22390B25-1915-4739-BA94-4AF7AF5809B5}"/>
    <cellStyle name="Примечание 2 4 13" xfId="11971" xr:uid="{233ED6B3-56BE-43A5-9C5D-6ED0771CE764}"/>
    <cellStyle name="Примечание 2 4 14" xfId="13407" xr:uid="{7599CBA8-2023-4041-8532-2143ABD5B06E}"/>
    <cellStyle name="Примечание 2 4 2" xfId="189" xr:uid="{00000000-0005-0000-0000-00000B1D0000}"/>
    <cellStyle name="Примечание 2 4 2 10" xfId="4105" xr:uid="{00000000-0005-0000-0000-00000C1D0000}"/>
    <cellStyle name="Примечание 2 4 2 11" xfId="8114" xr:uid="{7D299E75-2D9A-4E7D-827B-7F778FA9965D}"/>
    <cellStyle name="Примечание 2 4 2 12" xfId="12005" xr:uid="{045BAA52-16C1-4A5D-8FEB-29ECAC058E71}"/>
    <cellStyle name="Примечание 2 4 2 13" xfId="13441" xr:uid="{B5C8DCD3-D43A-4454-82F3-AEF61CD1CF69}"/>
    <cellStyle name="Примечание 2 4 2 2" xfId="290" xr:uid="{00000000-0005-0000-0000-00000D1D0000}"/>
    <cellStyle name="Примечание 2 4 2 2 10" xfId="12103" xr:uid="{AE1A539A-7B8F-4288-A1E0-DED2ABEEF8DA}"/>
    <cellStyle name="Примечание 2 4 2 2 11" xfId="13539" xr:uid="{21ED55D7-AE8B-431B-B3D1-FDE39C0308F3}"/>
    <cellStyle name="Примечание 2 4 2 2 2" xfId="446" xr:uid="{00000000-0005-0000-0000-00000E1D0000}"/>
    <cellStyle name="Примечание 2 4 2 2 2 2" xfId="776" xr:uid="{00000000-0005-0000-0000-00000F1D0000}"/>
    <cellStyle name="Примечание 2 4 2 2 2 2 2" xfId="923" xr:uid="{00000000-0005-0000-0000-0000101D0000}"/>
    <cellStyle name="Примечание 2 4 2 2 2 2 2 2" xfId="2804" xr:uid="{00000000-0005-0000-0000-0000111D0000}"/>
    <cellStyle name="Примечание 2 4 2 2 2 2 2 2 2" xfId="6698" xr:uid="{00000000-0005-0000-0000-0000121D0000}"/>
    <cellStyle name="Примечание 2 4 2 2 2 2 2 2 3" xfId="10707" xr:uid="{972892A4-2E45-4BAF-B1B9-62100C04981F}"/>
    <cellStyle name="Примечание 2 4 2 2 2 2 2 3" xfId="4042" xr:uid="{00000000-0005-0000-0000-0000131D0000}"/>
    <cellStyle name="Примечание 2 4 2 2 2 2 2 3 2" xfId="7936" xr:uid="{00000000-0005-0000-0000-0000141D0000}"/>
    <cellStyle name="Примечание 2 4 2 2 2 2 2 3 3" xfId="11945" xr:uid="{829012F7-293B-4557-84CD-166DBE73FFFB}"/>
    <cellStyle name="Примечание 2 4 2 2 2 2 2 4" xfId="4824" xr:uid="{00000000-0005-0000-0000-0000151D0000}"/>
    <cellStyle name="Примечание 2 4 2 2 2 2 2 5" xfId="8833" xr:uid="{98FD3110-6BE1-484B-A0D1-32686707059E}"/>
    <cellStyle name="Примечание 2 4 2 2 2 2 2 6" xfId="12724" xr:uid="{AC93E297-B923-406A-BD55-81EC147C203E}"/>
    <cellStyle name="Примечание 2 4 2 2 2 2 3" xfId="1557" xr:uid="{00000000-0005-0000-0000-0000161D0000}"/>
    <cellStyle name="Примечание 2 4 2 2 2 2 3 2" xfId="5458" xr:uid="{00000000-0005-0000-0000-0000171D0000}"/>
    <cellStyle name="Примечание 2 4 2 2 2 2 3 3" xfId="9467" xr:uid="{88C7A7E9-5E67-441D-8106-D758541CB2C9}"/>
    <cellStyle name="Примечание 2 4 2 2 2 2 3 4" xfId="13358" xr:uid="{C9EC3C9D-5B22-4C2C-8DC9-ACE66144062D}"/>
    <cellStyle name="Примечание 2 4 2 2 2 2 4" xfId="2803" xr:uid="{00000000-0005-0000-0000-0000181D0000}"/>
    <cellStyle name="Примечание 2 4 2 2 2 2 4 2" xfId="6697" xr:uid="{00000000-0005-0000-0000-0000191D0000}"/>
    <cellStyle name="Примечание 2 4 2 2 2 2 4 3" xfId="10706" xr:uid="{9E87D647-1E99-4AE2-832D-FA8195B72F57}"/>
    <cellStyle name="Примечание 2 4 2 2 2 2 5" xfId="3502" xr:uid="{00000000-0005-0000-0000-00001A1D0000}"/>
    <cellStyle name="Примечание 2 4 2 2 2 2 5 2" xfId="7396" xr:uid="{00000000-0005-0000-0000-00001B1D0000}"/>
    <cellStyle name="Примечание 2 4 2 2 2 2 5 3" xfId="11405" xr:uid="{04872D94-B91C-43EB-8650-0D4EF9310A54}"/>
    <cellStyle name="Примечание 2 4 2 2 2 2 6" xfId="4680" xr:uid="{00000000-0005-0000-0000-00001C1D0000}"/>
    <cellStyle name="Примечание 2 4 2 2 2 2 7" xfId="8689" xr:uid="{AD443C9A-054A-41EB-8B92-D93C79C1A883}"/>
    <cellStyle name="Примечание 2 4 2 2 2 2 8" xfId="12580" xr:uid="{691D30F9-4AA2-4F72-98F2-4EE19519770A}"/>
    <cellStyle name="Примечание 2 4 2 2 2 3" xfId="857" xr:uid="{00000000-0005-0000-0000-00001D1D0000}"/>
    <cellStyle name="Примечание 2 4 2 2 2 3 2" xfId="2805" xr:uid="{00000000-0005-0000-0000-00001E1D0000}"/>
    <cellStyle name="Примечание 2 4 2 2 2 3 2 2" xfId="6699" xr:uid="{00000000-0005-0000-0000-00001F1D0000}"/>
    <cellStyle name="Примечание 2 4 2 2 2 3 2 3" xfId="10708" xr:uid="{ED32F759-522E-40D0-97AD-20DBF4834D5D}"/>
    <cellStyle name="Примечание 2 4 2 2 2 3 3" xfId="3976" xr:uid="{00000000-0005-0000-0000-0000201D0000}"/>
    <cellStyle name="Примечание 2 4 2 2 2 3 3 2" xfId="7870" xr:uid="{00000000-0005-0000-0000-0000211D0000}"/>
    <cellStyle name="Примечание 2 4 2 2 2 3 3 3" xfId="11879" xr:uid="{07F333DD-D46F-4A59-A8F9-28C497BBC005}"/>
    <cellStyle name="Примечание 2 4 2 2 2 3 4" xfId="4758" xr:uid="{00000000-0005-0000-0000-0000221D0000}"/>
    <cellStyle name="Примечание 2 4 2 2 2 3 5" xfId="8767" xr:uid="{29DBFC29-6130-4064-843D-FAD36796B29A}"/>
    <cellStyle name="Примечание 2 4 2 2 2 3 6" xfId="12658" xr:uid="{BC062674-46BA-43CB-86CD-C332965355AA}"/>
    <cellStyle name="Примечание 2 4 2 2 2 4" xfId="1236" xr:uid="{00000000-0005-0000-0000-0000231D0000}"/>
    <cellStyle name="Примечание 2 4 2 2 2 4 2" xfId="5137" xr:uid="{00000000-0005-0000-0000-0000241D0000}"/>
    <cellStyle name="Примечание 2 4 2 2 2 4 3" xfId="9146" xr:uid="{0A57EAAB-B181-49E7-A686-880404B038DC}"/>
    <cellStyle name="Примечание 2 4 2 2 2 4 4" xfId="13037" xr:uid="{23C94A78-8355-4BE3-A5F8-FDC6687FDC27}"/>
    <cellStyle name="Примечание 2 4 2 2 2 5" xfId="2802" xr:uid="{00000000-0005-0000-0000-0000251D0000}"/>
    <cellStyle name="Примечание 2 4 2 2 2 5 2" xfId="6696" xr:uid="{00000000-0005-0000-0000-0000261D0000}"/>
    <cellStyle name="Примечание 2 4 2 2 2 5 3" xfId="10705" xr:uid="{5D8B2AB2-9753-4634-9868-122BBC397340}"/>
    <cellStyle name="Примечание 2 4 2 2 2 6" xfId="3181" xr:uid="{00000000-0005-0000-0000-0000271D0000}"/>
    <cellStyle name="Примечание 2 4 2 2 2 6 2" xfId="7075" xr:uid="{00000000-0005-0000-0000-0000281D0000}"/>
    <cellStyle name="Примечание 2 4 2 2 2 6 3" xfId="11084" xr:uid="{20E973A0-B3E9-4456-8600-B74AE956DAED}"/>
    <cellStyle name="Примечание 2 4 2 2 2 7" xfId="4359" xr:uid="{00000000-0005-0000-0000-0000291D0000}"/>
    <cellStyle name="Примечание 2 4 2 2 2 8" xfId="8368" xr:uid="{1A376FC3-94F0-405E-86F4-21317533ACF4}"/>
    <cellStyle name="Примечание 2 4 2 2 2 9" xfId="12259" xr:uid="{DAF32DEE-BC62-4831-8DCC-95C2ED631E31}"/>
    <cellStyle name="Примечание 2 4 2 2 3" xfId="620" xr:uid="{00000000-0005-0000-0000-00002A1D0000}"/>
    <cellStyle name="Примечание 2 4 2 2 3 2" xfId="890" xr:uid="{00000000-0005-0000-0000-00002B1D0000}"/>
    <cellStyle name="Примечание 2 4 2 2 3 2 2" xfId="2807" xr:uid="{00000000-0005-0000-0000-00002C1D0000}"/>
    <cellStyle name="Примечание 2 4 2 2 3 2 2 2" xfId="6701" xr:uid="{00000000-0005-0000-0000-00002D1D0000}"/>
    <cellStyle name="Примечание 2 4 2 2 3 2 2 3" xfId="10710" xr:uid="{1E81DA17-E8BD-4BF3-9A30-2C746E83DE01}"/>
    <cellStyle name="Примечание 2 4 2 2 3 2 3" xfId="4009" xr:uid="{00000000-0005-0000-0000-00002E1D0000}"/>
    <cellStyle name="Примечание 2 4 2 2 3 2 3 2" xfId="7903" xr:uid="{00000000-0005-0000-0000-00002F1D0000}"/>
    <cellStyle name="Примечание 2 4 2 2 3 2 3 3" xfId="11912" xr:uid="{8128E96F-0594-440A-8229-83ADDDB71E06}"/>
    <cellStyle name="Примечание 2 4 2 2 3 2 4" xfId="4791" xr:uid="{00000000-0005-0000-0000-0000301D0000}"/>
    <cellStyle name="Примечание 2 4 2 2 3 2 5" xfId="8800" xr:uid="{6CDBAFB8-68FE-421B-8EE8-E9F61F3A0E19}"/>
    <cellStyle name="Примечание 2 4 2 2 3 2 6" xfId="12691" xr:uid="{5513513B-2943-4CB5-9EEB-3C2DE1392475}"/>
    <cellStyle name="Примечание 2 4 2 2 3 3" xfId="1401" xr:uid="{00000000-0005-0000-0000-0000311D0000}"/>
    <cellStyle name="Примечание 2 4 2 2 3 3 2" xfId="5302" xr:uid="{00000000-0005-0000-0000-0000321D0000}"/>
    <cellStyle name="Примечание 2 4 2 2 3 3 3" xfId="9311" xr:uid="{FDCCD8BD-9BD9-47CC-8F98-771B03BEDAE0}"/>
    <cellStyle name="Примечание 2 4 2 2 3 3 4" xfId="13202" xr:uid="{078C2F34-C5EB-4501-BC31-EAB16F8C60E3}"/>
    <cellStyle name="Примечание 2 4 2 2 3 4" xfId="2806" xr:uid="{00000000-0005-0000-0000-0000331D0000}"/>
    <cellStyle name="Примечание 2 4 2 2 3 4 2" xfId="6700" xr:uid="{00000000-0005-0000-0000-0000341D0000}"/>
    <cellStyle name="Примечание 2 4 2 2 3 4 3" xfId="10709" xr:uid="{FDC7A4F7-7E96-4498-A814-953206EA73BB}"/>
    <cellStyle name="Примечание 2 4 2 2 3 5" xfId="3346" xr:uid="{00000000-0005-0000-0000-0000351D0000}"/>
    <cellStyle name="Примечание 2 4 2 2 3 5 2" xfId="7240" xr:uid="{00000000-0005-0000-0000-0000361D0000}"/>
    <cellStyle name="Примечание 2 4 2 2 3 5 3" xfId="11249" xr:uid="{87198B0C-AC31-4BF3-8E08-424FE3A3F0D3}"/>
    <cellStyle name="Примечание 2 4 2 2 3 6" xfId="4524" xr:uid="{00000000-0005-0000-0000-0000371D0000}"/>
    <cellStyle name="Примечание 2 4 2 2 3 7" xfId="8533" xr:uid="{A82DD4BF-DE37-452D-A41E-C61E539C5CAC}"/>
    <cellStyle name="Примечание 2 4 2 2 3 8" xfId="12424" xr:uid="{5126835B-5E35-484C-A594-61A48DD2FD44}"/>
    <cellStyle name="Примечание 2 4 2 2 4" xfId="824" xr:uid="{00000000-0005-0000-0000-0000381D0000}"/>
    <cellStyle name="Примечание 2 4 2 2 4 2" xfId="2808" xr:uid="{00000000-0005-0000-0000-0000391D0000}"/>
    <cellStyle name="Примечание 2 4 2 2 4 2 2" xfId="6702" xr:uid="{00000000-0005-0000-0000-00003A1D0000}"/>
    <cellStyle name="Примечание 2 4 2 2 4 2 3" xfId="10711" xr:uid="{8C51B1E1-7088-4D4B-B434-F18187E1E7CD}"/>
    <cellStyle name="Примечание 2 4 2 2 4 3" xfId="3943" xr:uid="{00000000-0005-0000-0000-00003B1D0000}"/>
    <cellStyle name="Примечание 2 4 2 2 4 3 2" xfId="7837" xr:uid="{00000000-0005-0000-0000-00003C1D0000}"/>
    <cellStyle name="Примечание 2 4 2 2 4 3 3" xfId="11846" xr:uid="{86DA4871-CDD5-4512-BCE8-2E379365E07E}"/>
    <cellStyle name="Примечание 2 4 2 2 4 4" xfId="4725" xr:uid="{00000000-0005-0000-0000-00003D1D0000}"/>
    <cellStyle name="Примечание 2 4 2 2 4 5" xfId="8734" xr:uid="{F3256B2F-6072-481C-BE8F-48E37F17DFF6}"/>
    <cellStyle name="Примечание 2 4 2 2 4 6" xfId="12625" xr:uid="{60D6E71F-C344-414D-A379-872944846584}"/>
    <cellStyle name="Примечание 2 4 2 2 5" xfId="1080" xr:uid="{00000000-0005-0000-0000-00003E1D0000}"/>
    <cellStyle name="Примечание 2 4 2 2 5 2" xfId="4981" xr:uid="{00000000-0005-0000-0000-00003F1D0000}"/>
    <cellStyle name="Примечание 2 4 2 2 5 3" xfId="8990" xr:uid="{5BB27B40-F18C-46C0-8A70-DD9C1C2F9534}"/>
    <cellStyle name="Примечание 2 4 2 2 5 4" xfId="12881" xr:uid="{D3548FFA-C319-4960-A6BC-BCE540E578CC}"/>
    <cellStyle name="Примечание 2 4 2 2 6" xfId="2801" xr:uid="{00000000-0005-0000-0000-0000401D0000}"/>
    <cellStyle name="Примечание 2 4 2 2 6 2" xfId="6695" xr:uid="{00000000-0005-0000-0000-0000411D0000}"/>
    <cellStyle name="Примечание 2 4 2 2 6 3" xfId="10704" xr:uid="{26EC384F-8851-467C-BBD0-43BDBBEB1D4B}"/>
    <cellStyle name="Примечание 2 4 2 2 7" xfId="3025" xr:uid="{00000000-0005-0000-0000-0000421D0000}"/>
    <cellStyle name="Примечание 2 4 2 2 7 2" xfId="6919" xr:uid="{00000000-0005-0000-0000-0000431D0000}"/>
    <cellStyle name="Примечание 2 4 2 2 7 3" xfId="10928" xr:uid="{1F682952-74A2-4993-A71D-803CCC5ADEAB}"/>
    <cellStyle name="Примечание 2 4 2 2 8" xfId="4203" xr:uid="{00000000-0005-0000-0000-0000441D0000}"/>
    <cellStyle name="Примечание 2 4 2 2 9" xfId="8212" xr:uid="{E06854FD-D9AF-4F56-97BE-BCE80EBC162B}"/>
    <cellStyle name="Примечание 2 4 2 3" xfId="243" xr:uid="{00000000-0005-0000-0000-0000451D0000}"/>
    <cellStyle name="Примечание 2 4 2 3 10" xfId="12056" xr:uid="{7BE72EC1-BE51-4C38-A2BD-FDB3F91E7722}"/>
    <cellStyle name="Примечание 2 4 2 3 11" xfId="13492" xr:uid="{02135098-0123-4A3A-BF90-8B7D43019183}"/>
    <cellStyle name="Примечание 2 4 2 3 2" xfId="402" xr:uid="{00000000-0005-0000-0000-0000461D0000}"/>
    <cellStyle name="Примечание 2 4 2 3 2 2" xfId="732" xr:uid="{00000000-0005-0000-0000-0000471D0000}"/>
    <cellStyle name="Примечание 2 4 2 3 2 2 2" xfId="914" xr:uid="{00000000-0005-0000-0000-0000481D0000}"/>
    <cellStyle name="Примечание 2 4 2 3 2 2 2 2" xfId="2812" xr:uid="{00000000-0005-0000-0000-0000491D0000}"/>
    <cellStyle name="Примечание 2 4 2 3 2 2 2 2 2" xfId="6706" xr:uid="{00000000-0005-0000-0000-00004A1D0000}"/>
    <cellStyle name="Примечание 2 4 2 3 2 2 2 2 3" xfId="10715" xr:uid="{ABB5DE64-AB85-42EC-B0F7-5E1718D8B693}"/>
    <cellStyle name="Примечание 2 4 2 3 2 2 2 3" xfId="4033" xr:uid="{00000000-0005-0000-0000-00004B1D0000}"/>
    <cellStyle name="Примечание 2 4 2 3 2 2 2 3 2" xfId="7927" xr:uid="{00000000-0005-0000-0000-00004C1D0000}"/>
    <cellStyle name="Примечание 2 4 2 3 2 2 2 3 3" xfId="11936" xr:uid="{DBBF41E3-27A2-439F-9959-DA675E6B538A}"/>
    <cellStyle name="Примечание 2 4 2 3 2 2 2 4" xfId="4815" xr:uid="{00000000-0005-0000-0000-00004D1D0000}"/>
    <cellStyle name="Примечание 2 4 2 3 2 2 2 5" xfId="8824" xr:uid="{E8259FAE-4D41-4846-9003-859D0A7732D6}"/>
    <cellStyle name="Примечание 2 4 2 3 2 2 2 6" xfId="12715" xr:uid="{68D5EC27-0502-47C2-80F3-B10801F6DC11}"/>
    <cellStyle name="Примечание 2 4 2 3 2 2 3" xfId="1513" xr:uid="{00000000-0005-0000-0000-00004E1D0000}"/>
    <cellStyle name="Примечание 2 4 2 3 2 2 3 2" xfId="5414" xr:uid="{00000000-0005-0000-0000-00004F1D0000}"/>
    <cellStyle name="Примечание 2 4 2 3 2 2 3 3" xfId="9423" xr:uid="{00780A94-59C7-4F39-9235-8004C1F4F2D5}"/>
    <cellStyle name="Примечание 2 4 2 3 2 2 3 4" xfId="13314" xr:uid="{382FC448-1C1F-4AB4-8E12-27647AAD71B3}"/>
    <cellStyle name="Примечание 2 4 2 3 2 2 4" xfId="2811" xr:uid="{00000000-0005-0000-0000-0000501D0000}"/>
    <cellStyle name="Примечание 2 4 2 3 2 2 4 2" xfId="6705" xr:uid="{00000000-0005-0000-0000-0000511D0000}"/>
    <cellStyle name="Примечание 2 4 2 3 2 2 4 3" xfId="10714" xr:uid="{6C73455D-3AAC-4305-BBA6-2F77E969E4B3}"/>
    <cellStyle name="Примечание 2 4 2 3 2 2 5" xfId="3458" xr:uid="{00000000-0005-0000-0000-0000521D0000}"/>
    <cellStyle name="Примечание 2 4 2 3 2 2 5 2" xfId="7352" xr:uid="{00000000-0005-0000-0000-0000531D0000}"/>
    <cellStyle name="Примечание 2 4 2 3 2 2 5 3" xfId="11361" xr:uid="{29D81391-8FFC-47D1-83A6-0ED73D5DAE2B}"/>
    <cellStyle name="Примечание 2 4 2 3 2 2 6" xfId="4636" xr:uid="{00000000-0005-0000-0000-0000541D0000}"/>
    <cellStyle name="Примечание 2 4 2 3 2 2 7" xfId="8645" xr:uid="{B8DD65CA-F453-4F7A-A6F8-63792B47E09B}"/>
    <cellStyle name="Примечание 2 4 2 3 2 2 8" xfId="12536" xr:uid="{B1B3C9ED-6901-4384-893A-D32C77EB0E3F}"/>
    <cellStyle name="Примечание 2 4 2 3 2 3" xfId="848" xr:uid="{00000000-0005-0000-0000-0000551D0000}"/>
    <cellStyle name="Примечание 2 4 2 3 2 3 2" xfId="2813" xr:uid="{00000000-0005-0000-0000-0000561D0000}"/>
    <cellStyle name="Примечание 2 4 2 3 2 3 2 2" xfId="6707" xr:uid="{00000000-0005-0000-0000-0000571D0000}"/>
    <cellStyle name="Примечание 2 4 2 3 2 3 2 3" xfId="10716" xr:uid="{315C24FB-C6D0-4C39-B0AC-8B2B892EED00}"/>
    <cellStyle name="Примечание 2 4 2 3 2 3 3" xfId="3967" xr:uid="{00000000-0005-0000-0000-0000581D0000}"/>
    <cellStyle name="Примечание 2 4 2 3 2 3 3 2" xfId="7861" xr:uid="{00000000-0005-0000-0000-0000591D0000}"/>
    <cellStyle name="Примечание 2 4 2 3 2 3 3 3" xfId="11870" xr:uid="{E061FD71-9A64-4983-9C3B-21245C1402B5}"/>
    <cellStyle name="Примечание 2 4 2 3 2 3 4" xfId="4749" xr:uid="{00000000-0005-0000-0000-00005A1D0000}"/>
    <cellStyle name="Примечание 2 4 2 3 2 3 5" xfId="8758" xr:uid="{7838D54A-07F7-4456-A8C6-0C84AAFBF5A5}"/>
    <cellStyle name="Примечание 2 4 2 3 2 3 6" xfId="12649" xr:uid="{F5FD6C3F-2053-42D8-8630-64EF1166FDD3}"/>
    <cellStyle name="Примечание 2 4 2 3 2 4" xfId="1192" xr:uid="{00000000-0005-0000-0000-00005B1D0000}"/>
    <cellStyle name="Примечание 2 4 2 3 2 4 2" xfId="5093" xr:uid="{00000000-0005-0000-0000-00005C1D0000}"/>
    <cellStyle name="Примечание 2 4 2 3 2 4 3" xfId="9102" xr:uid="{7FF6AC80-9A4D-499D-8AA4-95E56662D710}"/>
    <cellStyle name="Примечание 2 4 2 3 2 4 4" xfId="12993" xr:uid="{E40D14D3-1963-46BC-A93A-16BF091E1E46}"/>
    <cellStyle name="Примечание 2 4 2 3 2 5" xfId="2810" xr:uid="{00000000-0005-0000-0000-00005D1D0000}"/>
    <cellStyle name="Примечание 2 4 2 3 2 5 2" xfId="6704" xr:uid="{00000000-0005-0000-0000-00005E1D0000}"/>
    <cellStyle name="Примечание 2 4 2 3 2 5 3" xfId="10713" xr:uid="{BE3ED7EF-5123-4FE3-910A-E4E20435D989}"/>
    <cellStyle name="Примечание 2 4 2 3 2 6" xfId="3137" xr:uid="{00000000-0005-0000-0000-00005F1D0000}"/>
    <cellStyle name="Примечание 2 4 2 3 2 6 2" xfId="7031" xr:uid="{00000000-0005-0000-0000-0000601D0000}"/>
    <cellStyle name="Примечание 2 4 2 3 2 6 3" xfId="11040" xr:uid="{D0E9064A-D9C1-4F31-B624-3AFE12341DE0}"/>
    <cellStyle name="Примечание 2 4 2 3 2 7" xfId="4315" xr:uid="{00000000-0005-0000-0000-0000611D0000}"/>
    <cellStyle name="Примечание 2 4 2 3 2 8" xfId="8324" xr:uid="{4FB8F9DA-0995-4DE4-96A2-316C880256AF}"/>
    <cellStyle name="Примечание 2 4 2 3 2 9" xfId="12215" xr:uid="{C46E04E5-6E2E-4843-B6AC-F27A1A4762F2}"/>
    <cellStyle name="Примечание 2 4 2 3 3" xfId="573" xr:uid="{00000000-0005-0000-0000-0000621D0000}"/>
    <cellStyle name="Примечание 2 4 2 3 3 2" xfId="881" xr:uid="{00000000-0005-0000-0000-0000631D0000}"/>
    <cellStyle name="Примечание 2 4 2 3 3 2 2" xfId="2815" xr:uid="{00000000-0005-0000-0000-0000641D0000}"/>
    <cellStyle name="Примечание 2 4 2 3 3 2 2 2" xfId="6709" xr:uid="{00000000-0005-0000-0000-0000651D0000}"/>
    <cellStyle name="Примечание 2 4 2 3 3 2 2 3" xfId="10718" xr:uid="{E94BCC70-A627-4B79-B8A2-0DFFFE41040A}"/>
    <cellStyle name="Примечание 2 4 2 3 3 2 3" xfId="4000" xr:uid="{00000000-0005-0000-0000-0000661D0000}"/>
    <cellStyle name="Примечание 2 4 2 3 3 2 3 2" xfId="7894" xr:uid="{00000000-0005-0000-0000-0000671D0000}"/>
    <cellStyle name="Примечание 2 4 2 3 3 2 3 3" xfId="11903" xr:uid="{3C700C07-BA66-4F80-A517-AF4B58BA4221}"/>
    <cellStyle name="Примечание 2 4 2 3 3 2 4" xfId="4782" xr:uid="{00000000-0005-0000-0000-0000681D0000}"/>
    <cellStyle name="Примечание 2 4 2 3 3 2 5" xfId="8791" xr:uid="{B4357DA9-E975-470D-AB58-C28A58451527}"/>
    <cellStyle name="Примечание 2 4 2 3 3 2 6" xfId="12682" xr:uid="{68511D07-B475-4BB8-8752-698052B68562}"/>
    <cellStyle name="Примечание 2 4 2 3 3 3" xfId="1354" xr:uid="{00000000-0005-0000-0000-0000691D0000}"/>
    <cellStyle name="Примечание 2 4 2 3 3 3 2" xfId="5255" xr:uid="{00000000-0005-0000-0000-00006A1D0000}"/>
    <cellStyle name="Примечание 2 4 2 3 3 3 3" xfId="9264" xr:uid="{486CFC85-AB72-48BB-A86C-06EDB1CA5143}"/>
    <cellStyle name="Примечание 2 4 2 3 3 3 4" xfId="13155" xr:uid="{EEFF3449-2E30-40A1-AFDA-2081BCF7C4A2}"/>
    <cellStyle name="Примечание 2 4 2 3 3 4" xfId="2814" xr:uid="{00000000-0005-0000-0000-00006B1D0000}"/>
    <cellStyle name="Примечание 2 4 2 3 3 4 2" xfId="6708" xr:uid="{00000000-0005-0000-0000-00006C1D0000}"/>
    <cellStyle name="Примечание 2 4 2 3 3 4 3" xfId="10717" xr:uid="{A824702A-5404-436B-BF99-264FB9CA7921}"/>
    <cellStyle name="Примечание 2 4 2 3 3 5" xfId="3299" xr:uid="{00000000-0005-0000-0000-00006D1D0000}"/>
    <cellStyle name="Примечание 2 4 2 3 3 5 2" xfId="7193" xr:uid="{00000000-0005-0000-0000-00006E1D0000}"/>
    <cellStyle name="Примечание 2 4 2 3 3 5 3" xfId="11202" xr:uid="{CA7352B2-A826-49E0-B077-71BAF877897E}"/>
    <cellStyle name="Примечание 2 4 2 3 3 6" xfId="4477" xr:uid="{00000000-0005-0000-0000-00006F1D0000}"/>
    <cellStyle name="Примечание 2 4 2 3 3 7" xfId="8486" xr:uid="{DFAA77A7-6606-402D-8E47-9C0EB2978A34}"/>
    <cellStyle name="Примечание 2 4 2 3 3 8" xfId="12377" xr:uid="{DFA089DC-46A2-4B09-B024-E3046C1F1872}"/>
    <cellStyle name="Примечание 2 4 2 3 4" xfId="815" xr:uid="{00000000-0005-0000-0000-0000701D0000}"/>
    <cellStyle name="Примечание 2 4 2 3 4 2" xfId="2816" xr:uid="{00000000-0005-0000-0000-0000711D0000}"/>
    <cellStyle name="Примечание 2 4 2 3 4 2 2" xfId="6710" xr:uid="{00000000-0005-0000-0000-0000721D0000}"/>
    <cellStyle name="Примечание 2 4 2 3 4 2 3" xfId="10719" xr:uid="{82B90239-6B20-411F-9C97-6BC4B3BCCCCE}"/>
    <cellStyle name="Примечание 2 4 2 3 4 3" xfId="3934" xr:uid="{00000000-0005-0000-0000-0000731D0000}"/>
    <cellStyle name="Примечание 2 4 2 3 4 3 2" xfId="7828" xr:uid="{00000000-0005-0000-0000-0000741D0000}"/>
    <cellStyle name="Примечание 2 4 2 3 4 3 3" xfId="11837" xr:uid="{6ADD57D3-DBD8-4957-8D01-C475C5A7AF73}"/>
    <cellStyle name="Примечание 2 4 2 3 4 4" xfId="4716" xr:uid="{00000000-0005-0000-0000-0000751D0000}"/>
    <cellStyle name="Примечание 2 4 2 3 4 5" xfId="8725" xr:uid="{45F7D43C-D29F-4B7D-A4BA-3485734EBEC6}"/>
    <cellStyle name="Примечание 2 4 2 3 4 6" xfId="12616" xr:uid="{09BEBEBA-A1C7-4823-BD04-72B88CDC4A90}"/>
    <cellStyle name="Примечание 2 4 2 3 5" xfId="1033" xr:uid="{00000000-0005-0000-0000-0000761D0000}"/>
    <cellStyle name="Примечание 2 4 2 3 5 2" xfId="4934" xr:uid="{00000000-0005-0000-0000-0000771D0000}"/>
    <cellStyle name="Примечание 2 4 2 3 5 3" xfId="8943" xr:uid="{B62123A1-85A0-4B87-BBD4-F84913D628B2}"/>
    <cellStyle name="Примечание 2 4 2 3 5 4" xfId="12834" xr:uid="{E661A1C0-DCB2-49B6-9C65-4AD7EDDC70DC}"/>
    <cellStyle name="Примечание 2 4 2 3 6" xfId="2809" xr:uid="{00000000-0005-0000-0000-0000781D0000}"/>
    <cellStyle name="Примечание 2 4 2 3 6 2" xfId="6703" xr:uid="{00000000-0005-0000-0000-0000791D0000}"/>
    <cellStyle name="Примечание 2 4 2 3 6 3" xfId="10712" xr:uid="{648D5AC3-8FFF-46FB-A9F1-816C02023D69}"/>
    <cellStyle name="Примечание 2 4 2 3 7" xfId="2978" xr:uid="{00000000-0005-0000-0000-00007A1D0000}"/>
    <cellStyle name="Примечание 2 4 2 3 7 2" xfId="6872" xr:uid="{00000000-0005-0000-0000-00007B1D0000}"/>
    <cellStyle name="Примечание 2 4 2 3 7 3" xfId="10881" xr:uid="{4976CBB1-D5C2-46FE-8F73-DAF69968F3AE}"/>
    <cellStyle name="Примечание 2 4 2 3 8" xfId="4156" xr:uid="{00000000-0005-0000-0000-00007C1D0000}"/>
    <cellStyle name="Примечание 2 4 2 3 9" xfId="8165" xr:uid="{9CBCAB02-41C1-4390-85CD-5AEB09F10C9E}"/>
    <cellStyle name="Примечание 2 4 2 4" xfId="357" xr:uid="{00000000-0005-0000-0000-00007D1D0000}"/>
    <cellStyle name="Примечание 2 4 2 4 2" xfId="687" xr:uid="{00000000-0005-0000-0000-00007E1D0000}"/>
    <cellStyle name="Примечание 2 4 2 4 2 2" xfId="904" xr:uid="{00000000-0005-0000-0000-00007F1D0000}"/>
    <cellStyle name="Примечание 2 4 2 4 2 2 2" xfId="2819" xr:uid="{00000000-0005-0000-0000-0000801D0000}"/>
    <cellStyle name="Примечание 2 4 2 4 2 2 2 2" xfId="6713" xr:uid="{00000000-0005-0000-0000-0000811D0000}"/>
    <cellStyle name="Примечание 2 4 2 4 2 2 2 3" xfId="10722" xr:uid="{8549703E-BA18-46DC-91D2-0D8FB2DE3458}"/>
    <cellStyle name="Примечание 2 4 2 4 2 2 3" xfId="4023" xr:uid="{00000000-0005-0000-0000-0000821D0000}"/>
    <cellStyle name="Примечание 2 4 2 4 2 2 3 2" xfId="7917" xr:uid="{00000000-0005-0000-0000-0000831D0000}"/>
    <cellStyle name="Примечание 2 4 2 4 2 2 3 3" xfId="11926" xr:uid="{DA9E9028-2B38-46EC-A310-65EAEA6DD825}"/>
    <cellStyle name="Примечание 2 4 2 4 2 2 4" xfId="4805" xr:uid="{00000000-0005-0000-0000-0000841D0000}"/>
    <cellStyle name="Примечание 2 4 2 4 2 2 5" xfId="8814" xr:uid="{47F18984-F7C8-45EB-BDFE-BF7BBDF4B40A}"/>
    <cellStyle name="Примечание 2 4 2 4 2 2 6" xfId="12705" xr:uid="{42CF1B0C-C074-431B-A15A-5A826C191BA3}"/>
    <cellStyle name="Примечание 2 4 2 4 2 3" xfId="1468" xr:uid="{00000000-0005-0000-0000-0000851D0000}"/>
    <cellStyle name="Примечание 2 4 2 4 2 3 2" xfId="5369" xr:uid="{00000000-0005-0000-0000-0000861D0000}"/>
    <cellStyle name="Примечание 2 4 2 4 2 3 3" xfId="9378" xr:uid="{6932B01F-0556-4742-9533-9A204CEDDEB9}"/>
    <cellStyle name="Примечание 2 4 2 4 2 3 4" xfId="13269" xr:uid="{79607BD9-EB8E-427F-BCEA-6686DEE76E12}"/>
    <cellStyle name="Примечание 2 4 2 4 2 4" xfId="2818" xr:uid="{00000000-0005-0000-0000-0000871D0000}"/>
    <cellStyle name="Примечание 2 4 2 4 2 4 2" xfId="6712" xr:uid="{00000000-0005-0000-0000-0000881D0000}"/>
    <cellStyle name="Примечание 2 4 2 4 2 4 3" xfId="10721" xr:uid="{F63B67BA-A557-4FD3-8691-2639095DFC60}"/>
    <cellStyle name="Примечание 2 4 2 4 2 5" xfId="3413" xr:uid="{00000000-0005-0000-0000-0000891D0000}"/>
    <cellStyle name="Примечание 2 4 2 4 2 5 2" xfId="7307" xr:uid="{00000000-0005-0000-0000-00008A1D0000}"/>
    <cellStyle name="Примечание 2 4 2 4 2 5 3" xfId="11316" xr:uid="{8F9C3E7B-BA74-4D41-AC8B-764F753E675D}"/>
    <cellStyle name="Примечание 2 4 2 4 2 6" xfId="4591" xr:uid="{00000000-0005-0000-0000-00008B1D0000}"/>
    <cellStyle name="Примечание 2 4 2 4 2 7" xfId="8600" xr:uid="{52BF046E-653A-45A1-B190-F0EFC289C03E}"/>
    <cellStyle name="Примечание 2 4 2 4 2 8" xfId="12491" xr:uid="{E5D4F71E-140B-4147-9824-89E89E34B8E5}"/>
    <cellStyle name="Примечание 2 4 2 4 3" xfId="838" xr:uid="{00000000-0005-0000-0000-00008C1D0000}"/>
    <cellStyle name="Примечание 2 4 2 4 3 2" xfId="2820" xr:uid="{00000000-0005-0000-0000-00008D1D0000}"/>
    <cellStyle name="Примечание 2 4 2 4 3 2 2" xfId="6714" xr:uid="{00000000-0005-0000-0000-00008E1D0000}"/>
    <cellStyle name="Примечание 2 4 2 4 3 2 3" xfId="10723" xr:uid="{96866EE5-DF82-4380-8C7F-134B979D41E7}"/>
    <cellStyle name="Примечание 2 4 2 4 3 3" xfId="3957" xr:uid="{00000000-0005-0000-0000-00008F1D0000}"/>
    <cellStyle name="Примечание 2 4 2 4 3 3 2" xfId="7851" xr:uid="{00000000-0005-0000-0000-0000901D0000}"/>
    <cellStyle name="Примечание 2 4 2 4 3 3 3" xfId="11860" xr:uid="{755584A4-5A4D-4724-9550-327E3B5F51C2}"/>
    <cellStyle name="Примечание 2 4 2 4 3 4" xfId="4739" xr:uid="{00000000-0005-0000-0000-0000911D0000}"/>
    <cellStyle name="Примечание 2 4 2 4 3 5" xfId="8748" xr:uid="{A1461337-FAEB-45A6-BCF3-58DFC2C08215}"/>
    <cellStyle name="Примечание 2 4 2 4 3 6" xfId="12639" xr:uid="{FDC58914-BA1E-4056-9F65-A97F8F03DDF3}"/>
    <cellStyle name="Примечание 2 4 2 4 4" xfId="1147" xr:uid="{00000000-0005-0000-0000-0000921D0000}"/>
    <cellStyle name="Примечание 2 4 2 4 4 2" xfId="5048" xr:uid="{00000000-0005-0000-0000-0000931D0000}"/>
    <cellStyle name="Примечание 2 4 2 4 4 3" xfId="9057" xr:uid="{864551BB-AA83-4CE6-92DF-0F3397E5FB9C}"/>
    <cellStyle name="Примечание 2 4 2 4 4 4" xfId="12948" xr:uid="{F5B14819-A436-4B9D-9BEE-9E4A89B3ACC6}"/>
    <cellStyle name="Примечание 2 4 2 4 5" xfId="2817" xr:uid="{00000000-0005-0000-0000-0000941D0000}"/>
    <cellStyle name="Примечание 2 4 2 4 5 2" xfId="6711" xr:uid="{00000000-0005-0000-0000-0000951D0000}"/>
    <cellStyle name="Примечание 2 4 2 4 5 3" xfId="10720" xr:uid="{4D4B29ED-3B57-42D9-BE96-695FB68E7CB1}"/>
    <cellStyle name="Примечание 2 4 2 4 6" xfId="3092" xr:uid="{00000000-0005-0000-0000-0000961D0000}"/>
    <cellStyle name="Примечание 2 4 2 4 6 2" xfId="6986" xr:uid="{00000000-0005-0000-0000-0000971D0000}"/>
    <cellStyle name="Примечание 2 4 2 4 6 3" xfId="10995" xr:uid="{717962DE-E739-4E29-8979-D7DF6B5AF4F8}"/>
    <cellStyle name="Примечание 2 4 2 4 7" xfId="4270" xr:uid="{00000000-0005-0000-0000-0000981D0000}"/>
    <cellStyle name="Примечание 2 4 2 4 8" xfId="8279" xr:uid="{EAB53E5B-BD91-440A-997C-9B1503B6AF8C}"/>
    <cellStyle name="Примечание 2 4 2 4 9" xfId="12170" xr:uid="{C134AEE8-C9F5-4B13-AB44-4757F86D9ECD}"/>
    <cellStyle name="Примечание 2 4 2 5" xfId="522" xr:uid="{00000000-0005-0000-0000-0000991D0000}"/>
    <cellStyle name="Примечание 2 4 2 5 2" xfId="871" xr:uid="{00000000-0005-0000-0000-00009A1D0000}"/>
    <cellStyle name="Примечание 2 4 2 5 2 2" xfId="2822" xr:uid="{00000000-0005-0000-0000-00009B1D0000}"/>
    <cellStyle name="Примечание 2 4 2 5 2 2 2" xfId="6716" xr:uid="{00000000-0005-0000-0000-00009C1D0000}"/>
    <cellStyle name="Примечание 2 4 2 5 2 2 3" xfId="10725" xr:uid="{F482586E-3ACB-4E33-8069-EE92A7225254}"/>
    <cellStyle name="Примечание 2 4 2 5 2 3" xfId="3990" xr:uid="{00000000-0005-0000-0000-00009D1D0000}"/>
    <cellStyle name="Примечание 2 4 2 5 2 3 2" xfId="7884" xr:uid="{00000000-0005-0000-0000-00009E1D0000}"/>
    <cellStyle name="Примечание 2 4 2 5 2 3 3" xfId="11893" xr:uid="{1C77B4F4-D8E3-4B58-A085-BFD92F9935D0}"/>
    <cellStyle name="Примечание 2 4 2 5 2 4" xfId="4772" xr:uid="{00000000-0005-0000-0000-00009F1D0000}"/>
    <cellStyle name="Примечание 2 4 2 5 2 5" xfId="8781" xr:uid="{8DC0BC79-BBB1-480F-9DCC-54909DF9AC39}"/>
    <cellStyle name="Примечание 2 4 2 5 2 6" xfId="12672" xr:uid="{35FCA44E-5082-42B8-A21E-23B416B2BEA5}"/>
    <cellStyle name="Примечание 2 4 2 5 3" xfId="1303" xr:uid="{00000000-0005-0000-0000-0000A01D0000}"/>
    <cellStyle name="Примечание 2 4 2 5 3 2" xfId="5204" xr:uid="{00000000-0005-0000-0000-0000A11D0000}"/>
    <cellStyle name="Примечание 2 4 2 5 3 3" xfId="9213" xr:uid="{FB93C9C4-78D7-48F8-992D-3E295EBF7064}"/>
    <cellStyle name="Примечание 2 4 2 5 3 4" xfId="13104" xr:uid="{05BDF909-BDE9-407F-BD5E-0794B4C86A19}"/>
    <cellStyle name="Примечание 2 4 2 5 4" xfId="2821" xr:uid="{00000000-0005-0000-0000-0000A21D0000}"/>
    <cellStyle name="Примечание 2 4 2 5 4 2" xfId="6715" xr:uid="{00000000-0005-0000-0000-0000A31D0000}"/>
    <cellStyle name="Примечание 2 4 2 5 4 3" xfId="10724" xr:uid="{0E4AEB81-CA87-49E4-B295-B56E4F36E08A}"/>
    <cellStyle name="Примечание 2 4 2 5 5" xfId="3248" xr:uid="{00000000-0005-0000-0000-0000A41D0000}"/>
    <cellStyle name="Примечание 2 4 2 5 5 2" xfId="7142" xr:uid="{00000000-0005-0000-0000-0000A51D0000}"/>
    <cellStyle name="Примечание 2 4 2 5 5 3" xfId="11151" xr:uid="{4E4B5F5F-D758-42FD-BEE7-294C618CAD0F}"/>
    <cellStyle name="Примечание 2 4 2 5 6" xfId="4426" xr:uid="{00000000-0005-0000-0000-0000A61D0000}"/>
    <cellStyle name="Примечание 2 4 2 5 7" xfId="8435" xr:uid="{FC9B16F8-9BF9-4BCF-8A5A-3BD775BD90B5}"/>
    <cellStyle name="Примечание 2 4 2 5 8" xfId="12326" xr:uid="{5E90068E-57C5-4C99-AE95-D8EA25246DDC}"/>
    <cellStyle name="Примечание 2 4 2 6" xfId="805" xr:uid="{00000000-0005-0000-0000-0000A71D0000}"/>
    <cellStyle name="Примечание 2 4 2 6 2" xfId="2823" xr:uid="{00000000-0005-0000-0000-0000A81D0000}"/>
    <cellStyle name="Примечание 2 4 2 6 2 2" xfId="6717" xr:uid="{00000000-0005-0000-0000-0000A91D0000}"/>
    <cellStyle name="Примечание 2 4 2 6 2 3" xfId="10726" xr:uid="{AF424950-6D68-438E-9BFB-3C93863C5D31}"/>
    <cellStyle name="Примечание 2 4 2 6 3" xfId="3924" xr:uid="{00000000-0005-0000-0000-0000AA1D0000}"/>
    <cellStyle name="Примечание 2 4 2 6 3 2" xfId="7818" xr:uid="{00000000-0005-0000-0000-0000AB1D0000}"/>
    <cellStyle name="Примечание 2 4 2 6 3 3" xfId="11827" xr:uid="{C6A47061-CA5B-4E9E-9FDB-117DBFE548DF}"/>
    <cellStyle name="Примечание 2 4 2 6 4" xfId="4706" xr:uid="{00000000-0005-0000-0000-0000AC1D0000}"/>
    <cellStyle name="Примечание 2 4 2 6 5" xfId="8715" xr:uid="{58406086-41EB-4752-BEC2-E6A74B9A6967}"/>
    <cellStyle name="Примечание 2 4 2 6 6" xfId="12606" xr:uid="{D643AF50-6D3C-4893-8081-0480D1CE865D}"/>
    <cellStyle name="Примечание 2 4 2 7" xfId="982" xr:uid="{00000000-0005-0000-0000-0000AD1D0000}"/>
    <cellStyle name="Примечание 2 4 2 7 2" xfId="4883" xr:uid="{00000000-0005-0000-0000-0000AE1D0000}"/>
    <cellStyle name="Примечание 2 4 2 7 3" xfId="8892" xr:uid="{A5980BC9-C9DD-4301-BD9B-CD60DE21AB22}"/>
    <cellStyle name="Примечание 2 4 2 7 4" xfId="12783" xr:uid="{413F43E0-6380-45DB-B858-61D4B6F073A0}"/>
    <cellStyle name="Примечание 2 4 2 8" xfId="2800" xr:uid="{00000000-0005-0000-0000-0000AF1D0000}"/>
    <cellStyle name="Примечание 2 4 2 8 2" xfId="6694" xr:uid="{00000000-0005-0000-0000-0000B01D0000}"/>
    <cellStyle name="Примечание 2 4 2 8 3" xfId="10703" xr:uid="{693BFFD0-055F-4D1C-AF35-59F6CE178066}"/>
    <cellStyle name="Примечание 2 4 2 9" xfId="2927" xr:uid="{00000000-0005-0000-0000-0000B11D0000}"/>
    <cellStyle name="Примечание 2 4 2 9 2" xfId="6821" xr:uid="{00000000-0005-0000-0000-0000B21D0000}"/>
    <cellStyle name="Примечание 2 4 2 9 3" xfId="10830" xr:uid="{717A2A34-6F5B-46D9-B481-62E2C865B8B0}"/>
    <cellStyle name="Примечание 2 4 3" xfId="247" xr:uid="{00000000-0005-0000-0000-0000B31D0000}"/>
    <cellStyle name="Примечание 2 4 3 10" xfId="12060" xr:uid="{45821A4E-440A-40DD-B378-9B2DCA4D6723}"/>
    <cellStyle name="Примечание 2 4 3 11" xfId="13496" xr:uid="{BF1C1110-E3AE-4614-87A6-27E737482009}"/>
    <cellStyle name="Примечание 2 4 3 2" xfId="405" xr:uid="{00000000-0005-0000-0000-0000B41D0000}"/>
    <cellStyle name="Примечание 2 4 3 2 2" xfId="735" xr:uid="{00000000-0005-0000-0000-0000B51D0000}"/>
    <cellStyle name="Примечание 2 4 3 2 2 2" xfId="916" xr:uid="{00000000-0005-0000-0000-0000B61D0000}"/>
    <cellStyle name="Примечание 2 4 3 2 2 2 2" xfId="2827" xr:uid="{00000000-0005-0000-0000-0000B71D0000}"/>
    <cellStyle name="Примечание 2 4 3 2 2 2 2 2" xfId="6721" xr:uid="{00000000-0005-0000-0000-0000B81D0000}"/>
    <cellStyle name="Примечание 2 4 3 2 2 2 2 3" xfId="10730" xr:uid="{1AC5C092-6B61-4D49-9A7D-F2C49E611589}"/>
    <cellStyle name="Примечание 2 4 3 2 2 2 3" xfId="4035" xr:uid="{00000000-0005-0000-0000-0000B91D0000}"/>
    <cellStyle name="Примечание 2 4 3 2 2 2 3 2" xfId="7929" xr:uid="{00000000-0005-0000-0000-0000BA1D0000}"/>
    <cellStyle name="Примечание 2 4 3 2 2 2 3 3" xfId="11938" xr:uid="{16569CD9-7807-4C87-8BE1-DF1B42161116}"/>
    <cellStyle name="Примечание 2 4 3 2 2 2 4" xfId="4817" xr:uid="{00000000-0005-0000-0000-0000BB1D0000}"/>
    <cellStyle name="Примечание 2 4 3 2 2 2 5" xfId="8826" xr:uid="{FF3C5F20-246F-4958-AC99-D75FC95AB195}"/>
    <cellStyle name="Примечание 2 4 3 2 2 2 6" xfId="12717" xr:uid="{BB357317-87FE-4182-A9F0-3C7186B4AA50}"/>
    <cellStyle name="Примечание 2 4 3 2 2 3" xfId="1516" xr:uid="{00000000-0005-0000-0000-0000BC1D0000}"/>
    <cellStyle name="Примечание 2 4 3 2 2 3 2" xfId="5417" xr:uid="{00000000-0005-0000-0000-0000BD1D0000}"/>
    <cellStyle name="Примечание 2 4 3 2 2 3 3" xfId="9426" xr:uid="{6EF813CE-C8E1-4133-9086-6F266FEF943D}"/>
    <cellStyle name="Примечание 2 4 3 2 2 3 4" xfId="13317" xr:uid="{B78D9694-B556-466B-A689-0AA8AAC3A6BA}"/>
    <cellStyle name="Примечание 2 4 3 2 2 4" xfId="2826" xr:uid="{00000000-0005-0000-0000-0000BE1D0000}"/>
    <cellStyle name="Примечание 2 4 3 2 2 4 2" xfId="6720" xr:uid="{00000000-0005-0000-0000-0000BF1D0000}"/>
    <cellStyle name="Примечание 2 4 3 2 2 4 3" xfId="10729" xr:uid="{6E92B94C-FB86-4A9B-B0E2-8756E61A68E3}"/>
    <cellStyle name="Примечание 2 4 3 2 2 5" xfId="3461" xr:uid="{00000000-0005-0000-0000-0000C01D0000}"/>
    <cellStyle name="Примечание 2 4 3 2 2 5 2" xfId="7355" xr:uid="{00000000-0005-0000-0000-0000C11D0000}"/>
    <cellStyle name="Примечание 2 4 3 2 2 5 3" xfId="11364" xr:uid="{6B864C01-CE4E-4233-A494-E55F096735C2}"/>
    <cellStyle name="Примечание 2 4 3 2 2 6" xfId="4639" xr:uid="{00000000-0005-0000-0000-0000C21D0000}"/>
    <cellStyle name="Примечание 2 4 3 2 2 7" xfId="8648" xr:uid="{22ABDC9C-E8C9-4476-887F-03173FB1AF2A}"/>
    <cellStyle name="Примечание 2 4 3 2 2 8" xfId="12539" xr:uid="{1F8C0908-6273-4F79-BA7B-A1D0DD06C4A1}"/>
    <cellStyle name="Примечание 2 4 3 2 3" xfId="850" xr:uid="{00000000-0005-0000-0000-0000C31D0000}"/>
    <cellStyle name="Примечание 2 4 3 2 3 2" xfId="2828" xr:uid="{00000000-0005-0000-0000-0000C41D0000}"/>
    <cellStyle name="Примечание 2 4 3 2 3 2 2" xfId="6722" xr:uid="{00000000-0005-0000-0000-0000C51D0000}"/>
    <cellStyle name="Примечание 2 4 3 2 3 2 3" xfId="10731" xr:uid="{F562BD38-98EF-483B-8A5D-83F3F9D57153}"/>
    <cellStyle name="Примечание 2 4 3 2 3 3" xfId="3969" xr:uid="{00000000-0005-0000-0000-0000C61D0000}"/>
    <cellStyle name="Примечание 2 4 3 2 3 3 2" xfId="7863" xr:uid="{00000000-0005-0000-0000-0000C71D0000}"/>
    <cellStyle name="Примечание 2 4 3 2 3 3 3" xfId="11872" xr:uid="{E1F7FF6B-1618-4B99-A98A-01E922318F6D}"/>
    <cellStyle name="Примечание 2 4 3 2 3 4" xfId="4751" xr:uid="{00000000-0005-0000-0000-0000C81D0000}"/>
    <cellStyle name="Примечание 2 4 3 2 3 5" xfId="8760" xr:uid="{06B000E7-541D-4D35-AE36-B53A7193BDFB}"/>
    <cellStyle name="Примечание 2 4 3 2 3 6" xfId="12651" xr:uid="{532F6D4E-1F01-43FE-A4E1-9574A7EC0B67}"/>
    <cellStyle name="Примечание 2 4 3 2 4" xfId="1195" xr:uid="{00000000-0005-0000-0000-0000C91D0000}"/>
    <cellStyle name="Примечание 2 4 3 2 4 2" xfId="5096" xr:uid="{00000000-0005-0000-0000-0000CA1D0000}"/>
    <cellStyle name="Примечание 2 4 3 2 4 3" xfId="9105" xr:uid="{7DC50BC2-6D70-41C6-A2B4-33E3B8B204D6}"/>
    <cellStyle name="Примечание 2 4 3 2 4 4" xfId="12996" xr:uid="{1591587E-7B3B-4407-A359-B733825773A3}"/>
    <cellStyle name="Примечание 2 4 3 2 5" xfId="2825" xr:uid="{00000000-0005-0000-0000-0000CB1D0000}"/>
    <cellStyle name="Примечание 2 4 3 2 5 2" xfId="6719" xr:uid="{00000000-0005-0000-0000-0000CC1D0000}"/>
    <cellStyle name="Примечание 2 4 3 2 5 3" xfId="10728" xr:uid="{C83B8239-34DC-472C-BC98-E0AE44E85430}"/>
    <cellStyle name="Примечание 2 4 3 2 6" xfId="3140" xr:uid="{00000000-0005-0000-0000-0000CD1D0000}"/>
    <cellStyle name="Примечание 2 4 3 2 6 2" xfId="7034" xr:uid="{00000000-0005-0000-0000-0000CE1D0000}"/>
    <cellStyle name="Примечание 2 4 3 2 6 3" xfId="11043" xr:uid="{7DE4456C-3126-470C-8B4D-52581985BBF8}"/>
    <cellStyle name="Примечание 2 4 3 2 7" xfId="4318" xr:uid="{00000000-0005-0000-0000-0000CF1D0000}"/>
    <cellStyle name="Примечание 2 4 3 2 8" xfId="8327" xr:uid="{E6992CFA-5607-4424-8CD3-B1287851B289}"/>
    <cellStyle name="Примечание 2 4 3 2 9" xfId="12218" xr:uid="{415BB0AE-1ECD-45A4-9FAB-7A77A7E15108}"/>
    <cellStyle name="Примечание 2 4 3 3" xfId="577" xr:uid="{00000000-0005-0000-0000-0000D01D0000}"/>
    <cellStyle name="Примечание 2 4 3 3 2" xfId="883" xr:uid="{00000000-0005-0000-0000-0000D11D0000}"/>
    <cellStyle name="Примечание 2 4 3 3 2 2" xfId="2830" xr:uid="{00000000-0005-0000-0000-0000D21D0000}"/>
    <cellStyle name="Примечание 2 4 3 3 2 2 2" xfId="6724" xr:uid="{00000000-0005-0000-0000-0000D31D0000}"/>
    <cellStyle name="Примечание 2 4 3 3 2 2 3" xfId="10733" xr:uid="{BD23D110-EC42-4B3F-824B-768CB80FC59E}"/>
    <cellStyle name="Примечание 2 4 3 3 2 3" xfId="4002" xr:uid="{00000000-0005-0000-0000-0000D41D0000}"/>
    <cellStyle name="Примечание 2 4 3 3 2 3 2" xfId="7896" xr:uid="{00000000-0005-0000-0000-0000D51D0000}"/>
    <cellStyle name="Примечание 2 4 3 3 2 3 3" xfId="11905" xr:uid="{07EFF386-A955-4E78-9931-7DEC336778CE}"/>
    <cellStyle name="Примечание 2 4 3 3 2 4" xfId="4784" xr:uid="{00000000-0005-0000-0000-0000D61D0000}"/>
    <cellStyle name="Примечание 2 4 3 3 2 5" xfId="8793" xr:uid="{688EB0A6-0E7E-4409-A8F5-ECA513DB2B38}"/>
    <cellStyle name="Примечание 2 4 3 3 2 6" xfId="12684" xr:uid="{ECB8F738-0B72-4E5B-8083-E55932B91FA8}"/>
    <cellStyle name="Примечание 2 4 3 3 3" xfId="1358" xr:uid="{00000000-0005-0000-0000-0000D71D0000}"/>
    <cellStyle name="Примечание 2 4 3 3 3 2" xfId="5259" xr:uid="{00000000-0005-0000-0000-0000D81D0000}"/>
    <cellStyle name="Примечание 2 4 3 3 3 3" xfId="9268" xr:uid="{2305A2BF-99BA-4E57-94AF-2B6B4C18E0C2}"/>
    <cellStyle name="Примечание 2 4 3 3 3 4" xfId="13159" xr:uid="{2B865C8E-22DD-4D0C-A6A1-E809071BFEF3}"/>
    <cellStyle name="Примечание 2 4 3 3 4" xfId="2829" xr:uid="{00000000-0005-0000-0000-0000D91D0000}"/>
    <cellStyle name="Примечание 2 4 3 3 4 2" xfId="6723" xr:uid="{00000000-0005-0000-0000-0000DA1D0000}"/>
    <cellStyle name="Примечание 2 4 3 3 4 3" xfId="10732" xr:uid="{7AC12B32-1FC4-4F05-9EE3-6BDCD54C7869}"/>
    <cellStyle name="Примечание 2 4 3 3 5" xfId="3303" xr:uid="{00000000-0005-0000-0000-0000DB1D0000}"/>
    <cellStyle name="Примечание 2 4 3 3 5 2" xfId="7197" xr:uid="{00000000-0005-0000-0000-0000DC1D0000}"/>
    <cellStyle name="Примечание 2 4 3 3 5 3" xfId="11206" xr:uid="{5645243F-5022-4634-AA66-D7D350EA97D3}"/>
    <cellStyle name="Примечание 2 4 3 3 6" xfId="4481" xr:uid="{00000000-0005-0000-0000-0000DD1D0000}"/>
    <cellStyle name="Примечание 2 4 3 3 7" xfId="8490" xr:uid="{CEA0467E-D387-4F91-B9DB-8AD2CDBBD7EB}"/>
    <cellStyle name="Примечание 2 4 3 3 8" xfId="12381" xr:uid="{535038D5-299D-4CC3-A878-2083E7B0374B}"/>
    <cellStyle name="Примечание 2 4 3 4" xfId="817" xr:uid="{00000000-0005-0000-0000-0000DE1D0000}"/>
    <cellStyle name="Примечание 2 4 3 4 2" xfId="2831" xr:uid="{00000000-0005-0000-0000-0000DF1D0000}"/>
    <cellStyle name="Примечание 2 4 3 4 2 2" xfId="6725" xr:uid="{00000000-0005-0000-0000-0000E01D0000}"/>
    <cellStyle name="Примечание 2 4 3 4 2 3" xfId="10734" xr:uid="{E5B1353A-4ED9-48C3-9A19-D948FD1651B2}"/>
    <cellStyle name="Примечание 2 4 3 4 3" xfId="3936" xr:uid="{00000000-0005-0000-0000-0000E11D0000}"/>
    <cellStyle name="Примечание 2 4 3 4 3 2" xfId="7830" xr:uid="{00000000-0005-0000-0000-0000E21D0000}"/>
    <cellStyle name="Примечание 2 4 3 4 3 3" xfId="11839" xr:uid="{9599300E-D3AD-4F54-824B-C1644CDD8449}"/>
    <cellStyle name="Примечание 2 4 3 4 4" xfId="4718" xr:uid="{00000000-0005-0000-0000-0000E31D0000}"/>
    <cellStyle name="Примечание 2 4 3 4 5" xfId="8727" xr:uid="{8640CCF3-1410-4069-80E8-EAC9D772EE2D}"/>
    <cellStyle name="Примечание 2 4 3 4 6" xfId="12618" xr:uid="{AC8E9012-59DA-4762-A0B6-32E32B68E0AF}"/>
    <cellStyle name="Примечание 2 4 3 5" xfId="1037" xr:uid="{00000000-0005-0000-0000-0000E41D0000}"/>
    <cellStyle name="Примечание 2 4 3 5 2" xfId="4938" xr:uid="{00000000-0005-0000-0000-0000E51D0000}"/>
    <cellStyle name="Примечание 2 4 3 5 3" xfId="8947" xr:uid="{70D712DD-774C-476A-8656-A5FDF55D58D2}"/>
    <cellStyle name="Примечание 2 4 3 5 4" xfId="12838" xr:uid="{7F42578B-DC67-4BFB-BB66-76B979B59ACE}"/>
    <cellStyle name="Примечание 2 4 3 6" xfId="2824" xr:uid="{00000000-0005-0000-0000-0000E61D0000}"/>
    <cellStyle name="Примечание 2 4 3 6 2" xfId="6718" xr:uid="{00000000-0005-0000-0000-0000E71D0000}"/>
    <cellStyle name="Примечание 2 4 3 6 3" xfId="10727" xr:uid="{C8DD2FF3-55EC-4B56-8208-9336DE2E36EA}"/>
    <cellStyle name="Примечание 2 4 3 7" xfId="2982" xr:uid="{00000000-0005-0000-0000-0000E81D0000}"/>
    <cellStyle name="Примечание 2 4 3 7 2" xfId="6876" xr:uid="{00000000-0005-0000-0000-0000E91D0000}"/>
    <cellStyle name="Примечание 2 4 3 7 3" xfId="10885" xr:uid="{84F463A4-5C66-4029-B70A-C69F56B344EE}"/>
    <cellStyle name="Примечание 2 4 3 8" xfId="4160" xr:uid="{00000000-0005-0000-0000-0000EA1D0000}"/>
    <cellStyle name="Примечание 2 4 3 9" xfId="8169" xr:uid="{7F37D80D-531A-456B-A6C6-965F07204E42}"/>
    <cellStyle name="Примечание 2 4 4" xfId="197" xr:uid="{00000000-0005-0000-0000-0000EB1D0000}"/>
    <cellStyle name="Примечание 2 4 4 10" xfId="12010" xr:uid="{91A1621A-5AAE-42D2-B3BB-E9DE1B58B083}"/>
    <cellStyle name="Примечание 2 4 4 11" xfId="13446" xr:uid="{78B36F9C-A7CC-4E27-891B-AB9FF5915611}"/>
    <cellStyle name="Примечание 2 4 4 2" xfId="361" xr:uid="{00000000-0005-0000-0000-0000EC1D0000}"/>
    <cellStyle name="Примечание 2 4 4 2 2" xfId="691" xr:uid="{00000000-0005-0000-0000-0000ED1D0000}"/>
    <cellStyle name="Примечание 2 4 4 2 2 2" xfId="905" xr:uid="{00000000-0005-0000-0000-0000EE1D0000}"/>
    <cellStyle name="Примечание 2 4 4 2 2 2 2" xfId="2835" xr:uid="{00000000-0005-0000-0000-0000EF1D0000}"/>
    <cellStyle name="Примечание 2 4 4 2 2 2 2 2" xfId="6729" xr:uid="{00000000-0005-0000-0000-0000F01D0000}"/>
    <cellStyle name="Примечание 2 4 4 2 2 2 2 3" xfId="10738" xr:uid="{A142E9F3-9C79-453C-B06C-BC7857D507DB}"/>
    <cellStyle name="Примечание 2 4 4 2 2 2 3" xfId="4024" xr:uid="{00000000-0005-0000-0000-0000F11D0000}"/>
    <cellStyle name="Примечание 2 4 4 2 2 2 3 2" xfId="7918" xr:uid="{00000000-0005-0000-0000-0000F21D0000}"/>
    <cellStyle name="Примечание 2 4 4 2 2 2 3 3" xfId="11927" xr:uid="{BB9ED854-9ADC-4B6C-8A89-C3CF2098B462}"/>
    <cellStyle name="Примечание 2 4 4 2 2 2 4" xfId="4806" xr:uid="{00000000-0005-0000-0000-0000F31D0000}"/>
    <cellStyle name="Примечание 2 4 4 2 2 2 5" xfId="8815" xr:uid="{26FA15D0-90FF-4E9A-87D0-F8FD7A4A0E62}"/>
    <cellStyle name="Примечание 2 4 4 2 2 2 6" xfId="12706" xr:uid="{94DA7AB7-E3BB-4C61-897D-959A9742DB67}"/>
    <cellStyle name="Примечание 2 4 4 2 2 3" xfId="1472" xr:uid="{00000000-0005-0000-0000-0000F41D0000}"/>
    <cellStyle name="Примечание 2 4 4 2 2 3 2" xfId="5373" xr:uid="{00000000-0005-0000-0000-0000F51D0000}"/>
    <cellStyle name="Примечание 2 4 4 2 2 3 3" xfId="9382" xr:uid="{643B79B2-71C9-41AF-B616-BE7B796DA35B}"/>
    <cellStyle name="Примечание 2 4 4 2 2 3 4" xfId="13273" xr:uid="{6AD7B464-244E-4409-A1D7-6EC577C13392}"/>
    <cellStyle name="Примечание 2 4 4 2 2 4" xfId="2834" xr:uid="{00000000-0005-0000-0000-0000F61D0000}"/>
    <cellStyle name="Примечание 2 4 4 2 2 4 2" xfId="6728" xr:uid="{00000000-0005-0000-0000-0000F71D0000}"/>
    <cellStyle name="Примечание 2 4 4 2 2 4 3" xfId="10737" xr:uid="{5EC4B243-8653-4A65-B1C0-0A30B791408A}"/>
    <cellStyle name="Примечание 2 4 4 2 2 5" xfId="3417" xr:uid="{00000000-0005-0000-0000-0000F81D0000}"/>
    <cellStyle name="Примечание 2 4 4 2 2 5 2" xfId="7311" xr:uid="{00000000-0005-0000-0000-0000F91D0000}"/>
    <cellStyle name="Примечание 2 4 4 2 2 5 3" xfId="11320" xr:uid="{CF64193A-B56B-4B0D-BB36-212D42171832}"/>
    <cellStyle name="Примечание 2 4 4 2 2 6" xfId="4595" xr:uid="{00000000-0005-0000-0000-0000FA1D0000}"/>
    <cellStyle name="Примечание 2 4 4 2 2 7" xfId="8604" xr:uid="{C185FF2D-8C08-4B9A-929B-4F46EA3A7734}"/>
    <cellStyle name="Примечание 2 4 4 2 2 8" xfId="12495" xr:uid="{F7059693-DE56-4173-87CD-957DF5F0886F}"/>
    <cellStyle name="Примечание 2 4 4 2 3" xfId="839" xr:uid="{00000000-0005-0000-0000-0000FB1D0000}"/>
    <cellStyle name="Примечание 2 4 4 2 3 2" xfId="2836" xr:uid="{00000000-0005-0000-0000-0000FC1D0000}"/>
    <cellStyle name="Примечание 2 4 4 2 3 2 2" xfId="6730" xr:uid="{00000000-0005-0000-0000-0000FD1D0000}"/>
    <cellStyle name="Примечание 2 4 4 2 3 2 3" xfId="10739" xr:uid="{6B5CD832-A915-420D-B935-2338E4E9391C}"/>
    <cellStyle name="Примечание 2 4 4 2 3 3" xfId="3958" xr:uid="{00000000-0005-0000-0000-0000FE1D0000}"/>
    <cellStyle name="Примечание 2 4 4 2 3 3 2" xfId="7852" xr:uid="{00000000-0005-0000-0000-0000FF1D0000}"/>
    <cellStyle name="Примечание 2 4 4 2 3 3 3" xfId="11861" xr:uid="{E114CFA2-60F8-454C-8EB3-43274A52124F}"/>
    <cellStyle name="Примечание 2 4 4 2 3 4" xfId="4740" xr:uid="{00000000-0005-0000-0000-0000001E0000}"/>
    <cellStyle name="Примечание 2 4 4 2 3 5" xfId="8749" xr:uid="{3CCED328-CCAB-4245-8641-7B0037B21425}"/>
    <cellStyle name="Примечание 2 4 4 2 3 6" xfId="12640" xr:uid="{0E082E11-3C7C-454C-9277-85E6CD3052AE}"/>
    <cellStyle name="Примечание 2 4 4 2 4" xfId="1151" xr:uid="{00000000-0005-0000-0000-0000011E0000}"/>
    <cellStyle name="Примечание 2 4 4 2 4 2" xfId="5052" xr:uid="{00000000-0005-0000-0000-0000021E0000}"/>
    <cellStyle name="Примечание 2 4 4 2 4 3" xfId="9061" xr:uid="{C2A28B1B-FB9D-4DED-8632-836BAFF023CF}"/>
    <cellStyle name="Примечание 2 4 4 2 4 4" xfId="12952" xr:uid="{934E94CA-3CAE-45B0-AB59-A513034CE72C}"/>
    <cellStyle name="Примечание 2 4 4 2 5" xfId="2833" xr:uid="{00000000-0005-0000-0000-0000031E0000}"/>
    <cellStyle name="Примечание 2 4 4 2 5 2" xfId="6727" xr:uid="{00000000-0005-0000-0000-0000041E0000}"/>
    <cellStyle name="Примечание 2 4 4 2 5 3" xfId="10736" xr:uid="{0C1E1DA1-06A1-466A-87C8-275E03E6DB57}"/>
    <cellStyle name="Примечание 2 4 4 2 6" xfId="3096" xr:uid="{00000000-0005-0000-0000-0000051E0000}"/>
    <cellStyle name="Примечание 2 4 4 2 6 2" xfId="6990" xr:uid="{00000000-0005-0000-0000-0000061E0000}"/>
    <cellStyle name="Примечание 2 4 4 2 6 3" xfId="10999" xr:uid="{EFFBE30B-BBB0-4B54-BD3C-27402D7C00F7}"/>
    <cellStyle name="Примечание 2 4 4 2 7" xfId="4274" xr:uid="{00000000-0005-0000-0000-0000071E0000}"/>
    <cellStyle name="Примечание 2 4 4 2 8" xfId="8283" xr:uid="{57CF4151-B2E3-4EF1-9BB1-DBA12B34DE71}"/>
    <cellStyle name="Примечание 2 4 4 2 9" xfId="12174" xr:uid="{5A48307A-8A69-421C-8640-AEF8025E809E}"/>
    <cellStyle name="Примечание 2 4 4 3" xfId="527" xr:uid="{00000000-0005-0000-0000-0000081E0000}"/>
    <cellStyle name="Примечание 2 4 4 3 2" xfId="872" xr:uid="{00000000-0005-0000-0000-0000091E0000}"/>
    <cellStyle name="Примечание 2 4 4 3 2 2" xfId="2838" xr:uid="{00000000-0005-0000-0000-00000A1E0000}"/>
    <cellStyle name="Примечание 2 4 4 3 2 2 2" xfId="6732" xr:uid="{00000000-0005-0000-0000-00000B1E0000}"/>
    <cellStyle name="Примечание 2 4 4 3 2 2 3" xfId="10741" xr:uid="{BE164BFE-7604-45DF-8B08-2EBA1FE26FFE}"/>
    <cellStyle name="Примечание 2 4 4 3 2 3" xfId="3991" xr:uid="{00000000-0005-0000-0000-00000C1E0000}"/>
    <cellStyle name="Примечание 2 4 4 3 2 3 2" xfId="7885" xr:uid="{00000000-0005-0000-0000-00000D1E0000}"/>
    <cellStyle name="Примечание 2 4 4 3 2 3 3" xfId="11894" xr:uid="{422B049C-6D07-440E-8D4A-E8A195995F24}"/>
    <cellStyle name="Примечание 2 4 4 3 2 4" xfId="4773" xr:uid="{00000000-0005-0000-0000-00000E1E0000}"/>
    <cellStyle name="Примечание 2 4 4 3 2 5" xfId="8782" xr:uid="{CAA27B2F-C561-4841-972C-5CEF1363C966}"/>
    <cellStyle name="Примечание 2 4 4 3 2 6" xfId="12673" xr:uid="{A3FA7856-346F-4FB9-9E66-3690BF0B3C78}"/>
    <cellStyle name="Примечание 2 4 4 3 3" xfId="1308" xr:uid="{00000000-0005-0000-0000-00000F1E0000}"/>
    <cellStyle name="Примечание 2 4 4 3 3 2" xfId="5209" xr:uid="{00000000-0005-0000-0000-0000101E0000}"/>
    <cellStyle name="Примечание 2 4 4 3 3 3" xfId="9218" xr:uid="{B6A886CB-98B1-45BB-B0C5-3E272C1C2D20}"/>
    <cellStyle name="Примечание 2 4 4 3 3 4" xfId="13109" xr:uid="{39BBF082-E797-4D6D-ACEF-9DF7CBD988ED}"/>
    <cellStyle name="Примечание 2 4 4 3 4" xfId="2837" xr:uid="{00000000-0005-0000-0000-0000111E0000}"/>
    <cellStyle name="Примечание 2 4 4 3 4 2" xfId="6731" xr:uid="{00000000-0005-0000-0000-0000121E0000}"/>
    <cellStyle name="Примечание 2 4 4 3 4 3" xfId="10740" xr:uid="{7D6B9C08-FF07-452A-A863-FC418CE0CEC0}"/>
    <cellStyle name="Примечание 2 4 4 3 5" xfId="3253" xr:uid="{00000000-0005-0000-0000-0000131E0000}"/>
    <cellStyle name="Примечание 2 4 4 3 5 2" xfId="7147" xr:uid="{00000000-0005-0000-0000-0000141E0000}"/>
    <cellStyle name="Примечание 2 4 4 3 5 3" xfId="11156" xr:uid="{E0DE0D1C-D6D9-466E-9262-55BB988AC8FD}"/>
    <cellStyle name="Примечание 2 4 4 3 6" xfId="4431" xr:uid="{00000000-0005-0000-0000-0000151E0000}"/>
    <cellStyle name="Примечание 2 4 4 3 7" xfId="8440" xr:uid="{201ED92E-2246-4E94-812D-A374ABC2CAB7}"/>
    <cellStyle name="Примечание 2 4 4 3 8" xfId="12331" xr:uid="{A07A1622-9683-445A-9B15-F8CFDB5B755E}"/>
    <cellStyle name="Примечание 2 4 4 4" xfId="806" xr:uid="{00000000-0005-0000-0000-0000161E0000}"/>
    <cellStyle name="Примечание 2 4 4 4 2" xfId="2839" xr:uid="{00000000-0005-0000-0000-0000171E0000}"/>
    <cellStyle name="Примечание 2 4 4 4 2 2" xfId="6733" xr:uid="{00000000-0005-0000-0000-0000181E0000}"/>
    <cellStyle name="Примечание 2 4 4 4 2 3" xfId="10742" xr:uid="{723F4D26-AE3F-4BB3-85D6-F430CDF9D452}"/>
    <cellStyle name="Примечание 2 4 4 4 3" xfId="3925" xr:uid="{00000000-0005-0000-0000-0000191E0000}"/>
    <cellStyle name="Примечание 2 4 4 4 3 2" xfId="7819" xr:uid="{00000000-0005-0000-0000-00001A1E0000}"/>
    <cellStyle name="Примечание 2 4 4 4 3 3" xfId="11828" xr:uid="{14B575D3-0D46-4522-AF58-7ED6763645C1}"/>
    <cellStyle name="Примечание 2 4 4 4 4" xfId="4707" xr:uid="{00000000-0005-0000-0000-00001B1E0000}"/>
    <cellStyle name="Примечание 2 4 4 4 5" xfId="8716" xr:uid="{A6769239-9D4E-4CAA-854F-10E5F606CC9D}"/>
    <cellStyle name="Примечание 2 4 4 4 6" xfId="12607" xr:uid="{B3240CAF-164C-4CD5-B70C-0B86EE883719}"/>
    <cellStyle name="Примечание 2 4 4 5" xfId="987" xr:uid="{00000000-0005-0000-0000-00001C1E0000}"/>
    <cellStyle name="Примечание 2 4 4 5 2" xfId="4888" xr:uid="{00000000-0005-0000-0000-00001D1E0000}"/>
    <cellStyle name="Примечание 2 4 4 5 3" xfId="8897" xr:uid="{661FA6D1-3674-48C1-95B6-CFC70978AE08}"/>
    <cellStyle name="Примечание 2 4 4 5 4" xfId="12788" xr:uid="{569ACE88-769C-4C14-BFD2-38F679EC9FD2}"/>
    <cellStyle name="Примечание 2 4 4 6" xfId="2832" xr:uid="{00000000-0005-0000-0000-00001E1E0000}"/>
    <cellStyle name="Примечание 2 4 4 6 2" xfId="6726" xr:uid="{00000000-0005-0000-0000-00001F1E0000}"/>
    <cellStyle name="Примечание 2 4 4 6 3" xfId="10735" xr:uid="{0DCE7E36-33DC-4F3D-96E5-62F184795156}"/>
    <cellStyle name="Примечание 2 4 4 7" xfId="2932" xr:uid="{00000000-0005-0000-0000-0000201E0000}"/>
    <cellStyle name="Примечание 2 4 4 7 2" xfId="6826" xr:uid="{00000000-0005-0000-0000-0000211E0000}"/>
    <cellStyle name="Примечание 2 4 4 7 3" xfId="10835" xr:uid="{F56917A0-AD46-4BFE-924E-CB1A8671CE4F}"/>
    <cellStyle name="Примечание 2 4 4 8" xfId="4110" xr:uid="{00000000-0005-0000-0000-0000221E0000}"/>
    <cellStyle name="Примечание 2 4 4 9" xfId="8119" xr:uid="{A664BE48-9C2D-4CA9-9469-1512649E2E3A}"/>
    <cellStyle name="Примечание 2 4 5" xfId="323" xr:uid="{00000000-0005-0000-0000-0000231E0000}"/>
    <cellStyle name="Примечание 2 4 5 2" xfId="653" xr:uid="{00000000-0005-0000-0000-0000241E0000}"/>
    <cellStyle name="Примечание 2 4 5 2 2" xfId="898" xr:uid="{00000000-0005-0000-0000-0000251E0000}"/>
    <cellStyle name="Примечание 2 4 5 2 2 2" xfId="2842" xr:uid="{00000000-0005-0000-0000-0000261E0000}"/>
    <cellStyle name="Примечание 2 4 5 2 2 2 2" xfId="6736" xr:uid="{00000000-0005-0000-0000-0000271E0000}"/>
    <cellStyle name="Примечание 2 4 5 2 2 2 3" xfId="10745" xr:uid="{6E3F6F38-1939-4EDA-BFF4-01E6E08EE595}"/>
    <cellStyle name="Примечание 2 4 5 2 2 3" xfId="4017" xr:uid="{00000000-0005-0000-0000-0000281E0000}"/>
    <cellStyle name="Примечание 2 4 5 2 2 3 2" xfId="7911" xr:uid="{00000000-0005-0000-0000-0000291E0000}"/>
    <cellStyle name="Примечание 2 4 5 2 2 3 3" xfId="11920" xr:uid="{F9A0801A-631E-4CB9-9F5A-8A4B4D8C737D}"/>
    <cellStyle name="Примечание 2 4 5 2 2 4" xfId="4799" xr:uid="{00000000-0005-0000-0000-00002A1E0000}"/>
    <cellStyle name="Примечание 2 4 5 2 2 5" xfId="8808" xr:uid="{32C152F7-FEDF-4DCF-AEC9-9FF4EEA369BF}"/>
    <cellStyle name="Примечание 2 4 5 2 2 6" xfId="12699" xr:uid="{FEDEFB26-5DCD-4328-AC7A-785F0751EAE5}"/>
    <cellStyle name="Примечание 2 4 5 2 3" xfId="1434" xr:uid="{00000000-0005-0000-0000-00002B1E0000}"/>
    <cellStyle name="Примечание 2 4 5 2 3 2" xfId="5335" xr:uid="{00000000-0005-0000-0000-00002C1E0000}"/>
    <cellStyle name="Примечание 2 4 5 2 3 3" xfId="9344" xr:uid="{24D83220-7958-4F49-AB75-AB6189C859D9}"/>
    <cellStyle name="Примечание 2 4 5 2 3 4" xfId="13235" xr:uid="{E76893E3-1CFE-47DB-9CE9-70288CD8E894}"/>
    <cellStyle name="Примечание 2 4 5 2 4" xfId="2841" xr:uid="{00000000-0005-0000-0000-00002D1E0000}"/>
    <cellStyle name="Примечание 2 4 5 2 4 2" xfId="6735" xr:uid="{00000000-0005-0000-0000-00002E1E0000}"/>
    <cellStyle name="Примечание 2 4 5 2 4 3" xfId="10744" xr:uid="{931F5D7E-7CB9-40BC-9EF4-DF51FE1CC2CE}"/>
    <cellStyle name="Примечание 2 4 5 2 5" xfId="3379" xr:uid="{00000000-0005-0000-0000-00002F1E0000}"/>
    <cellStyle name="Примечание 2 4 5 2 5 2" xfId="7273" xr:uid="{00000000-0005-0000-0000-0000301E0000}"/>
    <cellStyle name="Примечание 2 4 5 2 5 3" xfId="11282" xr:uid="{03991476-15A3-4EB5-B64F-CCBB18A97539}"/>
    <cellStyle name="Примечание 2 4 5 2 6" xfId="4557" xr:uid="{00000000-0005-0000-0000-0000311E0000}"/>
    <cellStyle name="Примечание 2 4 5 2 7" xfId="8566" xr:uid="{6EF84CA9-02D2-470C-8AA5-40CD5783D5C4}"/>
    <cellStyle name="Примечание 2 4 5 2 8" xfId="12457" xr:uid="{79B286A5-E34F-4CAF-90ED-FDB757000DD0}"/>
    <cellStyle name="Примечание 2 4 5 3" xfId="832" xr:uid="{00000000-0005-0000-0000-0000321E0000}"/>
    <cellStyle name="Примечание 2 4 5 3 2" xfId="2843" xr:uid="{00000000-0005-0000-0000-0000331E0000}"/>
    <cellStyle name="Примечание 2 4 5 3 2 2" xfId="6737" xr:uid="{00000000-0005-0000-0000-0000341E0000}"/>
    <cellStyle name="Примечание 2 4 5 3 2 3" xfId="10746" xr:uid="{7A008FA8-7879-479A-A414-48F512E346FF}"/>
    <cellStyle name="Примечание 2 4 5 3 3" xfId="3951" xr:uid="{00000000-0005-0000-0000-0000351E0000}"/>
    <cellStyle name="Примечание 2 4 5 3 3 2" xfId="7845" xr:uid="{00000000-0005-0000-0000-0000361E0000}"/>
    <cellStyle name="Примечание 2 4 5 3 3 3" xfId="11854" xr:uid="{46B74A43-5451-436B-81DF-A9E0C6D124D6}"/>
    <cellStyle name="Примечание 2 4 5 3 4" xfId="4733" xr:uid="{00000000-0005-0000-0000-0000371E0000}"/>
    <cellStyle name="Примечание 2 4 5 3 5" xfId="8742" xr:uid="{40D3A275-49D8-47AD-9264-86E05C40AA6E}"/>
    <cellStyle name="Примечание 2 4 5 3 6" xfId="12633" xr:uid="{3CCA1987-062F-46E7-835B-808B496E9A03}"/>
    <cellStyle name="Примечание 2 4 5 4" xfId="1113" xr:uid="{00000000-0005-0000-0000-0000381E0000}"/>
    <cellStyle name="Примечание 2 4 5 4 2" xfId="5014" xr:uid="{00000000-0005-0000-0000-0000391E0000}"/>
    <cellStyle name="Примечание 2 4 5 4 3" xfId="9023" xr:uid="{E1035693-283E-4977-A5F1-3EF6BE041F75}"/>
    <cellStyle name="Примечание 2 4 5 4 4" xfId="12914" xr:uid="{8E8EFEC3-0099-4659-8D99-97B60521E35E}"/>
    <cellStyle name="Примечание 2 4 5 5" xfId="2840" xr:uid="{00000000-0005-0000-0000-00003A1E0000}"/>
    <cellStyle name="Примечание 2 4 5 5 2" xfId="6734" xr:uid="{00000000-0005-0000-0000-00003B1E0000}"/>
    <cellStyle name="Примечание 2 4 5 5 3" xfId="10743" xr:uid="{8F383DCF-679B-43A5-8750-A030D866A82B}"/>
    <cellStyle name="Примечание 2 4 5 6" xfId="3058" xr:uid="{00000000-0005-0000-0000-00003C1E0000}"/>
    <cellStyle name="Примечание 2 4 5 6 2" xfId="6952" xr:uid="{00000000-0005-0000-0000-00003D1E0000}"/>
    <cellStyle name="Примечание 2 4 5 6 3" xfId="10961" xr:uid="{476C7B7D-45FF-484E-B8D7-49A2BD269BBC}"/>
    <cellStyle name="Примечание 2 4 5 7" xfId="4236" xr:uid="{00000000-0005-0000-0000-00003E1E0000}"/>
    <cellStyle name="Примечание 2 4 5 8" xfId="8245" xr:uid="{D60F60D5-471A-4F10-90A5-35268D8C09D5}"/>
    <cellStyle name="Примечание 2 4 5 9" xfId="12136" xr:uid="{57B55072-ED7D-4E29-85D0-64F5FF55103E}"/>
    <cellStyle name="Примечание 2 4 6" xfId="485" xr:uid="{00000000-0005-0000-0000-00003F1E0000}"/>
    <cellStyle name="Примечание 2 4 6 2" xfId="865" xr:uid="{00000000-0005-0000-0000-0000401E0000}"/>
    <cellStyle name="Примечание 2 4 6 2 2" xfId="2845" xr:uid="{00000000-0005-0000-0000-0000411E0000}"/>
    <cellStyle name="Примечание 2 4 6 2 2 2" xfId="6739" xr:uid="{00000000-0005-0000-0000-0000421E0000}"/>
    <cellStyle name="Примечание 2 4 6 2 2 3" xfId="10748" xr:uid="{85550AB5-9B8A-4C53-B707-28E4486671AB}"/>
    <cellStyle name="Примечание 2 4 6 2 3" xfId="3984" xr:uid="{00000000-0005-0000-0000-0000431E0000}"/>
    <cellStyle name="Примечание 2 4 6 2 3 2" xfId="7878" xr:uid="{00000000-0005-0000-0000-0000441E0000}"/>
    <cellStyle name="Примечание 2 4 6 2 3 3" xfId="11887" xr:uid="{115AA4C1-D337-4DD3-9AC7-99C020657A01}"/>
    <cellStyle name="Примечание 2 4 6 2 4" xfId="4766" xr:uid="{00000000-0005-0000-0000-0000451E0000}"/>
    <cellStyle name="Примечание 2 4 6 2 5" xfId="8775" xr:uid="{05F0FF50-C3C3-4CAA-8D6F-6D78EFBD74EC}"/>
    <cellStyle name="Примечание 2 4 6 2 6" xfId="12666" xr:uid="{F723205A-518C-44C1-B068-7B9EBE36FABB}"/>
    <cellStyle name="Примечание 2 4 6 3" xfId="1269" xr:uid="{00000000-0005-0000-0000-0000461E0000}"/>
    <cellStyle name="Примечание 2 4 6 3 2" xfId="5170" xr:uid="{00000000-0005-0000-0000-0000471E0000}"/>
    <cellStyle name="Примечание 2 4 6 3 3" xfId="9179" xr:uid="{5CC3C107-8795-4407-93B2-F70166AC3CDB}"/>
    <cellStyle name="Примечание 2 4 6 3 4" xfId="13070" xr:uid="{EA098BA9-5098-48C5-91F5-FDF9CBFAB693}"/>
    <cellStyle name="Примечание 2 4 6 4" xfId="2844" xr:uid="{00000000-0005-0000-0000-0000481E0000}"/>
    <cellStyle name="Примечание 2 4 6 4 2" xfId="6738" xr:uid="{00000000-0005-0000-0000-0000491E0000}"/>
    <cellStyle name="Примечание 2 4 6 4 3" xfId="10747" xr:uid="{E3549283-D538-418D-9193-3D6A4444687C}"/>
    <cellStyle name="Примечание 2 4 6 5" xfId="3214" xr:uid="{00000000-0005-0000-0000-00004A1E0000}"/>
    <cellStyle name="Примечание 2 4 6 5 2" xfId="7108" xr:uid="{00000000-0005-0000-0000-00004B1E0000}"/>
    <cellStyle name="Примечание 2 4 6 5 3" xfId="11117" xr:uid="{590FC35F-19B9-4DC6-B3FC-8B7C39BBAB96}"/>
    <cellStyle name="Примечание 2 4 6 6" xfId="4392" xr:uid="{00000000-0005-0000-0000-00004C1E0000}"/>
    <cellStyle name="Примечание 2 4 6 7" xfId="8401" xr:uid="{8CB9CB2C-526D-4943-8DDA-9433F5415A5A}"/>
    <cellStyle name="Примечание 2 4 6 8" xfId="12292" xr:uid="{BE1BD3DB-D535-43D1-93D5-AAA8EFE0C9AA}"/>
    <cellStyle name="Примечание 2 4 7" xfId="799" xr:uid="{00000000-0005-0000-0000-00004D1E0000}"/>
    <cellStyle name="Примечание 2 4 7 2" xfId="2846" xr:uid="{00000000-0005-0000-0000-00004E1E0000}"/>
    <cellStyle name="Примечание 2 4 7 2 2" xfId="6740" xr:uid="{00000000-0005-0000-0000-00004F1E0000}"/>
    <cellStyle name="Примечание 2 4 7 2 3" xfId="10749" xr:uid="{0BECFD57-0431-421E-9C2D-0338351570DE}"/>
    <cellStyle name="Примечание 2 4 7 3" xfId="3918" xr:uid="{00000000-0005-0000-0000-0000501E0000}"/>
    <cellStyle name="Примечание 2 4 7 3 2" xfId="7812" xr:uid="{00000000-0005-0000-0000-0000511E0000}"/>
    <cellStyle name="Примечание 2 4 7 3 3" xfId="11821" xr:uid="{D7F73729-9B59-477E-A347-653F20E73595}"/>
    <cellStyle name="Примечание 2 4 7 4" xfId="4700" xr:uid="{00000000-0005-0000-0000-0000521E0000}"/>
    <cellStyle name="Примечание 2 4 7 5" xfId="8709" xr:uid="{82EAC0D6-9878-4461-8014-58B919102ECB}"/>
    <cellStyle name="Примечание 2 4 7 6" xfId="12600" xr:uid="{0E6FB782-D7DD-455E-AA93-CA9F8D856294}"/>
    <cellStyle name="Примечание 2 4 8" xfId="948" xr:uid="{00000000-0005-0000-0000-0000531E0000}"/>
    <cellStyle name="Примечание 2 4 8 2" xfId="4849" xr:uid="{00000000-0005-0000-0000-0000541E0000}"/>
    <cellStyle name="Примечание 2 4 8 3" xfId="8858" xr:uid="{ED781619-7F92-41DD-95C6-26A61C9ABBCA}"/>
    <cellStyle name="Примечание 2 4 8 4" xfId="12749" xr:uid="{5A882377-992C-4953-89DD-971DDDDD0E86}"/>
    <cellStyle name="Примечание 2 4 9" xfId="2799" xr:uid="{00000000-0005-0000-0000-0000551E0000}"/>
    <cellStyle name="Примечание 2 4 9 2" xfId="6693" xr:uid="{00000000-0005-0000-0000-0000561E0000}"/>
    <cellStyle name="Примечание 2 4 9 3" xfId="10702" xr:uid="{532AE1DF-C230-4135-803E-AE962D62A33F}"/>
    <cellStyle name="Примечание 2 5" xfId="203" xr:uid="{00000000-0005-0000-0000-0000571E0000}"/>
    <cellStyle name="Примечание 2 5 10" xfId="12016" xr:uid="{66A034BA-E53E-4692-9E34-1E708E41CCD9}"/>
    <cellStyle name="Примечание 2 5 11" xfId="13452" xr:uid="{B8132461-81A3-46A7-AAE0-9E38A9FD7DFA}"/>
    <cellStyle name="Примечание 2 5 2" xfId="367" xr:uid="{00000000-0005-0000-0000-0000581E0000}"/>
    <cellStyle name="Примечание 2 5 2 2" xfId="697" xr:uid="{00000000-0005-0000-0000-0000591E0000}"/>
    <cellStyle name="Примечание 2 5 2 2 2" xfId="906" xr:uid="{00000000-0005-0000-0000-00005A1E0000}"/>
    <cellStyle name="Примечание 2 5 2 2 2 2" xfId="2850" xr:uid="{00000000-0005-0000-0000-00005B1E0000}"/>
    <cellStyle name="Примечание 2 5 2 2 2 2 2" xfId="6744" xr:uid="{00000000-0005-0000-0000-00005C1E0000}"/>
    <cellStyle name="Примечание 2 5 2 2 2 2 3" xfId="10753" xr:uid="{AD931009-A79D-4389-B0CE-9AE0601CB92D}"/>
    <cellStyle name="Примечание 2 5 2 2 2 3" xfId="4025" xr:uid="{00000000-0005-0000-0000-00005D1E0000}"/>
    <cellStyle name="Примечание 2 5 2 2 2 3 2" xfId="7919" xr:uid="{00000000-0005-0000-0000-00005E1E0000}"/>
    <cellStyle name="Примечание 2 5 2 2 2 3 3" xfId="11928" xr:uid="{B2116B88-9071-44DB-B5BC-3D3137C90A28}"/>
    <cellStyle name="Примечание 2 5 2 2 2 4" xfId="4807" xr:uid="{00000000-0005-0000-0000-00005F1E0000}"/>
    <cellStyle name="Примечание 2 5 2 2 2 5" xfId="8816" xr:uid="{54437193-6682-49B1-A023-F763747A43AA}"/>
    <cellStyle name="Примечание 2 5 2 2 2 6" xfId="12707" xr:uid="{A3310CD2-CAF8-418F-8B51-33F94E5D6F8E}"/>
    <cellStyle name="Примечание 2 5 2 2 3" xfId="1478" xr:uid="{00000000-0005-0000-0000-0000601E0000}"/>
    <cellStyle name="Примечание 2 5 2 2 3 2" xfId="5379" xr:uid="{00000000-0005-0000-0000-0000611E0000}"/>
    <cellStyle name="Примечание 2 5 2 2 3 3" xfId="9388" xr:uid="{FA716A16-107C-4B44-AE7E-DAE6359E7BE6}"/>
    <cellStyle name="Примечание 2 5 2 2 3 4" xfId="13279" xr:uid="{7D7F78F5-0509-4B78-9F51-10FEC6F1F364}"/>
    <cellStyle name="Примечание 2 5 2 2 4" xfId="2849" xr:uid="{00000000-0005-0000-0000-0000621E0000}"/>
    <cellStyle name="Примечание 2 5 2 2 4 2" xfId="6743" xr:uid="{00000000-0005-0000-0000-0000631E0000}"/>
    <cellStyle name="Примечание 2 5 2 2 4 3" xfId="10752" xr:uid="{2B819C45-07EB-4C39-8888-BB11FD237BDC}"/>
    <cellStyle name="Примечание 2 5 2 2 5" xfId="3423" xr:uid="{00000000-0005-0000-0000-0000641E0000}"/>
    <cellStyle name="Примечание 2 5 2 2 5 2" xfId="7317" xr:uid="{00000000-0005-0000-0000-0000651E0000}"/>
    <cellStyle name="Примечание 2 5 2 2 5 3" xfId="11326" xr:uid="{5A8F506D-FC09-4A4C-8030-5093C36039CC}"/>
    <cellStyle name="Примечание 2 5 2 2 6" xfId="4601" xr:uid="{00000000-0005-0000-0000-0000661E0000}"/>
    <cellStyle name="Примечание 2 5 2 2 7" xfId="8610" xr:uid="{2D28167E-9188-402D-8534-E13C747BE3D7}"/>
    <cellStyle name="Примечание 2 5 2 2 8" xfId="12501" xr:uid="{8ECEB0A6-E9DA-4BCC-8630-4FECDD5C1A8C}"/>
    <cellStyle name="Примечание 2 5 2 3" xfId="840" xr:uid="{00000000-0005-0000-0000-0000671E0000}"/>
    <cellStyle name="Примечание 2 5 2 3 2" xfId="2851" xr:uid="{00000000-0005-0000-0000-0000681E0000}"/>
    <cellStyle name="Примечание 2 5 2 3 2 2" xfId="6745" xr:uid="{00000000-0005-0000-0000-0000691E0000}"/>
    <cellStyle name="Примечание 2 5 2 3 2 3" xfId="10754" xr:uid="{846D71D6-7935-4FFF-9854-A86A400808D6}"/>
    <cellStyle name="Примечание 2 5 2 3 3" xfId="3959" xr:uid="{00000000-0005-0000-0000-00006A1E0000}"/>
    <cellStyle name="Примечание 2 5 2 3 3 2" xfId="7853" xr:uid="{00000000-0005-0000-0000-00006B1E0000}"/>
    <cellStyle name="Примечание 2 5 2 3 3 3" xfId="11862" xr:uid="{1BC60178-EEC8-4EBA-8856-7E0FF542E0FF}"/>
    <cellStyle name="Примечание 2 5 2 3 4" xfId="4741" xr:uid="{00000000-0005-0000-0000-00006C1E0000}"/>
    <cellStyle name="Примечание 2 5 2 3 5" xfId="8750" xr:uid="{375AB7FF-719E-4C32-9721-42A9D6A83846}"/>
    <cellStyle name="Примечание 2 5 2 3 6" xfId="12641" xr:uid="{6AEE4AF4-BAA8-40E6-AE6E-E364262C3B3C}"/>
    <cellStyle name="Примечание 2 5 2 4" xfId="1157" xr:uid="{00000000-0005-0000-0000-00006D1E0000}"/>
    <cellStyle name="Примечание 2 5 2 4 2" xfId="5058" xr:uid="{00000000-0005-0000-0000-00006E1E0000}"/>
    <cellStyle name="Примечание 2 5 2 4 3" xfId="9067" xr:uid="{551C6539-7866-499E-8C01-FB0C90F35817}"/>
    <cellStyle name="Примечание 2 5 2 4 4" xfId="12958" xr:uid="{F351770B-B955-4A2E-8ED0-C37F6709FDBA}"/>
    <cellStyle name="Примечание 2 5 2 5" xfId="2848" xr:uid="{00000000-0005-0000-0000-00006F1E0000}"/>
    <cellStyle name="Примечание 2 5 2 5 2" xfId="6742" xr:uid="{00000000-0005-0000-0000-0000701E0000}"/>
    <cellStyle name="Примечание 2 5 2 5 3" xfId="10751" xr:uid="{7634CA71-FDCB-4BA4-A991-881828E77193}"/>
    <cellStyle name="Примечание 2 5 2 6" xfId="3102" xr:uid="{00000000-0005-0000-0000-0000711E0000}"/>
    <cellStyle name="Примечание 2 5 2 6 2" xfId="6996" xr:uid="{00000000-0005-0000-0000-0000721E0000}"/>
    <cellStyle name="Примечание 2 5 2 6 3" xfId="11005" xr:uid="{A101DD21-A457-47BF-B84D-059E770F3721}"/>
    <cellStyle name="Примечание 2 5 2 7" xfId="4280" xr:uid="{00000000-0005-0000-0000-0000731E0000}"/>
    <cellStyle name="Примечание 2 5 2 8" xfId="8289" xr:uid="{55A48508-8C8F-478E-B11D-FA14316AC5EC}"/>
    <cellStyle name="Примечание 2 5 2 9" xfId="12180" xr:uid="{BD833264-22DB-4D81-AAD7-108D02EF4B9F}"/>
    <cellStyle name="Примечание 2 5 3" xfId="533" xr:uid="{00000000-0005-0000-0000-0000741E0000}"/>
    <cellStyle name="Примечание 2 5 3 2" xfId="873" xr:uid="{00000000-0005-0000-0000-0000751E0000}"/>
    <cellStyle name="Примечание 2 5 3 2 2" xfId="2853" xr:uid="{00000000-0005-0000-0000-0000761E0000}"/>
    <cellStyle name="Примечание 2 5 3 2 2 2" xfId="6747" xr:uid="{00000000-0005-0000-0000-0000771E0000}"/>
    <cellStyle name="Примечание 2 5 3 2 2 3" xfId="10756" xr:uid="{02EC1195-4298-4696-A7CC-8CB3B5CC7EDC}"/>
    <cellStyle name="Примечание 2 5 3 2 3" xfId="3992" xr:uid="{00000000-0005-0000-0000-0000781E0000}"/>
    <cellStyle name="Примечание 2 5 3 2 3 2" xfId="7886" xr:uid="{00000000-0005-0000-0000-0000791E0000}"/>
    <cellStyle name="Примечание 2 5 3 2 3 3" xfId="11895" xr:uid="{F343E52F-91F6-452F-8DFA-7702D87CAE11}"/>
    <cellStyle name="Примечание 2 5 3 2 4" xfId="4774" xr:uid="{00000000-0005-0000-0000-00007A1E0000}"/>
    <cellStyle name="Примечание 2 5 3 2 5" xfId="8783" xr:uid="{062B5769-073D-427E-A4DB-DB3B16404BFC}"/>
    <cellStyle name="Примечание 2 5 3 2 6" xfId="12674" xr:uid="{D1A752C5-AB4C-408B-B887-4BC7AA810E7E}"/>
    <cellStyle name="Примечание 2 5 3 3" xfId="1314" xr:uid="{00000000-0005-0000-0000-00007B1E0000}"/>
    <cellStyle name="Примечание 2 5 3 3 2" xfId="5215" xr:uid="{00000000-0005-0000-0000-00007C1E0000}"/>
    <cellStyle name="Примечание 2 5 3 3 3" xfId="9224" xr:uid="{F5EEE66C-D94E-40B2-9BD8-383456BFA61A}"/>
    <cellStyle name="Примечание 2 5 3 3 4" xfId="13115" xr:uid="{C2338672-7A3D-4C48-9F02-51A41380A2A2}"/>
    <cellStyle name="Примечание 2 5 3 4" xfId="2852" xr:uid="{00000000-0005-0000-0000-00007D1E0000}"/>
    <cellStyle name="Примечание 2 5 3 4 2" xfId="6746" xr:uid="{00000000-0005-0000-0000-00007E1E0000}"/>
    <cellStyle name="Примечание 2 5 3 4 3" xfId="10755" xr:uid="{4F4E731A-F5B1-434C-B17D-21BDECB93F9B}"/>
    <cellStyle name="Примечание 2 5 3 5" xfId="3259" xr:uid="{00000000-0005-0000-0000-00007F1E0000}"/>
    <cellStyle name="Примечание 2 5 3 5 2" xfId="7153" xr:uid="{00000000-0005-0000-0000-0000801E0000}"/>
    <cellStyle name="Примечание 2 5 3 5 3" xfId="11162" xr:uid="{A588BBDE-446B-4DDB-9BCD-401689B928AC}"/>
    <cellStyle name="Примечание 2 5 3 6" xfId="4437" xr:uid="{00000000-0005-0000-0000-0000811E0000}"/>
    <cellStyle name="Примечание 2 5 3 7" xfId="8446" xr:uid="{7E0D642A-4AE0-4620-915A-81A52DA5B4EB}"/>
    <cellStyle name="Примечание 2 5 3 8" xfId="12337" xr:uid="{1CC9FE86-22B1-44DE-A411-E7209827789C}"/>
    <cellStyle name="Примечание 2 5 4" xfId="807" xr:uid="{00000000-0005-0000-0000-0000821E0000}"/>
    <cellStyle name="Примечание 2 5 4 2" xfId="2854" xr:uid="{00000000-0005-0000-0000-0000831E0000}"/>
    <cellStyle name="Примечание 2 5 4 2 2" xfId="6748" xr:uid="{00000000-0005-0000-0000-0000841E0000}"/>
    <cellStyle name="Примечание 2 5 4 2 3" xfId="10757" xr:uid="{31DB5548-ED75-4050-B895-E5F88D2298BC}"/>
    <cellStyle name="Примечание 2 5 4 3" xfId="3926" xr:uid="{00000000-0005-0000-0000-0000851E0000}"/>
    <cellStyle name="Примечание 2 5 4 3 2" xfId="7820" xr:uid="{00000000-0005-0000-0000-0000861E0000}"/>
    <cellStyle name="Примечание 2 5 4 3 3" xfId="11829" xr:uid="{C867A608-3F26-4356-B7A8-661BE3CB5797}"/>
    <cellStyle name="Примечание 2 5 4 4" xfId="4708" xr:uid="{00000000-0005-0000-0000-0000871E0000}"/>
    <cellStyle name="Примечание 2 5 4 5" xfId="8717" xr:uid="{F30FE33B-9700-4FA1-9316-F0D34600918A}"/>
    <cellStyle name="Примечание 2 5 4 6" xfId="12608" xr:uid="{DA714350-42A8-4B7A-8A06-58ECF5527146}"/>
    <cellStyle name="Примечание 2 5 5" xfId="993" xr:uid="{00000000-0005-0000-0000-0000881E0000}"/>
    <cellStyle name="Примечание 2 5 5 2" xfId="4894" xr:uid="{00000000-0005-0000-0000-0000891E0000}"/>
    <cellStyle name="Примечание 2 5 5 3" xfId="8903" xr:uid="{BF993BB7-434F-4B86-8F52-2816D7C8D382}"/>
    <cellStyle name="Примечание 2 5 5 4" xfId="12794" xr:uid="{882DD454-D711-43FE-A8F6-2BB9B8213DEF}"/>
    <cellStyle name="Примечание 2 5 6" xfId="2847" xr:uid="{00000000-0005-0000-0000-00008A1E0000}"/>
    <cellStyle name="Примечание 2 5 6 2" xfId="6741" xr:uid="{00000000-0005-0000-0000-00008B1E0000}"/>
    <cellStyle name="Примечание 2 5 6 3" xfId="10750" xr:uid="{9BD9B847-1423-491B-8694-5EB827F9BB23}"/>
    <cellStyle name="Примечание 2 5 7" xfId="2938" xr:uid="{00000000-0005-0000-0000-00008C1E0000}"/>
    <cellStyle name="Примечание 2 5 7 2" xfId="6832" xr:uid="{00000000-0005-0000-0000-00008D1E0000}"/>
    <cellStyle name="Примечание 2 5 7 3" xfId="10841" xr:uid="{B0EB2132-0FC4-4B92-BACF-E36EDB0EBEFB}"/>
    <cellStyle name="Примечание 2 5 8" xfId="4116" xr:uid="{00000000-0005-0000-0000-00008E1E0000}"/>
    <cellStyle name="Примечание 2 5 9" xfId="8125" xr:uid="{CED04E22-FD15-47CA-BD55-227F742BE4E8}"/>
    <cellStyle name="Примечание 2 6" xfId="297" xr:uid="{00000000-0005-0000-0000-00008F1E0000}"/>
    <cellStyle name="Примечание 2 6 10" xfId="12110" xr:uid="{8C359E0E-B29D-48EA-AB25-257928005070}"/>
    <cellStyle name="Примечание 2 6 11" xfId="13546" xr:uid="{9BA509A1-1CF8-4B71-B3AF-F51D1D167D9D}"/>
    <cellStyle name="Примечание 2 6 2" xfId="452" xr:uid="{00000000-0005-0000-0000-0000901E0000}"/>
    <cellStyle name="Примечание 2 6 2 2" xfId="782" xr:uid="{00000000-0005-0000-0000-0000911E0000}"/>
    <cellStyle name="Примечание 2 6 2 2 2" xfId="924" xr:uid="{00000000-0005-0000-0000-0000921E0000}"/>
    <cellStyle name="Примечание 2 6 2 2 2 2" xfId="2858" xr:uid="{00000000-0005-0000-0000-0000931E0000}"/>
    <cellStyle name="Примечание 2 6 2 2 2 2 2" xfId="6752" xr:uid="{00000000-0005-0000-0000-0000941E0000}"/>
    <cellStyle name="Примечание 2 6 2 2 2 2 3" xfId="10761" xr:uid="{85B03AB3-FD19-49C4-8217-60C8A5A0C607}"/>
    <cellStyle name="Примечание 2 6 2 2 2 3" xfId="4043" xr:uid="{00000000-0005-0000-0000-0000951E0000}"/>
    <cellStyle name="Примечание 2 6 2 2 2 3 2" xfId="7937" xr:uid="{00000000-0005-0000-0000-0000961E0000}"/>
    <cellStyle name="Примечание 2 6 2 2 2 3 3" xfId="11946" xr:uid="{39766283-D132-4219-8F07-B778898721F9}"/>
    <cellStyle name="Примечание 2 6 2 2 2 4" xfId="4825" xr:uid="{00000000-0005-0000-0000-0000971E0000}"/>
    <cellStyle name="Примечание 2 6 2 2 2 5" xfId="8834" xr:uid="{FA1CA4BE-D15E-4C03-82BE-34830E969447}"/>
    <cellStyle name="Примечание 2 6 2 2 2 6" xfId="12725" xr:uid="{63533C2B-9A06-4228-BBDF-991763B8EA07}"/>
    <cellStyle name="Примечание 2 6 2 2 3" xfId="1563" xr:uid="{00000000-0005-0000-0000-0000981E0000}"/>
    <cellStyle name="Примечание 2 6 2 2 3 2" xfId="5464" xr:uid="{00000000-0005-0000-0000-0000991E0000}"/>
    <cellStyle name="Примечание 2 6 2 2 3 3" xfId="9473" xr:uid="{C5F5A872-7BA0-4AB8-BBDD-62F02C7428A9}"/>
    <cellStyle name="Примечание 2 6 2 2 3 4" xfId="13364" xr:uid="{FDCD2B34-CB02-46C2-AEBC-E4313CA63DEA}"/>
    <cellStyle name="Примечание 2 6 2 2 4" xfId="2857" xr:uid="{00000000-0005-0000-0000-00009A1E0000}"/>
    <cellStyle name="Примечание 2 6 2 2 4 2" xfId="6751" xr:uid="{00000000-0005-0000-0000-00009B1E0000}"/>
    <cellStyle name="Примечание 2 6 2 2 4 3" xfId="10760" xr:uid="{A2F4F23A-6217-4C96-AC83-FB51FA619DB6}"/>
    <cellStyle name="Примечание 2 6 2 2 5" xfId="3508" xr:uid="{00000000-0005-0000-0000-00009C1E0000}"/>
    <cellStyle name="Примечание 2 6 2 2 5 2" xfId="7402" xr:uid="{00000000-0005-0000-0000-00009D1E0000}"/>
    <cellStyle name="Примечание 2 6 2 2 5 3" xfId="11411" xr:uid="{80349CB4-B7AF-4510-888E-E8026950A0DD}"/>
    <cellStyle name="Примечание 2 6 2 2 6" xfId="4686" xr:uid="{00000000-0005-0000-0000-00009E1E0000}"/>
    <cellStyle name="Примечание 2 6 2 2 7" xfId="8695" xr:uid="{0B7AE15F-E3C7-4EB3-8E17-500635B7820A}"/>
    <cellStyle name="Примечание 2 6 2 2 8" xfId="12586" xr:uid="{D03D0E36-6D48-4C37-B8DD-5F36581AC546}"/>
    <cellStyle name="Примечание 2 6 2 3" xfId="858" xr:uid="{00000000-0005-0000-0000-00009F1E0000}"/>
    <cellStyle name="Примечание 2 6 2 3 2" xfId="2859" xr:uid="{00000000-0005-0000-0000-0000A01E0000}"/>
    <cellStyle name="Примечание 2 6 2 3 2 2" xfId="6753" xr:uid="{00000000-0005-0000-0000-0000A11E0000}"/>
    <cellStyle name="Примечание 2 6 2 3 2 3" xfId="10762" xr:uid="{C828B4F4-3B05-4264-A628-060EB473C1C2}"/>
    <cellStyle name="Примечание 2 6 2 3 3" xfId="3977" xr:uid="{00000000-0005-0000-0000-0000A21E0000}"/>
    <cellStyle name="Примечание 2 6 2 3 3 2" xfId="7871" xr:uid="{00000000-0005-0000-0000-0000A31E0000}"/>
    <cellStyle name="Примечание 2 6 2 3 3 3" xfId="11880" xr:uid="{7C3FC877-4DCD-494A-8C28-93DEB2AC3D03}"/>
    <cellStyle name="Примечание 2 6 2 3 4" xfId="4759" xr:uid="{00000000-0005-0000-0000-0000A41E0000}"/>
    <cellStyle name="Примечание 2 6 2 3 5" xfId="8768" xr:uid="{64F76EE6-8027-4ACA-8F5B-DF0CC7FAA306}"/>
    <cellStyle name="Примечание 2 6 2 3 6" xfId="12659" xr:uid="{ADF0D83C-49CC-43D7-BA1A-B17F34BF8218}"/>
    <cellStyle name="Примечание 2 6 2 4" xfId="1242" xr:uid="{00000000-0005-0000-0000-0000A51E0000}"/>
    <cellStyle name="Примечание 2 6 2 4 2" xfId="5143" xr:uid="{00000000-0005-0000-0000-0000A61E0000}"/>
    <cellStyle name="Примечание 2 6 2 4 3" xfId="9152" xr:uid="{A2563EA2-497E-4475-AC8B-2C3995F1A8FE}"/>
    <cellStyle name="Примечание 2 6 2 4 4" xfId="13043" xr:uid="{821AD05C-42AB-43DF-B289-E409ACE1890B}"/>
    <cellStyle name="Примечание 2 6 2 5" xfId="2856" xr:uid="{00000000-0005-0000-0000-0000A71E0000}"/>
    <cellStyle name="Примечание 2 6 2 5 2" xfId="6750" xr:uid="{00000000-0005-0000-0000-0000A81E0000}"/>
    <cellStyle name="Примечание 2 6 2 5 3" xfId="10759" xr:uid="{547B3A35-4CBB-4C79-B55A-F8ADC3DD4E0D}"/>
    <cellStyle name="Примечание 2 6 2 6" xfId="3187" xr:uid="{00000000-0005-0000-0000-0000A91E0000}"/>
    <cellStyle name="Примечание 2 6 2 6 2" xfId="7081" xr:uid="{00000000-0005-0000-0000-0000AA1E0000}"/>
    <cellStyle name="Примечание 2 6 2 6 3" xfId="11090" xr:uid="{5F61097A-74C5-474B-8BC3-0BEA66A193CD}"/>
    <cellStyle name="Примечание 2 6 2 7" xfId="4365" xr:uid="{00000000-0005-0000-0000-0000AB1E0000}"/>
    <cellStyle name="Примечание 2 6 2 8" xfId="8374" xr:uid="{B2224793-4550-4C3F-9082-B52DD5D43C13}"/>
    <cellStyle name="Примечание 2 6 2 9" xfId="12265" xr:uid="{3FC88DF7-943E-4679-84C5-CC0CE0B63E36}"/>
    <cellStyle name="Примечание 2 6 3" xfId="627" xr:uid="{00000000-0005-0000-0000-0000AC1E0000}"/>
    <cellStyle name="Примечание 2 6 3 2" xfId="891" xr:uid="{00000000-0005-0000-0000-0000AD1E0000}"/>
    <cellStyle name="Примечание 2 6 3 2 2" xfId="2861" xr:uid="{00000000-0005-0000-0000-0000AE1E0000}"/>
    <cellStyle name="Примечание 2 6 3 2 2 2" xfId="6755" xr:uid="{00000000-0005-0000-0000-0000AF1E0000}"/>
    <cellStyle name="Примечание 2 6 3 2 2 3" xfId="10764" xr:uid="{A912458F-0F09-4509-849E-62630DDAC455}"/>
    <cellStyle name="Примечание 2 6 3 2 3" xfId="4010" xr:uid="{00000000-0005-0000-0000-0000B01E0000}"/>
    <cellStyle name="Примечание 2 6 3 2 3 2" xfId="7904" xr:uid="{00000000-0005-0000-0000-0000B11E0000}"/>
    <cellStyle name="Примечание 2 6 3 2 3 3" xfId="11913" xr:uid="{8DAE9DA8-7885-463C-84BC-B4EC3C338547}"/>
    <cellStyle name="Примечание 2 6 3 2 4" xfId="4792" xr:uid="{00000000-0005-0000-0000-0000B21E0000}"/>
    <cellStyle name="Примечание 2 6 3 2 5" xfId="8801" xr:uid="{1442122A-6B87-49E8-BCCB-D4106A520377}"/>
    <cellStyle name="Примечание 2 6 3 2 6" xfId="12692" xr:uid="{26B4CDA0-0112-4099-AA43-51D4292E3BD1}"/>
    <cellStyle name="Примечание 2 6 3 3" xfId="1408" xr:uid="{00000000-0005-0000-0000-0000B31E0000}"/>
    <cellStyle name="Примечание 2 6 3 3 2" xfId="5309" xr:uid="{00000000-0005-0000-0000-0000B41E0000}"/>
    <cellStyle name="Примечание 2 6 3 3 3" xfId="9318" xr:uid="{EB69DC55-BC6F-4FD9-ABB7-62D3CC666478}"/>
    <cellStyle name="Примечание 2 6 3 3 4" xfId="13209" xr:uid="{14DEC2D4-8EB5-4203-9C95-58018C7E8794}"/>
    <cellStyle name="Примечание 2 6 3 4" xfId="2860" xr:uid="{00000000-0005-0000-0000-0000B51E0000}"/>
    <cellStyle name="Примечание 2 6 3 4 2" xfId="6754" xr:uid="{00000000-0005-0000-0000-0000B61E0000}"/>
    <cellStyle name="Примечание 2 6 3 4 3" xfId="10763" xr:uid="{DF021958-786A-4541-9443-25E573BC89F6}"/>
    <cellStyle name="Примечание 2 6 3 5" xfId="3353" xr:uid="{00000000-0005-0000-0000-0000B71E0000}"/>
    <cellStyle name="Примечание 2 6 3 5 2" xfId="7247" xr:uid="{00000000-0005-0000-0000-0000B81E0000}"/>
    <cellStyle name="Примечание 2 6 3 5 3" xfId="11256" xr:uid="{703B39C5-F976-44CC-9DEF-210766C1B94D}"/>
    <cellStyle name="Примечание 2 6 3 6" xfId="4531" xr:uid="{00000000-0005-0000-0000-0000B91E0000}"/>
    <cellStyle name="Примечание 2 6 3 7" xfId="8540" xr:uid="{FA2BEB74-3797-454D-AE6F-9C2EE1110ED7}"/>
    <cellStyle name="Примечание 2 6 3 8" xfId="12431" xr:uid="{9C03FDEF-CDFE-4003-AC8B-858854814634}"/>
    <cellStyle name="Примечание 2 6 4" xfId="825" xr:uid="{00000000-0005-0000-0000-0000BA1E0000}"/>
    <cellStyle name="Примечание 2 6 4 2" xfId="2862" xr:uid="{00000000-0005-0000-0000-0000BB1E0000}"/>
    <cellStyle name="Примечание 2 6 4 2 2" xfId="6756" xr:uid="{00000000-0005-0000-0000-0000BC1E0000}"/>
    <cellStyle name="Примечание 2 6 4 2 3" xfId="10765" xr:uid="{4C68CBE9-84A5-4EFB-9D24-A47267F52C78}"/>
    <cellStyle name="Примечание 2 6 4 3" xfId="3944" xr:uid="{00000000-0005-0000-0000-0000BD1E0000}"/>
    <cellStyle name="Примечание 2 6 4 3 2" xfId="7838" xr:uid="{00000000-0005-0000-0000-0000BE1E0000}"/>
    <cellStyle name="Примечание 2 6 4 3 3" xfId="11847" xr:uid="{E2BE9F77-1F1B-4AA2-96B8-0B5DE199A033}"/>
    <cellStyle name="Примечание 2 6 4 4" xfId="4726" xr:uid="{00000000-0005-0000-0000-0000BF1E0000}"/>
    <cellStyle name="Примечание 2 6 4 5" xfId="8735" xr:uid="{996AD083-1FEC-4F9C-B179-50F0A2CFB9F9}"/>
    <cellStyle name="Примечание 2 6 4 6" xfId="12626" xr:uid="{31E3F59E-C610-435A-A164-B17CD6C81286}"/>
    <cellStyle name="Примечание 2 6 5" xfId="1087" xr:uid="{00000000-0005-0000-0000-0000C01E0000}"/>
    <cellStyle name="Примечание 2 6 5 2" xfId="4988" xr:uid="{00000000-0005-0000-0000-0000C11E0000}"/>
    <cellStyle name="Примечание 2 6 5 3" xfId="8997" xr:uid="{78D0C49E-0DCE-4B0E-9B2F-473F9C2A63CE}"/>
    <cellStyle name="Примечание 2 6 5 4" xfId="12888" xr:uid="{F35947BC-BB24-4979-80E1-E7246856F883}"/>
    <cellStyle name="Примечание 2 6 6" xfId="2855" xr:uid="{00000000-0005-0000-0000-0000C21E0000}"/>
    <cellStyle name="Примечание 2 6 6 2" xfId="6749" xr:uid="{00000000-0005-0000-0000-0000C31E0000}"/>
    <cellStyle name="Примечание 2 6 6 3" xfId="10758" xr:uid="{A57435A9-247B-405F-8FDB-B243DA064651}"/>
    <cellStyle name="Примечание 2 6 7" xfId="3032" xr:uid="{00000000-0005-0000-0000-0000C41E0000}"/>
    <cellStyle name="Примечание 2 6 7 2" xfId="6926" xr:uid="{00000000-0005-0000-0000-0000C51E0000}"/>
    <cellStyle name="Примечание 2 6 7 3" xfId="10935" xr:uid="{40422068-066E-4F4C-837F-4252C52769D6}"/>
    <cellStyle name="Примечание 2 6 8" xfId="4210" xr:uid="{00000000-0005-0000-0000-0000C61E0000}"/>
    <cellStyle name="Примечание 2 6 9" xfId="8219" xr:uid="{4C91E537-0512-44FD-8D87-850224352A99}"/>
    <cellStyle name="Примечание 2 7" xfId="307" xr:uid="{00000000-0005-0000-0000-0000C71E0000}"/>
    <cellStyle name="Примечание 2 7 2" xfId="637" xr:uid="{00000000-0005-0000-0000-0000C81E0000}"/>
    <cellStyle name="Примечание 2 7 2 2" xfId="894" xr:uid="{00000000-0005-0000-0000-0000C91E0000}"/>
    <cellStyle name="Примечание 2 7 2 2 2" xfId="2865" xr:uid="{00000000-0005-0000-0000-0000CA1E0000}"/>
    <cellStyle name="Примечание 2 7 2 2 2 2" xfId="6759" xr:uid="{00000000-0005-0000-0000-0000CB1E0000}"/>
    <cellStyle name="Примечание 2 7 2 2 2 3" xfId="10768" xr:uid="{B173A89E-A96C-4C4C-8A92-C07FE0499817}"/>
    <cellStyle name="Примечание 2 7 2 2 3" xfId="4013" xr:uid="{00000000-0005-0000-0000-0000CC1E0000}"/>
    <cellStyle name="Примечание 2 7 2 2 3 2" xfId="7907" xr:uid="{00000000-0005-0000-0000-0000CD1E0000}"/>
    <cellStyle name="Примечание 2 7 2 2 3 3" xfId="11916" xr:uid="{950B43C2-9F0A-4CCC-A805-A19C0A7CA56F}"/>
    <cellStyle name="Примечание 2 7 2 2 4" xfId="4795" xr:uid="{00000000-0005-0000-0000-0000CE1E0000}"/>
    <cellStyle name="Примечание 2 7 2 2 5" xfId="8804" xr:uid="{D7073277-0AD2-4FE7-A6C6-580C1581469E}"/>
    <cellStyle name="Примечание 2 7 2 2 6" xfId="12695" xr:uid="{A2C9C21E-6AC3-4654-89E3-5C44DD122251}"/>
    <cellStyle name="Примечание 2 7 2 3" xfId="1418" xr:uid="{00000000-0005-0000-0000-0000CF1E0000}"/>
    <cellStyle name="Примечание 2 7 2 3 2" xfId="5319" xr:uid="{00000000-0005-0000-0000-0000D01E0000}"/>
    <cellStyle name="Примечание 2 7 2 3 3" xfId="9328" xr:uid="{D2631AFE-F581-436D-88D4-2246DBEFCAAC}"/>
    <cellStyle name="Примечание 2 7 2 3 4" xfId="13219" xr:uid="{5555540A-AC23-46D5-831B-45DA4F84C3D1}"/>
    <cellStyle name="Примечание 2 7 2 4" xfId="2864" xr:uid="{00000000-0005-0000-0000-0000D11E0000}"/>
    <cellStyle name="Примечание 2 7 2 4 2" xfId="6758" xr:uid="{00000000-0005-0000-0000-0000D21E0000}"/>
    <cellStyle name="Примечание 2 7 2 4 3" xfId="10767" xr:uid="{E0A6563F-F3E0-4361-976D-E8E44EEC3FE0}"/>
    <cellStyle name="Примечание 2 7 2 5" xfId="3363" xr:uid="{00000000-0005-0000-0000-0000D31E0000}"/>
    <cellStyle name="Примечание 2 7 2 5 2" xfId="7257" xr:uid="{00000000-0005-0000-0000-0000D41E0000}"/>
    <cellStyle name="Примечание 2 7 2 5 3" xfId="11266" xr:uid="{D009F624-436B-479E-9E59-B839AF42EC17}"/>
    <cellStyle name="Примечание 2 7 2 6" xfId="4541" xr:uid="{00000000-0005-0000-0000-0000D51E0000}"/>
    <cellStyle name="Примечание 2 7 2 7" xfId="8550" xr:uid="{C856DAB4-B0E2-4C74-B75F-14EAC828FBAA}"/>
    <cellStyle name="Примечание 2 7 2 8" xfId="12441" xr:uid="{373B6F3C-C2E3-4657-AD29-1B00028AB3CA}"/>
    <cellStyle name="Примечание 2 7 3" xfId="828" xr:uid="{00000000-0005-0000-0000-0000D61E0000}"/>
    <cellStyle name="Примечание 2 7 3 2" xfId="2866" xr:uid="{00000000-0005-0000-0000-0000D71E0000}"/>
    <cellStyle name="Примечание 2 7 3 2 2" xfId="6760" xr:uid="{00000000-0005-0000-0000-0000D81E0000}"/>
    <cellStyle name="Примечание 2 7 3 2 3" xfId="10769" xr:uid="{9DD06D4F-51ED-490A-9A4F-646CE34BFE48}"/>
    <cellStyle name="Примечание 2 7 3 3" xfId="3947" xr:uid="{00000000-0005-0000-0000-0000D91E0000}"/>
    <cellStyle name="Примечание 2 7 3 3 2" xfId="7841" xr:uid="{00000000-0005-0000-0000-0000DA1E0000}"/>
    <cellStyle name="Примечание 2 7 3 3 3" xfId="11850" xr:uid="{73B5DAC6-CCCA-4811-BC81-4A94BB497037}"/>
    <cellStyle name="Примечание 2 7 3 4" xfId="4729" xr:uid="{00000000-0005-0000-0000-0000DB1E0000}"/>
    <cellStyle name="Примечание 2 7 3 5" xfId="8738" xr:uid="{4F9957D1-1844-479D-BCE7-CA4C19DF8FB6}"/>
    <cellStyle name="Примечание 2 7 3 6" xfId="12629" xr:uid="{4D44034A-761C-4686-9CDA-DBF73309260B}"/>
    <cellStyle name="Примечание 2 7 4" xfId="1097" xr:uid="{00000000-0005-0000-0000-0000DC1E0000}"/>
    <cellStyle name="Примечание 2 7 4 2" xfId="4998" xr:uid="{00000000-0005-0000-0000-0000DD1E0000}"/>
    <cellStyle name="Примечание 2 7 4 3" xfId="9007" xr:uid="{6912CB4B-DB4E-4A5F-A3B8-779CB982F755}"/>
    <cellStyle name="Примечание 2 7 4 4" xfId="12898" xr:uid="{FBA214C9-B10B-48FE-81FD-36A388C67411}"/>
    <cellStyle name="Примечание 2 7 5" xfId="2863" xr:uid="{00000000-0005-0000-0000-0000DE1E0000}"/>
    <cellStyle name="Примечание 2 7 5 2" xfId="6757" xr:uid="{00000000-0005-0000-0000-0000DF1E0000}"/>
    <cellStyle name="Примечание 2 7 5 3" xfId="10766" xr:uid="{D474C125-B951-4CE8-B380-CD7AF6D4FF11}"/>
    <cellStyle name="Примечание 2 7 6" xfId="3042" xr:uid="{00000000-0005-0000-0000-0000E01E0000}"/>
    <cellStyle name="Примечание 2 7 6 2" xfId="6936" xr:uid="{00000000-0005-0000-0000-0000E11E0000}"/>
    <cellStyle name="Примечание 2 7 6 3" xfId="10945" xr:uid="{455DC1A0-8AA4-4162-9490-D73EC131C608}"/>
    <cellStyle name="Примечание 2 7 7" xfId="4220" xr:uid="{00000000-0005-0000-0000-0000E21E0000}"/>
    <cellStyle name="Примечание 2 7 8" xfId="8229" xr:uid="{35DF594E-3AED-4223-906B-0C62D68131E4}"/>
    <cellStyle name="Примечание 2 7 9" xfId="12120" xr:uid="{19610510-C147-4BD3-B227-079A0B0F0EE0}"/>
    <cellStyle name="Примечание 2 8" xfId="468" xr:uid="{00000000-0005-0000-0000-0000E31E0000}"/>
    <cellStyle name="Примечание 2 8 2" xfId="861" xr:uid="{00000000-0005-0000-0000-0000E41E0000}"/>
    <cellStyle name="Примечание 2 8 2 2" xfId="2868" xr:uid="{00000000-0005-0000-0000-0000E51E0000}"/>
    <cellStyle name="Примечание 2 8 2 2 2" xfId="6762" xr:uid="{00000000-0005-0000-0000-0000E61E0000}"/>
    <cellStyle name="Примечание 2 8 2 2 3" xfId="10771" xr:uid="{553EF7BD-3214-4802-AD0B-288FB27A8F7F}"/>
    <cellStyle name="Примечание 2 8 2 3" xfId="3980" xr:uid="{00000000-0005-0000-0000-0000E71E0000}"/>
    <cellStyle name="Примечание 2 8 2 3 2" xfId="7874" xr:uid="{00000000-0005-0000-0000-0000E81E0000}"/>
    <cellStyle name="Примечание 2 8 2 3 3" xfId="11883" xr:uid="{EB8A411E-2284-4816-957C-131F40CBF49B}"/>
    <cellStyle name="Примечание 2 8 2 4" xfId="4762" xr:uid="{00000000-0005-0000-0000-0000E91E0000}"/>
    <cellStyle name="Примечание 2 8 2 5" xfId="8771" xr:uid="{F9562DAA-B660-456F-9B52-609FE50A0C60}"/>
    <cellStyle name="Примечание 2 8 2 6" xfId="12662" xr:uid="{4069173A-525D-49E7-8497-672DEC5CE7B3}"/>
    <cellStyle name="Примечание 2 8 3" xfId="1253" xr:uid="{00000000-0005-0000-0000-0000EA1E0000}"/>
    <cellStyle name="Примечание 2 8 3 2" xfId="5154" xr:uid="{00000000-0005-0000-0000-0000EB1E0000}"/>
    <cellStyle name="Примечание 2 8 3 3" xfId="9163" xr:uid="{79546789-03DE-4260-AC18-547F3B9FB2A0}"/>
    <cellStyle name="Примечание 2 8 3 4" xfId="13054" xr:uid="{C6BDC36B-EC54-485D-9FDA-0D3622278699}"/>
    <cellStyle name="Примечание 2 8 4" xfId="2867" xr:uid="{00000000-0005-0000-0000-0000EC1E0000}"/>
    <cellStyle name="Примечание 2 8 4 2" xfId="6761" xr:uid="{00000000-0005-0000-0000-0000ED1E0000}"/>
    <cellStyle name="Примечание 2 8 4 3" xfId="10770" xr:uid="{2E23B4FB-84BB-4451-AB49-0C548EFA67F1}"/>
    <cellStyle name="Примечание 2 8 5" xfId="3198" xr:uid="{00000000-0005-0000-0000-0000EE1E0000}"/>
    <cellStyle name="Примечание 2 8 5 2" xfId="7092" xr:uid="{00000000-0005-0000-0000-0000EF1E0000}"/>
    <cellStyle name="Примечание 2 8 5 3" xfId="11101" xr:uid="{7FC61631-2D20-4548-BAE3-233AC243D1A6}"/>
    <cellStyle name="Примечание 2 8 6" xfId="4376" xr:uid="{00000000-0005-0000-0000-0000F01E0000}"/>
    <cellStyle name="Примечание 2 8 7" xfId="8385" xr:uid="{77180562-AC2E-43C7-BFE2-194C47B381CB}"/>
    <cellStyle name="Примечание 2 8 8" xfId="12276" xr:uid="{E4FD5DCB-A724-4518-AA8D-58F5795A2A4C}"/>
    <cellStyle name="Примечание 2 9" xfId="795" xr:uid="{00000000-0005-0000-0000-0000F11E0000}"/>
    <cellStyle name="Примечание 2 9 2" xfId="2869" xr:uid="{00000000-0005-0000-0000-0000F21E0000}"/>
    <cellStyle name="Примечание 2 9 2 2" xfId="6763" xr:uid="{00000000-0005-0000-0000-0000F31E0000}"/>
    <cellStyle name="Примечание 2 9 2 3" xfId="10772" xr:uid="{A5A37530-6370-4D56-B142-701A0CC4DF64}"/>
    <cellStyle name="Примечание 2 9 3" xfId="3914" xr:uid="{00000000-0005-0000-0000-0000F41E0000}"/>
    <cellStyle name="Примечание 2 9 3 2" xfId="7808" xr:uid="{00000000-0005-0000-0000-0000F51E0000}"/>
    <cellStyle name="Примечание 2 9 3 3" xfId="11817" xr:uid="{51520A0E-D0F9-4838-9909-D19C3C72AEFA}"/>
    <cellStyle name="Примечание 2 9 4" xfId="4696" xr:uid="{00000000-0005-0000-0000-0000F61E0000}"/>
    <cellStyle name="Примечание 2 9 5" xfId="8705" xr:uid="{DCD1D4E3-8B2F-4E61-A5EE-920DA4CEBE54}"/>
    <cellStyle name="Примечание 2 9 6" xfId="12596" xr:uid="{EEAE0103-5985-4741-83DD-16B11FD98CA6}"/>
    <cellStyle name="Процентный 2" xfId="167" xr:uid="{00000000-0005-0000-0000-0000F71E0000}"/>
    <cellStyle name="Связанная ячейка 2" xfId="60" xr:uid="{00000000-0005-0000-0000-0000F81E0000}"/>
    <cellStyle name="Связанная ячейка 2 2" xfId="163" xr:uid="{00000000-0005-0000-0000-0000F91E0000}"/>
    <cellStyle name="Стиль 1" xfId="2" xr:uid="{00000000-0005-0000-0000-0000FA1E0000}"/>
    <cellStyle name="Стиль 1 2" xfId="164" xr:uid="{00000000-0005-0000-0000-0000FB1E0000}"/>
    <cellStyle name="Страны" xfId="19" xr:uid="{00000000-0005-0000-0000-0000FC1E0000}"/>
    <cellStyle name="Текст предупреждения 2" xfId="61" xr:uid="{00000000-0005-0000-0000-0000FD1E0000}"/>
    <cellStyle name="Текст предупреждения 2 2" xfId="165" xr:uid="{00000000-0005-0000-0000-0000FE1E0000}"/>
    <cellStyle name="Хороший 2" xfId="62" xr:uid="{00000000-0005-0000-0000-0000FF1E0000}"/>
    <cellStyle name="Хороший 2 2" xfId="166" xr:uid="{00000000-0005-0000-0000-0000001F0000}"/>
    <cellStyle name="Цены" xfId="20" xr:uid="{00000000-0005-0000-0000-0000011F0000}"/>
    <cellStyle name="常规 10 2" xfId="8044" xr:uid="{9752582F-1E1E-4CC3-AA9E-3D233197355B}"/>
    <cellStyle name="常规 10 2 2" xfId="8043" xr:uid="{EA744BF9-468C-4B1B-B3A8-1F70957FA28D}"/>
    <cellStyle name="常规 107" xfId="13552" xr:uid="{FEF877CC-1386-4038-953B-65BE419BF27D}"/>
    <cellStyle name="常规 122" xfId="791" xr:uid="{00000000-0005-0000-0000-0000021F0000}"/>
    <cellStyle name="常规 130" xfId="13554" xr:uid="{D2640DE1-F3C0-4F5F-9BE4-E456817B0902}"/>
    <cellStyle name="常规 131" xfId="13555" xr:uid="{72D43A8F-C8C9-4D80-94E4-ED2EB8736BE0}"/>
    <cellStyle name="常规 138" xfId="13556" xr:uid="{87EE3F3F-D103-47AC-A1FB-F4FAA633C050}"/>
    <cellStyle name="常规 139" xfId="13557" xr:uid="{7FF235F4-3CA0-4CDF-9B84-2D0D25F447F1}"/>
    <cellStyle name="常规 142" xfId="13559" xr:uid="{14F0B2CF-21EF-4C8E-9D7E-D8CEC117E4B3}"/>
    <cellStyle name="常规 143" xfId="13560" xr:uid="{A680ACEC-35EE-4A3F-8A80-EC4CD4C78412}"/>
    <cellStyle name="常规 144" xfId="13558" xr:uid="{8F9C93D5-AB87-421B-8944-B045EDCE0119}"/>
    <cellStyle name="常规 145" xfId="13561" xr:uid="{4E9ACF36-D2C9-455C-A131-261BE90534EA}"/>
    <cellStyle name="常规 146" xfId="13562" xr:uid="{7B94E058-DAA0-4A3C-8754-78B290F65D02}"/>
    <cellStyle name="常规 147" xfId="13564" xr:uid="{A6947619-0F0B-474C-8E69-5DCE25A035FE}"/>
    <cellStyle name="常规 148" xfId="13563" xr:uid="{F18C9CF7-FA9B-46FA-8425-DBCD9CDA7665}"/>
    <cellStyle name="常规 149" xfId="13565" xr:uid="{0C8326F7-71DE-4BBB-906D-1E7D0063C2C1}"/>
    <cellStyle name="常规 150" xfId="13566" xr:uid="{CED87838-BBDD-43E4-8AA2-F781B62310CA}"/>
    <cellStyle name="常规 151" xfId="13567" xr:uid="{5CBEA56D-3DFC-4186-A221-3EE2D5EF82CB}"/>
    <cellStyle name="常规 152" xfId="13568" xr:uid="{879DBB25-BAC1-4813-8820-FAD7D21EDE46}"/>
    <cellStyle name="常规 154" xfId="13569" xr:uid="{DE2A6507-DB53-492B-9418-0FBFAEF43586}"/>
    <cellStyle name="常规 157" xfId="13570" xr:uid="{4355157D-C26D-4D1F-B5A3-8BA6BD0F4308}"/>
    <cellStyle name="常规 158" xfId="13572" xr:uid="{86424A65-A754-4A15-8F10-2E4513963A12}"/>
    <cellStyle name="常规 159" xfId="13571" xr:uid="{0A412C84-D518-473C-BBFD-764D4A547871}"/>
    <cellStyle name="常规 162" xfId="13573" xr:uid="{1BF7DC0E-F3D5-401D-A12E-C87DA9FCD184}"/>
    <cellStyle name="常规 168" xfId="13574" xr:uid="{4AE4ABE0-9391-4A56-B3D8-261757EF5E9C}"/>
    <cellStyle name="常规 169" xfId="13575" xr:uid="{847D8262-3613-4076-97A7-E2F5031B7E58}"/>
    <cellStyle name="常规 171" xfId="13577" xr:uid="{E07D70DD-1B3B-48A3-8C5A-B78D6A38B0DD}"/>
    <cellStyle name="常规 2" xfId="10" xr:uid="{00000000-0005-0000-0000-0000031F0000}"/>
    <cellStyle name="常规 2 10 2" xfId="13580" xr:uid="{2E6736FF-A8FC-4930-971F-945C7DCD9A60}"/>
    <cellStyle name="常规 2 2" xfId="8022" xr:uid="{85DD7DB1-DB7D-46CB-B46D-73505944B3FD}"/>
    <cellStyle name="常规 2 2 2" xfId="8037" xr:uid="{1EEF7F77-C52B-46B9-AED6-69D6C12AB957}"/>
    <cellStyle name="常规 2 3" xfId="8052" xr:uid="{E6AD14FF-8A39-4B3F-8DAA-0691353EF75C}"/>
    <cellStyle name="常规 2 4" xfId="8014" xr:uid="{EA9AAE2F-1587-47AE-9E10-B91DD6D532A1}"/>
    <cellStyle name="常规 3" xfId="8015" xr:uid="{27E85141-FE83-4667-96E5-B18FFBACAB54}"/>
    <cellStyle name="常规 3 2" xfId="8016" xr:uid="{B3287AF6-EF58-4F1C-8ECC-49E66A9892B3}"/>
    <cellStyle name="常规 3 2 2" xfId="8039" xr:uid="{080414E9-7C87-4C4C-93AB-7FF0F7873D23}"/>
    <cellStyle name="常规 3 2 3" xfId="13576" xr:uid="{B356D231-235B-4BDC-BA04-FD78848D8BAF}"/>
    <cellStyle name="常规 3 3" xfId="8038" xr:uid="{61A36D18-D32C-46A3-A335-8850C6C21FE8}"/>
    <cellStyle name="常规 3 4" xfId="8027" xr:uid="{11FFC2BE-76C6-4FCA-B4AE-9EAB85D2BDEC}"/>
    <cellStyle name="常规 3 5" xfId="13553" xr:uid="{1D2AC39C-A8BD-49D0-97F3-09A715E4185D}"/>
    <cellStyle name="常规 4" xfId="8017" xr:uid="{9DDFAAB2-FDE8-4142-A65C-1F9151001026}"/>
    <cellStyle name="常规 4 2" xfId="8040" xr:uid="{4E532888-CD4F-49AB-80EE-F486DE89C17E}"/>
    <cellStyle name="常规 5" xfId="7966" xr:uid="{689FF1B6-2548-4ED7-A2B0-3CDA66AF92AE}"/>
    <cellStyle name="常规 5 2" xfId="8030" xr:uid="{6637329D-3183-4ADE-A874-F23A7E503BEF}"/>
    <cellStyle name="常规 6" xfId="8018" xr:uid="{ED67B88C-9F27-416A-9415-6390020A5D69}"/>
    <cellStyle name="常规 6 2" xfId="8042" xr:uid="{3E6D84CF-DB81-4B6C-92E2-2D8A796DB8C9}"/>
    <cellStyle name="常规 7" xfId="8026" xr:uid="{9097876D-C22C-4B3E-B267-98AA42A91938}"/>
    <cellStyle name="常规 8" xfId="8045" xr:uid="{043818B1-521B-46A8-8009-A0EADC605259}"/>
    <cellStyle name="常规_(revised)Sales Confirmation - samples by air &amp; by sea 112503" xfId="13386" xr:uid="{93F27075-BD50-4D08-9F4E-77FF1283709B}"/>
    <cellStyle name="超链接 2" xfId="8029" xr:uid="{5DFE4F4C-08EB-4151-A6F9-725B32EF41AB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112568</xdr:colOff>
      <xdr:row>1</xdr:row>
      <xdr:rowOff>14720</xdr:rowOff>
    </xdr:from>
    <xdr:to>
      <xdr:col>28</xdr:col>
      <xdr:colOff>173934</xdr:colOff>
      <xdr:row>3</xdr:row>
      <xdr:rowOff>71178</xdr:rowOff>
    </xdr:to>
    <xdr:pic>
      <xdr:nvPicPr>
        <xdr:cNvPr id="2" name="Picture 1" descr="cmr b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9682" y="205220"/>
          <a:ext cx="603078" cy="3835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Y51"/>
  <sheetViews>
    <sheetView topLeftCell="A18" zoomScale="70" zoomScaleNormal="70" zoomScaleSheetLayoutView="40" workbookViewId="0">
      <selection activeCell="E39" sqref="E38:F39"/>
    </sheetView>
  </sheetViews>
  <sheetFormatPr defaultColWidth="9.140625" defaultRowHeight="26.25" customHeight="1"/>
  <cols>
    <col min="1" max="1" width="9" style="73" customWidth="1"/>
    <col min="2" max="2" width="31.7109375" style="77" customWidth="1"/>
    <col min="3" max="3" width="14.5703125" style="74" customWidth="1"/>
    <col min="4" max="4" width="89.42578125" style="73" customWidth="1"/>
    <col min="5" max="5" width="26.7109375" style="74" customWidth="1"/>
    <col min="6" max="6" width="15.7109375" style="74" customWidth="1"/>
    <col min="7" max="8" width="23.28515625" style="74" customWidth="1"/>
    <col min="9" max="9" width="20.85546875" style="74" customWidth="1"/>
    <col min="10" max="10" width="45.7109375" style="74" customWidth="1"/>
    <col min="11" max="11" width="16.140625" style="74" customWidth="1"/>
    <col min="12" max="12" width="14.28515625" style="74" customWidth="1"/>
    <col min="13" max="13" width="12.7109375" style="74" customWidth="1"/>
    <col min="14" max="14" width="14.140625" style="75" customWidth="1"/>
    <col min="15" max="15" width="15.140625" style="75" customWidth="1"/>
    <col min="16" max="16" width="15.7109375" style="75" customWidth="1"/>
    <col min="17" max="17" width="15.5703125" style="76" customWidth="1"/>
    <col min="18" max="18" width="17.140625" style="73" customWidth="1"/>
    <col min="19" max="19" width="20.140625" style="74" customWidth="1"/>
    <col min="20" max="20" width="9.140625" style="74" customWidth="1"/>
    <col min="21" max="22" width="20.140625" style="81" customWidth="1"/>
    <col min="23" max="23" width="12.7109375" style="82" customWidth="1"/>
    <col min="24" max="16384" width="9.140625" style="74"/>
  </cols>
  <sheetData>
    <row r="1" spans="1:23" s="101" customFormat="1" ht="28.5" customHeight="1">
      <c r="A1" s="99"/>
      <c r="B1" s="115" t="s">
        <v>10</v>
      </c>
      <c r="D1" s="113" t="str">
        <f ca="1">VLOOKUP(D7,'Получатель и перевозчик'!A:G,7,FALSE)&amp; RIGHT(YEAR(TODAY()), 2)&amp; DAY(TODAY())&amp;"-"&amp;MID(D11, 2, 3)</f>
        <v>RA263-209</v>
      </c>
      <c r="E1" s="103">
        <f ca="1">TODAY()</f>
        <v>46025</v>
      </c>
      <c r="F1" s="101" t="s">
        <v>255</v>
      </c>
      <c r="N1" s="104"/>
      <c r="O1" s="104"/>
      <c r="P1" s="104"/>
      <c r="Q1" s="105"/>
      <c r="R1" s="99"/>
      <c r="U1" s="106"/>
      <c r="V1" s="106"/>
      <c r="W1" s="107"/>
    </row>
    <row r="2" spans="1:23" s="100" customFormat="1" ht="28.5" customHeight="1" thickBot="1">
      <c r="A2" s="108"/>
      <c r="B2" s="115" t="s">
        <v>247</v>
      </c>
      <c r="C2" s="108"/>
      <c r="D2" s="370" t="s">
        <v>429</v>
      </c>
      <c r="E2" s="368">
        <v>45951</v>
      </c>
      <c r="F2" s="166" t="s">
        <v>200</v>
      </c>
      <c r="G2" s="108"/>
      <c r="H2" s="108"/>
      <c r="I2" s="99"/>
      <c r="J2" s="108"/>
      <c r="K2" s="99"/>
      <c r="L2" s="108"/>
      <c r="M2" s="99"/>
      <c r="N2" s="110"/>
      <c r="O2" s="110"/>
      <c r="P2" s="110"/>
      <c r="Q2" s="105"/>
      <c r="R2" s="108"/>
      <c r="U2" s="111"/>
      <c r="V2" s="111"/>
      <c r="W2" s="107"/>
    </row>
    <row r="3" spans="1:23" s="100" customFormat="1" ht="28.5" customHeight="1" thickBot="1">
      <c r="A3" s="108"/>
      <c r="B3" s="115" t="s">
        <v>246</v>
      </c>
      <c r="C3" s="108"/>
      <c r="D3" s="136" t="str">
        <f>VLOOKUP(D7,'Получатель и перевозчик'!A:F, 5, FALSE)</f>
        <v>RA-25/2110-CH</v>
      </c>
      <c r="E3" s="137">
        <f>VLOOKUP(D7,'Получатель и перевозчик'!A:F, 6, FALSE)</f>
        <v>45951</v>
      </c>
      <c r="F3" s="108"/>
      <c r="G3" s="108"/>
      <c r="H3" s="108"/>
      <c r="I3" s="99"/>
      <c r="J3" s="108"/>
      <c r="K3" s="99"/>
      <c r="L3" s="108"/>
      <c r="M3" s="99"/>
      <c r="N3" s="110"/>
      <c r="O3" s="110"/>
      <c r="P3" s="110"/>
      <c r="Q3" s="105"/>
      <c r="R3" s="108"/>
      <c r="U3" s="111"/>
      <c r="V3" s="111"/>
      <c r="W3" s="107"/>
    </row>
    <row r="4" spans="1:23" s="100" customFormat="1" ht="26.25" customHeight="1" thickBot="1">
      <c r="A4" s="108"/>
      <c r="B4" s="115" t="s">
        <v>174</v>
      </c>
      <c r="C4" s="108"/>
      <c r="D4" s="102" t="s">
        <v>202</v>
      </c>
      <c r="G4" s="108"/>
      <c r="H4" s="108"/>
      <c r="I4" s="99"/>
      <c r="J4" s="108"/>
      <c r="K4" s="99"/>
      <c r="L4" s="108"/>
      <c r="M4" s="99"/>
      <c r="N4" s="110"/>
      <c r="O4" s="110"/>
      <c r="P4" s="110"/>
      <c r="Q4" s="105"/>
      <c r="R4" s="108"/>
      <c r="U4" s="111"/>
      <c r="V4" s="111"/>
      <c r="W4" s="107"/>
    </row>
    <row r="5" spans="1:23" s="100" customFormat="1" ht="28.5" customHeight="1" thickBot="1">
      <c r="A5" s="108"/>
      <c r="B5" s="115" t="s">
        <v>112</v>
      </c>
      <c r="C5" s="108"/>
      <c r="D5" s="134" t="s">
        <v>425</v>
      </c>
      <c r="E5" s="102"/>
      <c r="F5" s="108"/>
      <c r="G5" s="108"/>
      <c r="H5" s="108"/>
      <c r="I5" s="99"/>
      <c r="J5" s="108"/>
      <c r="K5" s="99"/>
      <c r="L5" s="108"/>
      <c r="M5" s="99"/>
      <c r="N5" s="110"/>
      <c r="O5" s="110"/>
      <c r="P5" s="110"/>
      <c r="Q5" s="105"/>
      <c r="R5" s="108"/>
      <c r="U5" s="111"/>
      <c r="V5" s="111"/>
      <c r="W5" s="107"/>
    </row>
    <row r="6" spans="1:23" s="100" customFormat="1" ht="28.5" customHeight="1" thickBot="1">
      <c r="A6" s="108"/>
      <c r="B6" s="115" t="s">
        <v>18</v>
      </c>
      <c r="C6" s="108"/>
      <c r="D6" s="112" t="str">
        <f>VLOOKUP(D5,Отправитель!A:B, 2, FALSE)</f>
        <v xml:space="preserve">BUILDING 8，NO.39, SCIENCE AND TECHNOLOGY AVENUE, YANTAI HIGH-TECH ZONE, CHINA </v>
      </c>
      <c r="E6" s="102"/>
      <c r="F6" s="108"/>
      <c r="G6" s="108"/>
      <c r="H6" s="108"/>
      <c r="I6" s="99"/>
      <c r="J6" s="108"/>
      <c r="K6" s="99"/>
      <c r="L6" s="108"/>
      <c r="M6" s="99"/>
      <c r="N6" s="110"/>
      <c r="O6" s="110"/>
      <c r="P6" s="110"/>
      <c r="Q6" s="105"/>
      <c r="R6" s="108"/>
      <c r="U6" s="111"/>
      <c r="V6" s="111"/>
      <c r="W6" s="107"/>
    </row>
    <row r="7" spans="1:23" s="100" customFormat="1" ht="28.5" customHeight="1" thickBot="1">
      <c r="A7" s="108"/>
      <c r="B7" s="115" t="s">
        <v>245</v>
      </c>
      <c r="C7" s="108"/>
      <c r="D7" s="135" t="s">
        <v>266</v>
      </c>
      <c r="E7" s="101" t="str">
        <f>VLOOKUP(D7,'Получатель и перевозчик'!A:D, 3, FALSE)</f>
        <v>ИНН 7810846669</v>
      </c>
      <c r="F7" s="100" t="str">
        <f>VLOOKUP(D7,'Получатель и перевозчик'!A:D,4, FALSE)</f>
        <v>ОГРН 1117847475987</v>
      </c>
      <c r="G7" s="108"/>
      <c r="H7" s="108"/>
      <c r="I7" s="99"/>
      <c r="J7" s="108"/>
      <c r="K7" s="99"/>
      <c r="L7" s="108"/>
      <c r="M7" s="99"/>
      <c r="N7" s="110"/>
      <c r="O7" s="110"/>
      <c r="P7" s="110"/>
      <c r="Q7" s="105"/>
      <c r="R7" s="108"/>
      <c r="U7" s="111"/>
      <c r="V7" s="111"/>
      <c r="W7" s="107"/>
    </row>
    <row r="8" spans="1:23" s="100" customFormat="1" ht="27.75" customHeight="1" thickBot="1">
      <c r="A8" s="108"/>
      <c r="B8" s="116" t="s">
        <v>244</v>
      </c>
      <c r="C8" s="99"/>
      <c r="D8" s="101" t="str">
        <f>VLOOKUP(D7,'Получатель и перевозчик'!A:D, 2, FALSE)</f>
        <v>197374, г.Санкт-Петербург, вн.тер.г. муниципальный округ № 65, ул. Мебельная, д. 5, литера а, помещ. 1-н</v>
      </c>
      <c r="E8" s="99"/>
      <c r="F8" s="99"/>
      <c r="G8" s="99"/>
      <c r="H8" s="99"/>
      <c r="I8" s="99"/>
      <c r="J8" s="108"/>
      <c r="K8" s="101"/>
      <c r="L8" s="108"/>
      <c r="M8" s="99"/>
      <c r="N8" s="110"/>
      <c r="O8" s="110"/>
      <c r="P8" s="110"/>
      <c r="Q8" s="105"/>
      <c r="R8" s="108"/>
      <c r="U8" s="111"/>
      <c r="V8" s="111"/>
      <c r="W8" s="107"/>
    </row>
    <row r="9" spans="1:23" s="100" customFormat="1" ht="24" customHeight="1" thickBot="1">
      <c r="A9" s="108"/>
      <c r="B9" s="115" t="s">
        <v>242</v>
      </c>
      <c r="C9" s="108"/>
      <c r="D9" s="313" t="s">
        <v>425</v>
      </c>
      <c r="E9" s="102"/>
      <c r="F9" s="108"/>
      <c r="G9" s="108"/>
      <c r="H9" s="108"/>
      <c r="I9" s="99"/>
      <c r="J9" s="108"/>
      <c r="K9" s="99"/>
      <c r="L9" s="108"/>
      <c r="M9" s="99"/>
      <c r="N9" s="110"/>
      <c r="O9" s="110"/>
      <c r="P9" s="110"/>
      <c r="Q9" s="105"/>
      <c r="R9" s="108"/>
      <c r="U9" s="111"/>
      <c r="V9" s="111"/>
      <c r="W9" s="107"/>
    </row>
    <row r="10" spans="1:23" s="100" customFormat="1" ht="28.5" customHeight="1" thickBot="1">
      <c r="A10" s="108"/>
      <c r="B10" s="115" t="s">
        <v>18</v>
      </c>
      <c r="C10" s="108"/>
      <c r="D10" s="112" t="str">
        <f>VLOOKUP(D9,Отправитель!A:B, 2, FALSE)</f>
        <v xml:space="preserve">BUILDING 8，NO.39, SCIENCE AND TECHNOLOGY AVENUE, YANTAI HIGH-TECH ZONE, CHINA </v>
      </c>
      <c r="E10" s="102"/>
      <c r="F10" s="108"/>
      <c r="G10" s="108"/>
      <c r="H10" s="108"/>
      <c r="I10" s="99"/>
      <c r="J10" s="108"/>
      <c r="K10" s="99"/>
      <c r="L10" s="108"/>
      <c r="M10" s="99"/>
      <c r="N10" s="110"/>
      <c r="O10" s="110"/>
      <c r="P10" s="110"/>
      <c r="Q10" s="105"/>
      <c r="R10" s="108"/>
      <c r="U10" s="111"/>
      <c r="V10" s="111"/>
      <c r="W10" s="107"/>
    </row>
    <row r="11" spans="1:23" s="100" customFormat="1" ht="28.5" customHeight="1">
      <c r="A11" s="108"/>
      <c r="B11" s="116" t="s">
        <v>11</v>
      </c>
      <c r="C11" s="108"/>
      <c r="D11" s="142" t="s">
        <v>329</v>
      </c>
      <c r="E11" s="117"/>
      <c r="F11" s="118"/>
      <c r="G11" s="119"/>
      <c r="H11" s="119"/>
      <c r="I11" s="120"/>
      <c r="J11" s="119"/>
      <c r="K11" s="120"/>
      <c r="L11" s="108"/>
      <c r="M11" s="99"/>
      <c r="N11" s="110"/>
      <c r="O11" s="110"/>
      <c r="P11" s="110"/>
      <c r="Q11" s="105"/>
      <c r="R11" s="108"/>
      <c r="U11" s="111"/>
      <c r="V11" s="111"/>
      <c r="W11" s="107"/>
    </row>
    <row r="12" spans="1:23" s="100" customFormat="1" ht="28.5" customHeight="1" thickBot="1">
      <c r="A12" s="108"/>
      <c r="B12" s="116" t="s">
        <v>12</v>
      </c>
      <c r="C12" s="108"/>
      <c r="D12" s="143" t="str">
        <f>VLOOKUP(D11,'доп данные'!D:G, 2, FALSE)</f>
        <v>АВ994425</v>
      </c>
      <c r="E12" s="141" t="str">
        <f>VLOOKUP(D11,'доп данные'!D:G, 4, FALSE)</f>
        <v>10716050-25/2019</v>
      </c>
      <c r="F12" s="121" t="s">
        <v>248</v>
      </c>
      <c r="G12" s="118" t="s">
        <v>249</v>
      </c>
      <c r="H12" s="118"/>
      <c r="I12" s="120"/>
      <c r="J12" s="119"/>
      <c r="K12" s="120"/>
      <c r="L12" s="108"/>
      <c r="M12" s="99"/>
      <c r="N12" s="110"/>
      <c r="O12" s="110"/>
      <c r="P12" s="110"/>
      <c r="Q12" s="105"/>
      <c r="R12" s="108"/>
      <c r="U12" s="111"/>
      <c r="V12" s="111"/>
      <c r="W12" s="107"/>
    </row>
    <row r="13" spans="1:23" s="100" customFormat="1" ht="28.5" customHeight="1" thickBot="1">
      <c r="A13" s="108"/>
      <c r="B13" s="116" t="s">
        <v>13</v>
      </c>
      <c r="C13" s="108"/>
      <c r="D13" s="114" t="str">
        <f>VLOOKUP(D11,'доп данные'!D:G, 3, FALSE)</f>
        <v>XLRTE47MS0E962123</v>
      </c>
      <c r="E13" s="117"/>
      <c r="F13" s="121"/>
      <c r="G13" s="119"/>
      <c r="H13" s="119"/>
      <c r="I13" s="122"/>
      <c r="J13" s="119"/>
      <c r="K13" s="120"/>
      <c r="L13" s="108"/>
      <c r="M13" s="99"/>
      <c r="N13" s="110"/>
      <c r="O13" s="110"/>
      <c r="P13" s="110"/>
      <c r="Q13" s="105"/>
      <c r="R13" s="108"/>
      <c r="U13" s="111"/>
      <c r="V13" s="111"/>
      <c r="W13" s="107"/>
    </row>
    <row r="14" spans="1:23" s="100" customFormat="1" ht="28.5" customHeight="1" thickBot="1">
      <c r="A14" s="108"/>
      <c r="B14" s="116" t="s">
        <v>14</v>
      </c>
      <c r="C14" s="108"/>
      <c r="D14" s="144" t="s">
        <v>271</v>
      </c>
      <c r="E14" s="109"/>
      <c r="F14" s="108"/>
      <c r="G14" s="139"/>
      <c r="H14" s="139"/>
      <c r="I14" s="114"/>
      <c r="J14" s="139"/>
      <c r="K14" s="114"/>
      <c r="L14" s="108"/>
      <c r="M14" s="99"/>
      <c r="N14" s="110"/>
      <c r="O14" s="110"/>
      <c r="P14" s="110"/>
      <c r="Q14" s="105"/>
      <c r="R14" s="108"/>
      <c r="U14" s="111"/>
      <c r="V14" s="111"/>
      <c r="W14" s="107"/>
    </row>
    <row r="15" spans="1:23" s="100" customFormat="1" ht="28.5" customHeight="1" thickBot="1">
      <c r="A15" s="108"/>
      <c r="B15" s="116" t="s">
        <v>15</v>
      </c>
      <c r="C15" s="108"/>
      <c r="D15" s="114" t="str">
        <f>VLOOKUP(D14,'доп данные'!I:K, 2, FALSE)</f>
        <v>77-2950046</v>
      </c>
      <c r="E15" s="109">
        <f>VLOOKUP(D14,'доп данные'!I:K, 3, FALSE)</f>
        <v>45378</v>
      </c>
      <c r="F15" s="108" t="s">
        <v>182</v>
      </c>
      <c r="G15" s="139"/>
      <c r="H15" s="139"/>
      <c r="I15" s="114"/>
      <c r="J15" s="139"/>
      <c r="K15" s="114"/>
      <c r="L15" s="108"/>
      <c r="M15" s="99"/>
      <c r="N15" s="110"/>
      <c r="O15" s="110"/>
      <c r="P15" s="110"/>
      <c r="Q15" s="105"/>
      <c r="R15" s="108"/>
      <c r="U15" s="111"/>
      <c r="V15" s="111"/>
      <c r="W15" s="107"/>
    </row>
    <row r="16" spans="1:23" s="100" customFormat="1" ht="28.5" customHeight="1" thickBot="1">
      <c r="A16" s="108"/>
      <c r="B16" s="116" t="s">
        <v>16</v>
      </c>
      <c r="C16" s="108"/>
      <c r="D16" s="146" t="s">
        <v>231</v>
      </c>
      <c r="K16" s="99"/>
      <c r="L16" s="108"/>
      <c r="M16" s="99"/>
      <c r="N16" s="110"/>
      <c r="O16" s="110"/>
      <c r="P16" s="110"/>
      <c r="Q16" s="105"/>
      <c r="R16" s="108"/>
      <c r="U16" s="111"/>
      <c r="V16" s="111"/>
      <c r="W16" s="107"/>
    </row>
    <row r="17" spans="1:25" s="100" customFormat="1" ht="28.5" customHeight="1">
      <c r="A17" s="108"/>
      <c r="B17" s="116" t="s">
        <v>17</v>
      </c>
      <c r="C17" s="108"/>
      <c r="D17" s="96" t="str">
        <f>VLOOKUP(D16,'Получатель и перевозчик'!I:L, 2, FALSE)</f>
        <v>Приморский край, г. Владивосток,  ул. Запорожская д.77, оф.720</v>
      </c>
      <c r="E17" s="98" t="str">
        <f>VLOOKUP(D16,'Получатель и перевозчик'!I:L, 3, FALSE)</f>
        <v>ИНН 2538144525</v>
      </c>
      <c r="F17" s="97" t="str">
        <f>VLOOKUP(D16,'Получатель и перевозчик'!I:L, 4, FALSE)</f>
        <v>ОГРН  1112538000706</v>
      </c>
      <c r="G17" s="108"/>
      <c r="H17" s="108"/>
      <c r="I17" s="109"/>
      <c r="J17" s="145"/>
      <c r="K17" s="145"/>
      <c r="L17" s="108"/>
      <c r="M17" s="99"/>
      <c r="N17" s="110"/>
      <c r="O17" s="110"/>
      <c r="P17" s="110"/>
      <c r="Q17" s="105"/>
      <c r="R17" s="108"/>
      <c r="U17" s="111"/>
      <c r="V17" s="111"/>
      <c r="W17" s="107"/>
    </row>
    <row r="18" spans="1:25" s="100" customFormat="1" ht="28.5" customHeight="1">
      <c r="A18" s="108"/>
      <c r="B18" s="116" t="s">
        <v>201</v>
      </c>
      <c r="C18" s="108"/>
      <c r="D18" s="109" t="s">
        <v>199</v>
      </c>
      <c r="E18" s="125">
        <v>10716050</v>
      </c>
      <c r="F18" s="123"/>
      <c r="G18" s="121"/>
      <c r="H18" s="121"/>
      <c r="I18" s="117"/>
      <c r="J18" s="124"/>
      <c r="K18" s="124"/>
      <c r="L18" s="108"/>
      <c r="M18" s="99"/>
      <c r="N18" s="110"/>
      <c r="O18" s="110"/>
      <c r="P18" s="110"/>
      <c r="Q18" s="105"/>
      <c r="R18" s="108"/>
      <c r="U18" s="111"/>
      <c r="V18" s="111"/>
      <c r="W18" s="107"/>
    </row>
    <row r="19" spans="1:25" s="100" customFormat="1" ht="28.5" customHeight="1">
      <c r="A19" s="108"/>
      <c r="B19" s="115" t="s">
        <v>20</v>
      </c>
      <c r="C19" s="108"/>
      <c r="D19" s="109">
        <f ca="1">TODAY()+1</f>
        <v>46026</v>
      </c>
      <c r="E19" s="109"/>
      <c r="F19" s="108"/>
      <c r="G19" s="108"/>
      <c r="H19" s="108"/>
      <c r="I19" s="99"/>
      <c r="J19" s="108"/>
      <c r="K19" s="99"/>
      <c r="L19" s="108"/>
      <c r="M19" s="99"/>
      <c r="N19" s="110"/>
      <c r="O19" s="110"/>
      <c r="P19" s="110"/>
      <c r="Q19" s="105"/>
      <c r="R19" s="108"/>
      <c r="U19" s="111"/>
      <c r="V19" s="111"/>
      <c r="W19" s="107"/>
    </row>
    <row r="20" spans="1:25" s="100" customFormat="1" ht="26.25" customHeight="1">
      <c r="A20" s="108"/>
      <c r="B20" s="126" t="s">
        <v>21</v>
      </c>
      <c r="C20" s="127"/>
      <c r="D20" s="103">
        <f ca="1">TODAY()</f>
        <v>46025</v>
      </c>
      <c r="E20" s="109"/>
      <c r="F20" s="108"/>
      <c r="G20" s="108"/>
      <c r="H20" s="108"/>
      <c r="I20" s="99"/>
      <c r="J20" s="108"/>
      <c r="K20" s="99"/>
      <c r="L20" s="108"/>
      <c r="M20" s="99"/>
      <c r="N20" s="110"/>
      <c r="O20" s="110"/>
      <c r="P20" s="110"/>
      <c r="Q20" s="105"/>
      <c r="R20" s="108"/>
      <c r="U20" s="111"/>
      <c r="V20" s="111"/>
      <c r="W20" s="107"/>
    </row>
    <row r="21" spans="1:25" s="84" customFormat="1" ht="26.25" customHeight="1" thickBot="1">
      <c r="A21" s="87"/>
      <c r="B21" s="128"/>
      <c r="C21" s="129"/>
      <c r="D21" s="130"/>
      <c r="E21" s="131"/>
      <c r="F21" s="132"/>
      <c r="G21" s="132"/>
      <c r="H21" s="132"/>
      <c r="I21" s="133"/>
      <c r="J21" s="132"/>
      <c r="K21" s="133"/>
      <c r="L21" s="87"/>
      <c r="M21" s="83"/>
      <c r="N21" s="88"/>
      <c r="O21" s="88"/>
      <c r="P21" s="88"/>
      <c r="Q21" s="85"/>
      <c r="R21" s="87"/>
      <c r="U21" s="89"/>
      <c r="V21" s="89"/>
      <c r="W21" s="86"/>
    </row>
    <row r="22" spans="1:25" s="159" customFormat="1" ht="72" customHeight="1">
      <c r="A22" s="147" t="s">
        <v>258</v>
      </c>
      <c r="B22" s="148" t="s">
        <v>0</v>
      </c>
      <c r="C22" s="149" t="s">
        <v>259</v>
      </c>
      <c r="D22" s="150" t="s">
        <v>1</v>
      </c>
      <c r="E22" s="151" t="s">
        <v>2</v>
      </c>
      <c r="F22" s="150" t="s">
        <v>260</v>
      </c>
      <c r="G22" s="152" t="s">
        <v>9</v>
      </c>
      <c r="H22" s="160" t="s">
        <v>264</v>
      </c>
      <c r="I22" s="153" t="s">
        <v>263</v>
      </c>
      <c r="J22" s="150" t="s">
        <v>3</v>
      </c>
      <c r="K22" s="150" t="s">
        <v>4</v>
      </c>
      <c r="L22" s="150" t="s">
        <v>5</v>
      </c>
      <c r="M22" s="150" t="s">
        <v>6</v>
      </c>
      <c r="N22" s="154" t="s">
        <v>7</v>
      </c>
      <c r="O22" s="154" t="s">
        <v>8</v>
      </c>
      <c r="P22" s="150" t="s">
        <v>261</v>
      </c>
      <c r="Q22" s="147" t="s">
        <v>262</v>
      </c>
      <c r="R22" s="155"/>
      <c r="S22" s="156"/>
      <c r="T22" s="157" t="s">
        <v>4</v>
      </c>
      <c r="U22" s="157" t="s">
        <v>181</v>
      </c>
      <c r="V22" s="158"/>
      <c r="W22" s="155"/>
    </row>
    <row r="23" spans="1:25" s="318" customFormat="1" ht="28.5" customHeight="1">
      <c r="A23" s="351">
        <v>1</v>
      </c>
      <c r="B23" s="354">
        <v>8514390000</v>
      </c>
      <c r="C23" s="350">
        <v>250000</v>
      </c>
      <c r="D23" s="349" t="s">
        <v>430</v>
      </c>
      <c r="E23" s="348" t="s">
        <v>431</v>
      </c>
      <c r="F23" s="361"/>
      <c r="G23" s="361" t="s">
        <v>428</v>
      </c>
      <c r="H23" s="361" t="s">
        <v>443</v>
      </c>
      <c r="I23" s="339" t="s">
        <v>432</v>
      </c>
      <c r="J23" s="341" t="s">
        <v>423</v>
      </c>
      <c r="K23" s="364">
        <v>3</v>
      </c>
      <c r="L23" s="341" t="s">
        <v>433</v>
      </c>
      <c r="M23" s="364">
        <v>1</v>
      </c>
      <c r="N23" s="364">
        <v>1096</v>
      </c>
      <c r="O23" s="364">
        <v>908.8</v>
      </c>
      <c r="P23" s="323"/>
      <c r="Q23" s="360"/>
      <c r="R23" s="324"/>
      <c r="S23" s="324"/>
      <c r="T23" s="338"/>
      <c r="U23" s="338"/>
      <c r="V23" s="359"/>
      <c r="W23" s="338"/>
      <c r="X23" s="327"/>
      <c r="Y23" s="86"/>
    </row>
    <row r="24" spans="1:25" s="318" customFormat="1" ht="28.5" customHeight="1">
      <c r="A24" s="337">
        <v>2</v>
      </c>
      <c r="B24" s="363">
        <v>8419908509</v>
      </c>
      <c r="C24" s="358">
        <v>64000</v>
      </c>
      <c r="D24" s="336" t="s">
        <v>434</v>
      </c>
      <c r="E24" s="357" t="s">
        <v>435</v>
      </c>
      <c r="F24" s="335"/>
      <c r="G24" s="356" t="s">
        <v>428</v>
      </c>
      <c r="H24" s="361" t="s">
        <v>443</v>
      </c>
      <c r="I24" s="334" t="s">
        <v>436</v>
      </c>
      <c r="J24" s="362" t="s">
        <v>423</v>
      </c>
      <c r="K24" s="340">
        <v>1</v>
      </c>
      <c r="L24" s="362" t="s">
        <v>433</v>
      </c>
      <c r="M24" s="340">
        <v>2</v>
      </c>
      <c r="N24" s="340">
        <v>52.8</v>
      </c>
      <c r="O24" s="340">
        <v>35</v>
      </c>
      <c r="P24" s="323"/>
      <c r="Q24" s="360"/>
      <c r="R24" s="369"/>
      <c r="S24" s="369"/>
      <c r="T24" s="347"/>
      <c r="U24" s="346"/>
      <c r="V24" s="330"/>
      <c r="W24" s="346"/>
      <c r="X24" s="327"/>
      <c r="Y24" s="86"/>
    </row>
    <row r="25" spans="1:25" s="318" customFormat="1" ht="28.5" customHeight="1">
      <c r="A25" s="337">
        <v>3</v>
      </c>
      <c r="B25" s="363">
        <v>6903909000</v>
      </c>
      <c r="C25" s="358">
        <v>14000</v>
      </c>
      <c r="D25" s="336" t="s">
        <v>437</v>
      </c>
      <c r="E25" s="357" t="s">
        <v>435</v>
      </c>
      <c r="F25" s="335"/>
      <c r="G25" s="356" t="s">
        <v>428</v>
      </c>
      <c r="H25" s="361" t="s">
        <v>443</v>
      </c>
      <c r="I25" s="334" t="s">
        <v>436</v>
      </c>
      <c r="J25" s="362" t="s">
        <v>423</v>
      </c>
      <c r="K25" s="340" t="s">
        <v>444</v>
      </c>
      <c r="L25" s="362" t="s">
        <v>433</v>
      </c>
      <c r="M25" s="340">
        <v>1</v>
      </c>
      <c r="N25" s="340">
        <v>15</v>
      </c>
      <c r="O25" s="340">
        <v>10</v>
      </c>
      <c r="P25" s="323"/>
      <c r="Q25" s="360"/>
      <c r="R25" s="369"/>
      <c r="S25" s="369"/>
      <c r="T25" s="347"/>
      <c r="U25" s="346"/>
      <c r="V25" s="330"/>
      <c r="W25" s="346"/>
      <c r="X25" s="327"/>
      <c r="Y25" s="86"/>
    </row>
    <row r="26" spans="1:25" s="318" customFormat="1" ht="28.5" customHeight="1">
      <c r="A26" s="337">
        <v>4</v>
      </c>
      <c r="B26" s="363">
        <v>6903909000</v>
      </c>
      <c r="C26" s="358">
        <v>1760</v>
      </c>
      <c r="D26" s="336" t="s">
        <v>438</v>
      </c>
      <c r="E26" s="357" t="s">
        <v>435</v>
      </c>
      <c r="F26" s="335"/>
      <c r="G26" s="356" t="s">
        <v>428</v>
      </c>
      <c r="H26" s="361" t="s">
        <v>443</v>
      </c>
      <c r="I26" s="334" t="s">
        <v>436</v>
      </c>
      <c r="J26" s="362" t="s">
        <v>423</v>
      </c>
      <c r="K26" s="340" t="s">
        <v>444</v>
      </c>
      <c r="L26" s="362" t="s">
        <v>424</v>
      </c>
      <c r="M26" s="340">
        <v>6</v>
      </c>
      <c r="N26" s="340">
        <v>3</v>
      </c>
      <c r="O26" s="340">
        <v>2.4</v>
      </c>
      <c r="P26" s="323"/>
      <c r="Q26" s="360"/>
      <c r="R26" s="369"/>
      <c r="S26" s="369"/>
      <c r="T26" s="347"/>
      <c r="U26" s="346"/>
      <c r="V26" s="330"/>
      <c r="W26" s="346"/>
      <c r="X26" s="327"/>
      <c r="Y26" s="86"/>
    </row>
    <row r="27" spans="1:25" s="318" customFormat="1" ht="28.5" customHeight="1">
      <c r="A27" s="337">
        <v>5</v>
      </c>
      <c r="B27" s="363">
        <v>9025192000</v>
      </c>
      <c r="C27" s="358">
        <v>10300</v>
      </c>
      <c r="D27" s="336" t="s">
        <v>439</v>
      </c>
      <c r="E27" s="357" t="s">
        <v>431</v>
      </c>
      <c r="F27" s="335"/>
      <c r="G27" s="356" t="s">
        <v>428</v>
      </c>
      <c r="H27" s="361" t="s">
        <v>443</v>
      </c>
      <c r="I27" s="334" t="s">
        <v>436</v>
      </c>
      <c r="J27" s="362" t="s">
        <v>423</v>
      </c>
      <c r="K27" s="340" t="s">
        <v>444</v>
      </c>
      <c r="L27" s="362" t="s">
        <v>424</v>
      </c>
      <c r="M27" s="340">
        <v>2</v>
      </c>
      <c r="N27" s="340">
        <v>2</v>
      </c>
      <c r="O27" s="340">
        <v>1.1000000000000001</v>
      </c>
      <c r="P27" s="323"/>
      <c r="Q27" s="360"/>
      <c r="R27" s="369"/>
      <c r="S27" s="369"/>
      <c r="T27" s="347"/>
      <c r="U27" s="346"/>
      <c r="V27" s="330"/>
      <c r="W27" s="346"/>
      <c r="X27" s="327"/>
      <c r="Y27" s="86"/>
    </row>
    <row r="28" spans="1:25" s="318" customFormat="1" ht="28.5" customHeight="1">
      <c r="A28" s="337">
        <v>6</v>
      </c>
      <c r="B28" s="363">
        <v>7326909807</v>
      </c>
      <c r="C28" s="358">
        <v>900</v>
      </c>
      <c r="D28" s="336" t="s">
        <v>440</v>
      </c>
      <c r="E28" s="357" t="s">
        <v>435</v>
      </c>
      <c r="F28" s="335"/>
      <c r="G28" s="356" t="s">
        <v>428</v>
      </c>
      <c r="H28" s="361" t="s">
        <v>443</v>
      </c>
      <c r="I28" s="334" t="s">
        <v>436</v>
      </c>
      <c r="J28" s="362" t="s">
        <v>423</v>
      </c>
      <c r="K28" s="340" t="s">
        <v>444</v>
      </c>
      <c r="L28" s="362" t="s">
        <v>424</v>
      </c>
      <c r="M28" s="340">
        <v>20</v>
      </c>
      <c r="N28" s="340">
        <v>3</v>
      </c>
      <c r="O28" s="340">
        <v>2</v>
      </c>
      <c r="P28" s="323"/>
      <c r="Q28" s="360"/>
      <c r="R28" s="369"/>
      <c r="S28" s="369"/>
      <c r="T28" s="347"/>
      <c r="U28" s="346"/>
      <c r="V28" s="330"/>
      <c r="W28" s="346"/>
      <c r="X28" s="327"/>
      <c r="Y28" s="86"/>
    </row>
    <row r="29" spans="1:25" s="318" customFormat="1" ht="28.5" customHeight="1">
      <c r="A29" s="337">
        <v>7</v>
      </c>
      <c r="B29" s="363">
        <v>7326909807</v>
      </c>
      <c r="C29" s="358">
        <v>200</v>
      </c>
      <c r="D29" s="336" t="s">
        <v>441</v>
      </c>
      <c r="E29" s="357" t="s">
        <v>435</v>
      </c>
      <c r="F29" s="335"/>
      <c r="G29" s="356" t="s">
        <v>428</v>
      </c>
      <c r="H29" s="361" t="s">
        <v>443</v>
      </c>
      <c r="I29" s="334" t="s">
        <v>436</v>
      </c>
      <c r="J29" s="362" t="s">
        <v>423</v>
      </c>
      <c r="K29" s="340" t="s">
        <v>444</v>
      </c>
      <c r="L29" s="362" t="s">
        <v>424</v>
      </c>
      <c r="M29" s="340">
        <v>20</v>
      </c>
      <c r="N29" s="340">
        <v>1.5</v>
      </c>
      <c r="O29" s="340">
        <v>0.9</v>
      </c>
      <c r="P29" s="323"/>
      <c r="Q29" s="360"/>
      <c r="R29" s="369"/>
      <c r="S29" s="369"/>
      <c r="T29" s="347"/>
      <c r="U29" s="346"/>
      <c r="V29" s="330"/>
      <c r="W29" s="346"/>
      <c r="X29" s="327"/>
      <c r="Y29" s="86"/>
    </row>
    <row r="30" spans="1:25" s="318" customFormat="1" ht="28.5" customHeight="1">
      <c r="A30" s="355">
        <v>8</v>
      </c>
      <c r="B30" s="353">
        <v>3926909709</v>
      </c>
      <c r="C30" s="366">
        <v>60</v>
      </c>
      <c r="D30" s="342" t="s">
        <v>442</v>
      </c>
      <c r="E30" s="342" t="s">
        <v>435</v>
      </c>
      <c r="F30" s="367"/>
      <c r="G30" s="352" t="s">
        <v>428</v>
      </c>
      <c r="H30" s="361" t="s">
        <v>443</v>
      </c>
      <c r="I30" s="365" t="s">
        <v>436</v>
      </c>
      <c r="J30" s="341" t="s">
        <v>423</v>
      </c>
      <c r="K30" s="340" t="s">
        <v>444</v>
      </c>
      <c r="L30" s="341" t="s">
        <v>424</v>
      </c>
      <c r="M30" s="364">
        <v>10</v>
      </c>
      <c r="N30" s="364">
        <v>0.3</v>
      </c>
      <c r="O30" s="364">
        <v>0.2</v>
      </c>
      <c r="P30" s="323"/>
      <c r="Q30" s="85"/>
      <c r="R30" s="324"/>
      <c r="S30" s="325"/>
      <c r="T30" s="326"/>
      <c r="U30" s="329"/>
      <c r="V30" s="330"/>
      <c r="W30" s="331"/>
    </row>
    <row r="31" spans="1:25" s="318" customFormat="1" ht="26.25" customHeight="1">
      <c r="A31" s="314"/>
      <c r="B31" s="328"/>
      <c r="C31" s="316"/>
      <c r="D31" s="317"/>
      <c r="E31" s="317"/>
      <c r="G31" s="319"/>
      <c r="H31" s="319"/>
      <c r="I31" s="320"/>
      <c r="J31" s="321"/>
      <c r="K31" s="322"/>
      <c r="L31" s="321"/>
      <c r="M31" s="322"/>
      <c r="N31" s="322"/>
      <c r="O31" s="322"/>
      <c r="P31" s="323"/>
      <c r="Q31" s="85"/>
      <c r="R31" s="83"/>
      <c r="U31" s="327"/>
      <c r="V31" s="327"/>
      <c r="W31" s="86"/>
    </row>
    <row r="32" spans="1:25" s="318" customFormat="1" ht="26.25" customHeight="1">
      <c r="A32" s="314"/>
      <c r="B32" s="328"/>
      <c r="C32" s="316"/>
      <c r="D32" s="317"/>
      <c r="E32" s="317"/>
      <c r="G32" s="319"/>
      <c r="H32" s="319"/>
      <c r="I32" s="320"/>
      <c r="J32" s="321"/>
      <c r="K32" s="322"/>
      <c r="L32" s="321"/>
      <c r="M32" s="322"/>
      <c r="N32" s="322"/>
      <c r="O32" s="322"/>
      <c r="P32" s="323"/>
      <c r="Q32" s="85"/>
      <c r="R32" s="83"/>
      <c r="U32" s="327"/>
      <c r="V32" s="327"/>
      <c r="W32" s="86"/>
    </row>
    <row r="33" spans="1:23" s="318" customFormat="1" ht="26.25" customHeight="1">
      <c r="A33" s="314"/>
      <c r="B33" s="328"/>
      <c r="C33" s="332"/>
      <c r="D33" s="317"/>
      <c r="E33" s="317"/>
      <c r="G33" s="319"/>
      <c r="H33" s="319"/>
      <c r="I33" s="320"/>
      <c r="J33" s="321"/>
      <c r="K33" s="322"/>
      <c r="L33" s="321"/>
      <c r="M33" s="322"/>
      <c r="N33" s="322"/>
      <c r="O33" s="322"/>
      <c r="P33" s="323"/>
      <c r="Q33" s="85"/>
      <c r="R33" s="83"/>
      <c r="U33" s="327"/>
      <c r="V33" s="327"/>
      <c r="W33" s="86"/>
    </row>
    <row r="34" spans="1:23" s="318" customFormat="1" ht="26.25" customHeight="1">
      <c r="A34" s="314"/>
      <c r="B34" s="328"/>
      <c r="C34" s="316"/>
      <c r="D34" s="317"/>
      <c r="E34" s="317"/>
      <c r="G34" s="319"/>
      <c r="H34" s="319"/>
      <c r="I34" s="320"/>
      <c r="J34" s="321"/>
      <c r="K34" s="322"/>
      <c r="L34" s="321"/>
      <c r="M34" s="322"/>
      <c r="N34" s="322"/>
      <c r="O34" s="322"/>
      <c r="P34" s="323"/>
      <c r="Q34" s="85"/>
      <c r="R34" s="83"/>
      <c r="U34" s="327"/>
      <c r="V34" s="327"/>
      <c r="W34" s="86"/>
    </row>
    <row r="35" spans="1:23" s="318" customFormat="1" ht="26.25" customHeight="1">
      <c r="A35" s="314"/>
      <c r="B35" s="328"/>
      <c r="C35" s="316"/>
      <c r="D35" s="317"/>
      <c r="E35" s="317"/>
      <c r="G35" s="319"/>
      <c r="H35" s="319"/>
      <c r="I35" s="320"/>
      <c r="J35" s="321"/>
      <c r="K35" s="322"/>
      <c r="L35" s="321"/>
      <c r="M35" s="322"/>
      <c r="N35" s="322"/>
      <c r="O35" s="322"/>
      <c r="P35" s="323"/>
      <c r="Q35" s="85"/>
      <c r="R35" s="83"/>
      <c r="U35" s="327"/>
      <c r="V35" s="327"/>
      <c r="W35" s="86"/>
    </row>
    <row r="36" spans="1:23" s="318" customFormat="1" ht="26.25" customHeight="1">
      <c r="A36" s="314"/>
      <c r="B36" s="315"/>
      <c r="D36" s="83"/>
      <c r="H36" s="319"/>
      <c r="I36" s="320"/>
      <c r="J36" s="321"/>
      <c r="K36" s="322"/>
      <c r="L36" s="321"/>
      <c r="M36" s="322"/>
      <c r="N36" s="322"/>
      <c r="O36" s="322"/>
      <c r="P36" s="323"/>
      <c r="Q36" s="85"/>
      <c r="R36" s="83"/>
      <c r="U36" s="327"/>
      <c r="V36" s="327"/>
      <c r="W36" s="86"/>
    </row>
    <row r="37" spans="1:23" s="318" customFormat="1" ht="26.25" customHeight="1">
      <c r="A37" s="314"/>
      <c r="B37" s="328"/>
      <c r="D37" s="83"/>
      <c r="I37" s="320"/>
      <c r="J37" s="321"/>
      <c r="K37" s="322"/>
      <c r="L37" s="321"/>
      <c r="M37" s="322"/>
      <c r="N37" s="322"/>
      <c r="O37" s="322"/>
      <c r="P37" s="323"/>
      <c r="Q37" s="85"/>
      <c r="R37" s="83"/>
      <c r="U37" s="327"/>
      <c r="V37" s="327"/>
      <c r="W37" s="86"/>
    </row>
    <row r="38" spans="1:23" s="318" customFormat="1" ht="26.25" customHeight="1">
      <c r="A38" s="314"/>
      <c r="B38" s="328"/>
      <c r="D38" s="83"/>
      <c r="I38" s="320"/>
      <c r="J38" s="321"/>
      <c r="K38" s="322"/>
      <c r="L38" s="321"/>
      <c r="M38" s="322"/>
      <c r="N38" s="322"/>
      <c r="O38" s="322"/>
      <c r="P38" s="323"/>
      <c r="Q38" s="85"/>
      <c r="R38" s="83"/>
      <c r="U38" s="327"/>
      <c r="V38" s="327"/>
      <c r="W38" s="86"/>
    </row>
    <row r="39" spans="1:23" s="318" customFormat="1" ht="26.25" customHeight="1">
      <c r="A39" s="314"/>
      <c r="B39" s="328"/>
      <c r="D39" s="83"/>
      <c r="I39" s="320"/>
      <c r="J39" s="321"/>
      <c r="K39" s="322"/>
      <c r="L39" s="321"/>
      <c r="M39" s="322"/>
      <c r="N39" s="322"/>
      <c r="O39" s="322"/>
      <c r="P39" s="323"/>
      <c r="Q39" s="85"/>
      <c r="R39" s="83"/>
      <c r="U39" s="327"/>
      <c r="V39" s="327"/>
      <c r="W39" s="86"/>
    </row>
    <row r="40" spans="1:23" s="318" customFormat="1" ht="26.25" customHeight="1">
      <c r="A40" s="314"/>
      <c r="B40" s="328"/>
      <c r="D40" s="83"/>
      <c r="I40" s="320"/>
      <c r="J40" s="321"/>
      <c r="K40" s="322"/>
      <c r="L40" s="321"/>
      <c r="M40" s="322"/>
      <c r="N40" s="322"/>
      <c r="O40" s="322"/>
      <c r="P40" s="323"/>
      <c r="Q40" s="85"/>
      <c r="R40" s="83"/>
      <c r="U40" s="327"/>
      <c r="V40" s="327"/>
      <c r="W40" s="86"/>
    </row>
    <row r="41" spans="1:23" s="318" customFormat="1" ht="26.25" customHeight="1">
      <c r="A41" s="314"/>
      <c r="B41" s="328"/>
      <c r="D41" s="83"/>
      <c r="I41" s="320"/>
      <c r="J41" s="321"/>
      <c r="K41" s="322"/>
      <c r="L41" s="321"/>
      <c r="M41" s="322"/>
      <c r="N41" s="322"/>
      <c r="O41" s="322"/>
      <c r="P41" s="323"/>
      <c r="Q41" s="85"/>
      <c r="R41" s="83"/>
      <c r="U41" s="327"/>
      <c r="V41" s="327"/>
      <c r="W41" s="86"/>
    </row>
    <row r="42" spans="1:23" s="318" customFormat="1" ht="26.25" customHeight="1">
      <c r="A42" s="314"/>
      <c r="B42" s="328"/>
      <c r="D42" s="83"/>
      <c r="I42" s="320"/>
      <c r="J42" s="321"/>
      <c r="K42" s="322"/>
      <c r="L42" s="321"/>
      <c r="M42" s="322"/>
      <c r="N42" s="322"/>
      <c r="O42" s="322"/>
      <c r="P42" s="323"/>
      <c r="Q42" s="85"/>
      <c r="R42" s="83"/>
      <c r="U42" s="327"/>
      <c r="V42" s="327"/>
      <c r="W42" s="86"/>
    </row>
    <row r="43" spans="1:23" s="318" customFormat="1" ht="26.25" customHeight="1">
      <c r="A43" s="314"/>
      <c r="B43" s="328"/>
      <c r="D43" s="83"/>
      <c r="H43" s="319"/>
      <c r="I43" s="320"/>
      <c r="J43" s="321"/>
      <c r="K43" s="322"/>
      <c r="L43" s="321"/>
      <c r="M43" s="322"/>
      <c r="N43" s="322"/>
      <c r="O43" s="322"/>
      <c r="P43" s="323"/>
      <c r="Q43" s="85"/>
      <c r="R43" s="83"/>
      <c r="U43" s="327"/>
      <c r="V43" s="327"/>
      <c r="W43" s="86"/>
    </row>
    <row r="44" spans="1:23" s="318" customFormat="1" ht="26.25" customHeight="1">
      <c r="A44" s="314"/>
      <c r="B44" s="328"/>
      <c r="D44" s="83"/>
      <c r="H44" s="319"/>
      <c r="I44" s="320"/>
      <c r="J44" s="321"/>
      <c r="K44" s="322"/>
      <c r="L44" s="321"/>
      <c r="M44" s="322"/>
      <c r="N44" s="322"/>
      <c r="O44" s="322"/>
      <c r="P44" s="323"/>
      <c r="Q44" s="85"/>
      <c r="R44" s="83"/>
      <c r="U44" s="327"/>
      <c r="V44" s="327"/>
      <c r="W44" s="86"/>
    </row>
    <row r="45" spans="1:23" s="318" customFormat="1" ht="26.25" customHeight="1">
      <c r="A45" s="314"/>
      <c r="B45" s="328"/>
      <c r="D45" s="83"/>
      <c r="H45" s="319"/>
      <c r="I45" s="320"/>
      <c r="J45" s="321"/>
      <c r="K45" s="322"/>
      <c r="L45" s="321"/>
      <c r="M45" s="322"/>
      <c r="N45" s="322"/>
      <c r="O45" s="322"/>
      <c r="P45" s="323"/>
      <c r="Q45" s="85"/>
      <c r="R45" s="83"/>
      <c r="U45" s="327"/>
      <c r="V45" s="327"/>
      <c r="W45" s="86"/>
    </row>
    <row r="46" spans="1:23" s="318" customFormat="1" ht="26.25" customHeight="1">
      <c r="A46" s="83"/>
      <c r="B46" s="333"/>
      <c r="D46" s="83"/>
      <c r="N46" s="323"/>
      <c r="O46" s="323"/>
      <c r="P46" s="323"/>
      <c r="Q46" s="85"/>
      <c r="R46" s="83"/>
      <c r="U46" s="327"/>
      <c r="V46" s="327"/>
      <c r="W46" s="86"/>
    </row>
    <row r="47" spans="1:23" s="318" customFormat="1" ht="26.25" customHeight="1">
      <c r="A47" s="83"/>
      <c r="B47" s="333"/>
      <c r="D47" s="83"/>
      <c r="N47" s="323"/>
      <c r="O47" s="323"/>
      <c r="P47" s="323"/>
      <c r="Q47" s="85"/>
      <c r="R47" s="83"/>
      <c r="U47" s="327"/>
      <c r="V47" s="327"/>
      <c r="W47" s="86"/>
    </row>
    <row r="48" spans="1:23" s="318" customFormat="1" ht="26.25" customHeight="1">
      <c r="A48" s="83"/>
      <c r="B48" s="333"/>
      <c r="D48" s="83"/>
      <c r="N48" s="323"/>
      <c r="O48" s="323"/>
      <c r="P48" s="323"/>
      <c r="Q48" s="85"/>
      <c r="R48" s="83"/>
      <c r="U48" s="327"/>
      <c r="V48" s="327"/>
      <c r="W48" s="86"/>
    </row>
    <row r="49" spans="1:23" s="318" customFormat="1" ht="26.25" customHeight="1">
      <c r="A49" s="83"/>
      <c r="B49" s="333"/>
      <c r="D49" s="83"/>
      <c r="N49" s="323"/>
      <c r="O49" s="323"/>
      <c r="P49" s="323"/>
      <c r="Q49" s="85"/>
      <c r="R49" s="83"/>
      <c r="U49" s="327"/>
      <c r="V49" s="327"/>
      <c r="W49" s="86"/>
    </row>
    <row r="50" spans="1:23" s="318" customFormat="1" ht="26.25" customHeight="1">
      <c r="A50" s="83"/>
      <c r="B50" s="333"/>
      <c r="D50" s="83"/>
      <c r="N50" s="323"/>
      <c r="O50" s="323"/>
      <c r="P50" s="323"/>
      <c r="Q50" s="85"/>
      <c r="R50" s="83"/>
      <c r="U50" s="327"/>
      <c r="V50" s="327"/>
      <c r="W50" s="86"/>
    </row>
    <row r="51" spans="1:23" s="318" customFormat="1" ht="26.25" customHeight="1">
      <c r="A51" s="83"/>
      <c r="B51" s="333"/>
      <c r="D51" s="83"/>
      <c r="N51" s="323"/>
      <c r="O51" s="323"/>
      <c r="P51" s="323"/>
      <c r="Q51" s="85"/>
      <c r="R51" s="83"/>
      <c r="U51" s="327"/>
      <c r="V51" s="327"/>
      <c r="W51" s="86"/>
    </row>
  </sheetData>
  <autoFilter ref="A22:X22" xr:uid="{00000000-0009-0000-0000-000000000000}"/>
  <sortState xmlns:xlrd2="http://schemas.microsoft.com/office/spreadsheetml/2017/richdata2" ref="A32:P35">
    <sortCondition descending="1" ref="F32:F35"/>
  </sortState>
  <phoneticPr fontId="146" type="noConversion"/>
  <pageMargins left="0.7" right="0.7" top="0.75" bottom="0.75" header="0.3" footer="0.3"/>
  <pageSetup paperSize="9" scale="34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7">
        <x14:dataValidation type="list" allowBlank="1" showInputMessage="1" showErrorMessage="1" xr:uid="{D27A3003-B277-4EAA-A6B1-EFCA6C16BB9A}">
          <x14:formula1>
            <xm:f>'доп данные'!$A$2:$A$9</xm:f>
          </x14:formula1>
          <xm:sqref>D4</xm:sqref>
        </x14:dataValidation>
        <x14:dataValidation type="list" allowBlank="1" showInputMessage="1" showErrorMessage="1" xr:uid="{D7375949-DDB4-4B13-B588-461EB3DD5216}">
          <x14:formula1>
            <xm:f>'доп данные'!$I$2:$I$10</xm:f>
          </x14:formula1>
          <xm:sqref>D14</xm:sqref>
        </x14:dataValidation>
        <x14:dataValidation type="list" allowBlank="1" showInputMessage="1" showErrorMessage="1" xr:uid="{D50D8711-D6A6-4BC4-A5DF-70EA0634388B}">
          <x14:formula1>
            <xm:f>'доп данные'!$D$2:$D$13</xm:f>
          </x14:formula1>
          <xm:sqref>D11</xm:sqref>
        </x14:dataValidation>
        <x14:dataValidation type="list" allowBlank="1" showInputMessage="1" showErrorMessage="1" xr:uid="{FCB44FBB-89C6-45A4-A379-A8B1AF82D3E6}">
          <x14:formula1>
            <xm:f>'Получатель и перевозчик'!$A:$A</xm:f>
          </x14:formula1>
          <xm:sqref>D7</xm:sqref>
        </x14:dataValidation>
        <x14:dataValidation type="list" allowBlank="1" showInputMessage="1" showErrorMessage="1" xr:uid="{E180A474-998E-41BE-9621-6118BA62E740}">
          <x14:formula1>
            <xm:f>'Получатель и перевозчик'!$I:$I</xm:f>
          </x14:formula1>
          <xm:sqref>D16</xm:sqref>
        </x14:dataValidation>
        <x14:dataValidation type="list" allowBlank="1" showInputMessage="1" showErrorMessage="1" xr:uid="{BDD4F90D-ED93-42E8-8169-513BD13954A6}">
          <x14:formula1>
            <xm:f>Отправитель!$A$2:$A$20</xm:f>
          </x14:formula1>
          <xm:sqref>D5</xm:sqref>
        </x14:dataValidation>
        <x14:dataValidation type="list" allowBlank="1" showInputMessage="1" showErrorMessage="1" xr:uid="{07A52216-2E34-46C3-9A3F-12E027743D46}">
          <x14:formula1>
            <xm:f>Отправитель!$A:$A</xm:f>
          </x14:formula1>
          <xm:sqref>D9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view="pageBreakPreview" topLeftCell="B4" zoomScale="55" zoomScaleNormal="80" zoomScaleSheetLayoutView="55" workbookViewId="0">
      <selection activeCell="C21" sqref="C21"/>
    </sheetView>
  </sheetViews>
  <sheetFormatPr defaultRowHeight="15"/>
  <cols>
    <col min="1" max="1" width="10" style="265" customWidth="1"/>
    <col min="2" max="2" width="26.5703125" customWidth="1"/>
    <col min="3" max="3" width="254.7109375" customWidth="1"/>
    <col min="4" max="4" width="25.5703125" customWidth="1"/>
    <col min="5" max="5" width="23.28515625" style="300" customWidth="1"/>
    <col min="6" max="6" width="16" style="300" customWidth="1"/>
    <col min="7" max="7" width="5" customWidth="1"/>
    <col min="8" max="8" width="18.85546875" style="300" customWidth="1"/>
    <col min="9" max="9" width="15.5703125" customWidth="1"/>
    <col min="10" max="10" width="23.7109375" customWidth="1"/>
    <col min="11" max="11" width="8.7109375" hidden="1" customWidth="1"/>
    <col min="12" max="12" width="26" customWidth="1"/>
    <col min="13" max="13" width="26.5703125" customWidth="1"/>
    <col min="14" max="14" width="27" customWidth="1"/>
    <col min="241" max="241" width="3.5703125" customWidth="1"/>
    <col min="242" max="242" width="11.85546875" customWidth="1"/>
    <col min="243" max="243" width="5.85546875" customWidth="1"/>
    <col min="244" max="244" width="72.140625" customWidth="1"/>
    <col min="245" max="245" width="16.7109375" customWidth="1"/>
    <col min="246" max="246" width="13.85546875" customWidth="1"/>
    <col min="247" max="247" width="6" customWidth="1"/>
    <col min="248" max="248" width="4.28515625" customWidth="1"/>
    <col min="249" max="249" width="10.7109375" customWidth="1"/>
    <col min="250" max="250" width="7.5703125" customWidth="1"/>
    <col min="251" max="251" width="9" customWidth="1"/>
    <col min="252" max="252" width="1.85546875" customWidth="1"/>
    <col min="253" max="253" width="8.42578125" customWidth="1"/>
    <col min="254" max="254" width="9" customWidth="1"/>
    <col min="255" max="255" width="13" customWidth="1"/>
    <col min="256" max="256" width="9.7109375" customWidth="1"/>
    <col min="257" max="257" width="12.5703125" customWidth="1"/>
    <col min="258" max="258" width="9.5703125" bestFit="1" customWidth="1"/>
    <col min="259" max="259" width="7.28515625" customWidth="1"/>
    <col min="260" max="260" width="8.28515625" customWidth="1"/>
    <col min="261" max="261" width="5.42578125" customWidth="1"/>
    <col min="497" max="497" width="3.5703125" customWidth="1"/>
    <col min="498" max="498" width="11.85546875" customWidth="1"/>
    <col min="499" max="499" width="5.85546875" customWidth="1"/>
    <col min="500" max="500" width="72.140625" customWidth="1"/>
    <col min="501" max="501" width="16.7109375" customWidth="1"/>
    <col min="502" max="502" width="13.85546875" customWidth="1"/>
    <col min="503" max="503" width="6" customWidth="1"/>
    <col min="504" max="504" width="4.28515625" customWidth="1"/>
    <col min="505" max="505" width="10.7109375" customWidth="1"/>
    <col min="506" max="506" width="7.5703125" customWidth="1"/>
    <col min="507" max="507" width="9" customWidth="1"/>
    <col min="508" max="508" width="1.85546875" customWidth="1"/>
    <col min="509" max="509" width="8.42578125" customWidth="1"/>
    <col min="510" max="510" width="9" customWidth="1"/>
    <col min="511" max="511" width="13" customWidth="1"/>
    <col min="512" max="512" width="9.7109375" customWidth="1"/>
    <col min="513" max="513" width="12.5703125" customWidth="1"/>
    <col min="514" max="514" width="9.5703125" bestFit="1" customWidth="1"/>
    <col min="515" max="515" width="7.28515625" customWidth="1"/>
    <col min="516" max="516" width="8.28515625" customWidth="1"/>
    <col min="517" max="517" width="5.42578125" customWidth="1"/>
    <col min="753" max="753" width="3.5703125" customWidth="1"/>
    <col min="754" max="754" width="11.85546875" customWidth="1"/>
    <col min="755" max="755" width="5.85546875" customWidth="1"/>
    <col min="756" max="756" width="72.140625" customWidth="1"/>
    <col min="757" max="757" width="16.7109375" customWidth="1"/>
    <col min="758" max="758" width="13.85546875" customWidth="1"/>
    <col min="759" max="759" width="6" customWidth="1"/>
    <col min="760" max="760" width="4.28515625" customWidth="1"/>
    <col min="761" max="761" width="10.7109375" customWidth="1"/>
    <col min="762" max="762" width="7.5703125" customWidth="1"/>
    <col min="763" max="763" width="9" customWidth="1"/>
    <col min="764" max="764" width="1.85546875" customWidth="1"/>
    <col min="765" max="765" width="8.42578125" customWidth="1"/>
    <col min="766" max="766" width="9" customWidth="1"/>
    <col min="767" max="767" width="13" customWidth="1"/>
    <col min="768" max="768" width="9.7109375" customWidth="1"/>
    <col min="769" max="769" width="12.5703125" customWidth="1"/>
    <col min="770" max="770" width="9.5703125" bestFit="1" customWidth="1"/>
    <col min="771" max="771" width="7.28515625" customWidth="1"/>
    <col min="772" max="772" width="8.28515625" customWidth="1"/>
    <col min="773" max="773" width="5.42578125" customWidth="1"/>
    <col min="1009" max="1009" width="3.5703125" customWidth="1"/>
    <col min="1010" max="1010" width="11.85546875" customWidth="1"/>
    <col min="1011" max="1011" width="5.85546875" customWidth="1"/>
    <col min="1012" max="1012" width="72.140625" customWidth="1"/>
    <col min="1013" max="1013" width="16.7109375" customWidth="1"/>
    <col min="1014" max="1014" width="13.85546875" customWidth="1"/>
    <col min="1015" max="1015" width="6" customWidth="1"/>
    <col min="1016" max="1016" width="4.28515625" customWidth="1"/>
    <col min="1017" max="1017" width="10.7109375" customWidth="1"/>
    <col min="1018" max="1018" width="7.5703125" customWidth="1"/>
    <col min="1019" max="1019" width="9" customWidth="1"/>
    <col min="1020" max="1020" width="1.85546875" customWidth="1"/>
    <col min="1021" max="1021" width="8.42578125" customWidth="1"/>
    <col min="1022" max="1022" width="9" customWidth="1"/>
    <col min="1023" max="1023" width="13" customWidth="1"/>
    <col min="1024" max="1024" width="9.7109375" customWidth="1"/>
    <col min="1025" max="1025" width="12.5703125" customWidth="1"/>
    <col min="1026" max="1026" width="9.5703125" bestFit="1" customWidth="1"/>
    <col min="1027" max="1027" width="7.28515625" customWidth="1"/>
    <col min="1028" max="1028" width="8.28515625" customWidth="1"/>
    <col min="1029" max="1029" width="5.42578125" customWidth="1"/>
    <col min="1265" max="1265" width="3.5703125" customWidth="1"/>
    <col min="1266" max="1266" width="11.85546875" customWidth="1"/>
    <col min="1267" max="1267" width="5.85546875" customWidth="1"/>
    <col min="1268" max="1268" width="72.140625" customWidth="1"/>
    <col min="1269" max="1269" width="16.7109375" customWidth="1"/>
    <col min="1270" max="1270" width="13.85546875" customWidth="1"/>
    <col min="1271" max="1271" width="6" customWidth="1"/>
    <col min="1272" max="1272" width="4.28515625" customWidth="1"/>
    <col min="1273" max="1273" width="10.7109375" customWidth="1"/>
    <col min="1274" max="1274" width="7.5703125" customWidth="1"/>
    <col min="1275" max="1275" width="9" customWidth="1"/>
    <col min="1276" max="1276" width="1.85546875" customWidth="1"/>
    <col min="1277" max="1277" width="8.42578125" customWidth="1"/>
    <col min="1278" max="1278" width="9" customWidth="1"/>
    <col min="1279" max="1279" width="13" customWidth="1"/>
    <col min="1280" max="1280" width="9.7109375" customWidth="1"/>
    <col min="1281" max="1281" width="12.5703125" customWidth="1"/>
    <col min="1282" max="1282" width="9.5703125" bestFit="1" customWidth="1"/>
    <col min="1283" max="1283" width="7.28515625" customWidth="1"/>
    <col min="1284" max="1284" width="8.28515625" customWidth="1"/>
    <col min="1285" max="1285" width="5.42578125" customWidth="1"/>
    <col min="1521" max="1521" width="3.5703125" customWidth="1"/>
    <col min="1522" max="1522" width="11.85546875" customWidth="1"/>
    <col min="1523" max="1523" width="5.85546875" customWidth="1"/>
    <col min="1524" max="1524" width="72.140625" customWidth="1"/>
    <col min="1525" max="1525" width="16.7109375" customWidth="1"/>
    <col min="1526" max="1526" width="13.85546875" customWidth="1"/>
    <col min="1527" max="1527" width="6" customWidth="1"/>
    <col min="1528" max="1528" width="4.28515625" customWidth="1"/>
    <col min="1529" max="1529" width="10.7109375" customWidth="1"/>
    <col min="1530" max="1530" width="7.5703125" customWidth="1"/>
    <col min="1531" max="1531" width="9" customWidth="1"/>
    <col min="1532" max="1532" width="1.85546875" customWidth="1"/>
    <col min="1533" max="1533" width="8.42578125" customWidth="1"/>
    <col min="1534" max="1534" width="9" customWidth="1"/>
    <col min="1535" max="1535" width="13" customWidth="1"/>
    <col min="1536" max="1536" width="9.7109375" customWidth="1"/>
    <col min="1537" max="1537" width="12.5703125" customWidth="1"/>
    <col min="1538" max="1538" width="9.5703125" bestFit="1" customWidth="1"/>
    <col min="1539" max="1539" width="7.28515625" customWidth="1"/>
    <col min="1540" max="1540" width="8.28515625" customWidth="1"/>
    <col min="1541" max="1541" width="5.42578125" customWidth="1"/>
    <col min="1777" max="1777" width="3.5703125" customWidth="1"/>
    <col min="1778" max="1778" width="11.85546875" customWidth="1"/>
    <col min="1779" max="1779" width="5.85546875" customWidth="1"/>
    <col min="1780" max="1780" width="72.140625" customWidth="1"/>
    <col min="1781" max="1781" width="16.7109375" customWidth="1"/>
    <col min="1782" max="1782" width="13.85546875" customWidth="1"/>
    <col min="1783" max="1783" width="6" customWidth="1"/>
    <col min="1784" max="1784" width="4.28515625" customWidth="1"/>
    <col min="1785" max="1785" width="10.7109375" customWidth="1"/>
    <col min="1786" max="1786" width="7.5703125" customWidth="1"/>
    <col min="1787" max="1787" width="9" customWidth="1"/>
    <col min="1788" max="1788" width="1.85546875" customWidth="1"/>
    <col min="1789" max="1789" width="8.42578125" customWidth="1"/>
    <col min="1790" max="1790" width="9" customWidth="1"/>
    <col min="1791" max="1791" width="13" customWidth="1"/>
    <col min="1792" max="1792" width="9.7109375" customWidth="1"/>
    <col min="1793" max="1793" width="12.5703125" customWidth="1"/>
    <col min="1794" max="1794" width="9.5703125" bestFit="1" customWidth="1"/>
    <col min="1795" max="1795" width="7.28515625" customWidth="1"/>
    <col min="1796" max="1796" width="8.28515625" customWidth="1"/>
    <col min="1797" max="1797" width="5.42578125" customWidth="1"/>
    <col min="2033" max="2033" width="3.5703125" customWidth="1"/>
    <col min="2034" max="2034" width="11.85546875" customWidth="1"/>
    <col min="2035" max="2035" width="5.85546875" customWidth="1"/>
    <col min="2036" max="2036" width="72.140625" customWidth="1"/>
    <col min="2037" max="2037" width="16.7109375" customWidth="1"/>
    <col min="2038" max="2038" width="13.85546875" customWidth="1"/>
    <col min="2039" max="2039" width="6" customWidth="1"/>
    <col min="2040" max="2040" width="4.28515625" customWidth="1"/>
    <col min="2041" max="2041" width="10.7109375" customWidth="1"/>
    <col min="2042" max="2042" width="7.5703125" customWidth="1"/>
    <col min="2043" max="2043" width="9" customWidth="1"/>
    <col min="2044" max="2044" width="1.85546875" customWidth="1"/>
    <col min="2045" max="2045" width="8.42578125" customWidth="1"/>
    <col min="2046" max="2046" width="9" customWidth="1"/>
    <col min="2047" max="2047" width="13" customWidth="1"/>
    <col min="2048" max="2048" width="9.7109375" customWidth="1"/>
    <col min="2049" max="2049" width="12.5703125" customWidth="1"/>
    <col min="2050" max="2050" width="9.5703125" bestFit="1" customWidth="1"/>
    <col min="2051" max="2051" width="7.28515625" customWidth="1"/>
    <col min="2052" max="2052" width="8.28515625" customWidth="1"/>
    <col min="2053" max="2053" width="5.42578125" customWidth="1"/>
    <col min="2289" max="2289" width="3.5703125" customWidth="1"/>
    <col min="2290" max="2290" width="11.85546875" customWidth="1"/>
    <col min="2291" max="2291" width="5.85546875" customWidth="1"/>
    <col min="2292" max="2292" width="72.140625" customWidth="1"/>
    <col min="2293" max="2293" width="16.7109375" customWidth="1"/>
    <col min="2294" max="2294" width="13.85546875" customWidth="1"/>
    <col min="2295" max="2295" width="6" customWidth="1"/>
    <col min="2296" max="2296" width="4.28515625" customWidth="1"/>
    <col min="2297" max="2297" width="10.7109375" customWidth="1"/>
    <col min="2298" max="2298" width="7.5703125" customWidth="1"/>
    <col min="2299" max="2299" width="9" customWidth="1"/>
    <col min="2300" max="2300" width="1.85546875" customWidth="1"/>
    <col min="2301" max="2301" width="8.42578125" customWidth="1"/>
    <col min="2302" max="2302" width="9" customWidth="1"/>
    <col min="2303" max="2303" width="13" customWidth="1"/>
    <col min="2304" max="2304" width="9.7109375" customWidth="1"/>
    <col min="2305" max="2305" width="12.5703125" customWidth="1"/>
    <col min="2306" max="2306" width="9.5703125" bestFit="1" customWidth="1"/>
    <col min="2307" max="2307" width="7.28515625" customWidth="1"/>
    <col min="2308" max="2308" width="8.28515625" customWidth="1"/>
    <col min="2309" max="2309" width="5.42578125" customWidth="1"/>
    <col min="2545" max="2545" width="3.5703125" customWidth="1"/>
    <col min="2546" max="2546" width="11.85546875" customWidth="1"/>
    <col min="2547" max="2547" width="5.85546875" customWidth="1"/>
    <col min="2548" max="2548" width="72.140625" customWidth="1"/>
    <col min="2549" max="2549" width="16.7109375" customWidth="1"/>
    <col min="2550" max="2550" width="13.85546875" customWidth="1"/>
    <col min="2551" max="2551" width="6" customWidth="1"/>
    <col min="2552" max="2552" width="4.28515625" customWidth="1"/>
    <col min="2553" max="2553" width="10.7109375" customWidth="1"/>
    <col min="2554" max="2554" width="7.5703125" customWidth="1"/>
    <col min="2555" max="2555" width="9" customWidth="1"/>
    <col min="2556" max="2556" width="1.85546875" customWidth="1"/>
    <col min="2557" max="2557" width="8.42578125" customWidth="1"/>
    <col min="2558" max="2558" width="9" customWidth="1"/>
    <col min="2559" max="2559" width="13" customWidth="1"/>
    <col min="2560" max="2560" width="9.7109375" customWidth="1"/>
    <col min="2561" max="2561" width="12.5703125" customWidth="1"/>
    <col min="2562" max="2562" width="9.5703125" bestFit="1" customWidth="1"/>
    <col min="2563" max="2563" width="7.28515625" customWidth="1"/>
    <col min="2564" max="2564" width="8.28515625" customWidth="1"/>
    <col min="2565" max="2565" width="5.42578125" customWidth="1"/>
    <col min="2801" max="2801" width="3.5703125" customWidth="1"/>
    <col min="2802" max="2802" width="11.85546875" customWidth="1"/>
    <col min="2803" max="2803" width="5.85546875" customWidth="1"/>
    <col min="2804" max="2804" width="72.140625" customWidth="1"/>
    <col min="2805" max="2805" width="16.7109375" customWidth="1"/>
    <col min="2806" max="2806" width="13.85546875" customWidth="1"/>
    <col min="2807" max="2807" width="6" customWidth="1"/>
    <col min="2808" max="2808" width="4.28515625" customWidth="1"/>
    <col min="2809" max="2809" width="10.7109375" customWidth="1"/>
    <col min="2810" max="2810" width="7.5703125" customWidth="1"/>
    <col min="2811" max="2811" width="9" customWidth="1"/>
    <col min="2812" max="2812" width="1.85546875" customWidth="1"/>
    <col min="2813" max="2813" width="8.42578125" customWidth="1"/>
    <col min="2814" max="2814" width="9" customWidth="1"/>
    <col min="2815" max="2815" width="13" customWidth="1"/>
    <col min="2816" max="2816" width="9.7109375" customWidth="1"/>
    <col min="2817" max="2817" width="12.5703125" customWidth="1"/>
    <col min="2818" max="2818" width="9.5703125" bestFit="1" customWidth="1"/>
    <col min="2819" max="2819" width="7.28515625" customWidth="1"/>
    <col min="2820" max="2820" width="8.28515625" customWidth="1"/>
    <col min="2821" max="2821" width="5.42578125" customWidth="1"/>
    <col min="3057" max="3057" width="3.5703125" customWidth="1"/>
    <col min="3058" max="3058" width="11.85546875" customWidth="1"/>
    <col min="3059" max="3059" width="5.85546875" customWidth="1"/>
    <col min="3060" max="3060" width="72.140625" customWidth="1"/>
    <col min="3061" max="3061" width="16.7109375" customWidth="1"/>
    <col min="3062" max="3062" width="13.85546875" customWidth="1"/>
    <col min="3063" max="3063" width="6" customWidth="1"/>
    <col min="3064" max="3064" width="4.28515625" customWidth="1"/>
    <col min="3065" max="3065" width="10.7109375" customWidth="1"/>
    <col min="3066" max="3066" width="7.5703125" customWidth="1"/>
    <col min="3067" max="3067" width="9" customWidth="1"/>
    <col min="3068" max="3068" width="1.85546875" customWidth="1"/>
    <col min="3069" max="3069" width="8.42578125" customWidth="1"/>
    <col min="3070" max="3070" width="9" customWidth="1"/>
    <col min="3071" max="3071" width="13" customWidth="1"/>
    <col min="3072" max="3072" width="9.7109375" customWidth="1"/>
    <col min="3073" max="3073" width="12.5703125" customWidth="1"/>
    <col min="3074" max="3074" width="9.5703125" bestFit="1" customWidth="1"/>
    <col min="3075" max="3075" width="7.28515625" customWidth="1"/>
    <col min="3076" max="3076" width="8.28515625" customWidth="1"/>
    <col min="3077" max="3077" width="5.42578125" customWidth="1"/>
    <col min="3313" max="3313" width="3.5703125" customWidth="1"/>
    <col min="3314" max="3314" width="11.85546875" customWidth="1"/>
    <col min="3315" max="3315" width="5.85546875" customWidth="1"/>
    <col min="3316" max="3316" width="72.140625" customWidth="1"/>
    <col min="3317" max="3317" width="16.7109375" customWidth="1"/>
    <col min="3318" max="3318" width="13.85546875" customWidth="1"/>
    <col min="3319" max="3319" width="6" customWidth="1"/>
    <col min="3320" max="3320" width="4.28515625" customWidth="1"/>
    <col min="3321" max="3321" width="10.7109375" customWidth="1"/>
    <col min="3322" max="3322" width="7.5703125" customWidth="1"/>
    <col min="3323" max="3323" width="9" customWidth="1"/>
    <col min="3324" max="3324" width="1.85546875" customWidth="1"/>
    <col min="3325" max="3325" width="8.42578125" customWidth="1"/>
    <col min="3326" max="3326" width="9" customWidth="1"/>
    <col min="3327" max="3327" width="13" customWidth="1"/>
    <col min="3328" max="3328" width="9.7109375" customWidth="1"/>
    <col min="3329" max="3329" width="12.5703125" customWidth="1"/>
    <col min="3330" max="3330" width="9.5703125" bestFit="1" customWidth="1"/>
    <col min="3331" max="3331" width="7.28515625" customWidth="1"/>
    <col min="3332" max="3332" width="8.28515625" customWidth="1"/>
    <col min="3333" max="3333" width="5.42578125" customWidth="1"/>
    <col min="3569" max="3569" width="3.5703125" customWidth="1"/>
    <col min="3570" max="3570" width="11.85546875" customWidth="1"/>
    <col min="3571" max="3571" width="5.85546875" customWidth="1"/>
    <col min="3572" max="3572" width="72.140625" customWidth="1"/>
    <col min="3573" max="3573" width="16.7109375" customWidth="1"/>
    <col min="3574" max="3574" width="13.85546875" customWidth="1"/>
    <col min="3575" max="3575" width="6" customWidth="1"/>
    <col min="3576" max="3576" width="4.28515625" customWidth="1"/>
    <col min="3577" max="3577" width="10.7109375" customWidth="1"/>
    <col min="3578" max="3578" width="7.5703125" customWidth="1"/>
    <col min="3579" max="3579" width="9" customWidth="1"/>
    <col min="3580" max="3580" width="1.85546875" customWidth="1"/>
    <col min="3581" max="3581" width="8.42578125" customWidth="1"/>
    <col min="3582" max="3582" width="9" customWidth="1"/>
    <col min="3583" max="3583" width="13" customWidth="1"/>
    <col min="3584" max="3584" width="9.7109375" customWidth="1"/>
    <col min="3585" max="3585" width="12.5703125" customWidth="1"/>
    <col min="3586" max="3586" width="9.5703125" bestFit="1" customWidth="1"/>
    <col min="3587" max="3587" width="7.28515625" customWidth="1"/>
    <col min="3588" max="3588" width="8.28515625" customWidth="1"/>
    <col min="3589" max="3589" width="5.42578125" customWidth="1"/>
    <col min="3825" max="3825" width="3.5703125" customWidth="1"/>
    <col min="3826" max="3826" width="11.85546875" customWidth="1"/>
    <col min="3827" max="3827" width="5.85546875" customWidth="1"/>
    <col min="3828" max="3828" width="72.140625" customWidth="1"/>
    <col min="3829" max="3829" width="16.7109375" customWidth="1"/>
    <col min="3830" max="3830" width="13.85546875" customWidth="1"/>
    <col min="3831" max="3831" width="6" customWidth="1"/>
    <col min="3832" max="3832" width="4.28515625" customWidth="1"/>
    <col min="3833" max="3833" width="10.7109375" customWidth="1"/>
    <col min="3834" max="3834" width="7.5703125" customWidth="1"/>
    <col min="3835" max="3835" width="9" customWidth="1"/>
    <col min="3836" max="3836" width="1.85546875" customWidth="1"/>
    <col min="3837" max="3837" width="8.42578125" customWidth="1"/>
    <col min="3838" max="3838" width="9" customWidth="1"/>
    <col min="3839" max="3839" width="13" customWidth="1"/>
    <col min="3840" max="3840" width="9.7109375" customWidth="1"/>
    <col min="3841" max="3841" width="12.5703125" customWidth="1"/>
    <col min="3842" max="3842" width="9.5703125" bestFit="1" customWidth="1"/>
    <col min="3843" max="3843" width="7.28515625" customWidth="1"/>
    <col min="3844" max="3844" width="8.28515625" customWidth="1"/>
    <col min="3845" max="3845" width="5.42578125" customWidth="1"/>
    <col min="4081" max="4081" width="3.5703125" customWidth="1"/>
    <col min="4082" max="4082" width="11.85546875" customWidth="1"/>
    <col min="4083" max="4083" width="5.85546875" customWidth="1"/>
    <col min="4084" max="4084" width="72.140625" customWidth="1"/>
    <col min="4085" max="4085" width="16.7109375" customWidth="1"/>
    <col min="4086" max="4086" width="13.85546875" customWidth="1"/>
    <col min="4087" max="4087" width="6" customWidth="1"/>
    <col min="4088" max="4088" width="4.28515625" customWidth="1"/>
    <col min="4089" max="4089" width="10.7109375" customWidth="1"/>
    <col min="4090" max="4090" width="7.5703125" customWidth="1"/>
    <col min="4091" max="4091" width="9" customWidth="1"/>
    <col min="4092" max="4092" width="1.85546875" customWidth="1"/>
    <col min="4093" max="4093" width="8.42578125" customWidth="1"/>
    <col min="4094" max="4094" width="9" customWidth="1"/>
    <col min="4095" max="4095" width="13" customWidth="1"/>
    <col min="4096" max="4096" width="9.7109375" customWidth="1"/>
    <col min="4097" max="4097" width="12.5703125" customWidth="1"/>
    <col min="4098" max="4098" width="9.5703125" bestFit="1" customWidth="1"/>
    <col min="4099" max="4099" width="7.28515625" customWidth="1"/>
    <col min="4100" max="4100" width="8.28515625" customWidth="1"/>
    <col min="4101" max="4101" width="5.42578125" customWidth="1"/>
    <col min="4337" max="4337" width="3.5703125" customWidth="1"/>
    <col min="4338" max="4338" width="11.85546875" customWidth="1"/>
    <col min="4339" max="4339" width="5.85546875" customWidth="1"/>
    <col min="4340" max="4340" width="72.140625" customWidth="1"/>
    <col min="4341" max="4341" width="16.7109375" customWidth="1"/>
    <col min="4342" max="4342" width="13.85546875" customWidth="1"/>
    <col min="4343" max="4343" width="6" customWidth="1"/>
    <col min="4344" max="4344" width="4.28515625" customWidth="1"/>
    <col min="4345" max="4345" width="10.7109375" customWidth="1"/>
    <col min="4346" max="4346" width="7.5703125" customWidth="1"/>
    <col min="4347" max="4347" width="9" customWidth="1"/>
    <col min="4348" max="4348" width="1.85546875" customWidth="1"/>
    <col min="4349" max="4349" width="8.42578125" customWidth="1"/>
    <col min="4350" max="4350" width="9" customWidth="1"/>
    <col min="4351" max="4351" width="13" customWidth="1"/>
    <col min="4352" max="4352" width="9.7109375" customWidth="1"/>
    <col min="4353" max="4353" width="12.5703125" customWidth="1"/>
    <col min="4354" max="4354" width="9.5703125" bestFit="1" customWidth="1"/>
    <col min="4355" max="4355" width="7.28515625" customWidth="1"/>
    <col min="4356" max="4356" width="8.28515625" customWidth="1"/>
    <col min="4357" max="4357" width="5.42578125" customWidth="1"/>
    <col min="4593" max="4593" width="3.5703125" customWidth="1"/>
    <col min="4594" max="4594" width="11.85546875" customWidth="1"/>
    <col min="4595" max="4595" width="5.85546875" customWidth="1"/>
    <col min="4596" max="4596" width="72.140625" customWidth="1"/>
    <col min="4597" max="4597" width="16.7109375" customWidth="1"/>
    <col min="4598" max="4598" width="13.85546875" customWidth="1"/>
    <col min="4599" max="4599" width="6" customWidth="1"/>
    <col min="4600" max="4600" width="4.28515625" customWidth="1"/>
    <col min="4601" max="4601" width="10.7109375" customWidth="1"/>
    <col min="4602" max="4602" width="7.5703125" customWidth="1"/>
    <col min="4603" max="4603" width="9" customWidth="1"/>
    <col min="4604" max="4604" width="1.85546875" customWidth="1"/>
    <col min="4605" max="4605" width="8.42578125" customWidth="1"/>
    <col min="4606" max="4606" width="9" customWidth="1"/>
    <col min="4607" max="4607" width="13" customWidth="1"/>
    <col min="4608" max="4608" width="9.7109375" customWidth="1"/>
    <col min="4609" max="4609" width="12.5703125" customWidth="1"/>
    <col min="4610" max="4610" width="9.5703125" bestFit="1" customWidth="1"/>
    <col min="4611" max="4611" width="7.28515625" customWidth="1"/>
    <col min="4612" max="4612" width="8.28515625" customWidth="1"/>
    <col min="4613" max="4613" width="5.42578125" customWidth="1"/>
    <col min="4849" max="4849" width="3.5703125" customWidth="1"/>
    <col min="4850" max="4850" width="11.85546875" customWidth="1"/>
    <col min="4851" max="4851" width="5.85546875" customWidth="1"/>
    <col min="4852" max="4852" width="72.140625" customWidth="1"/>
    <col min="4853" max="4853" width="16.7109375" customWidth="1"/>
    <col min="4854" max="4854" width="13.85546875" customWidth="1"/>
    <col min="4855" max="4855" width="6" customWidth="1"/>
    <col min="4856" max="4856" width="4.28515625" customWidth="1"/>
    <col min="4857" max="4857" width="10.7109375" customWidth="1"/>
    <col min="4858" max="4858" width="7.5703125" customWidth="1"/>
    <col min="4859" max="4859" width="9" customWidth="1"/>
    <col min="4860" max="4860" width="1.85546875" customWidth="1"/>
    <col min="4861" max="4861" width="8.42578125" customWidth="1"/>
    <col min="4862" max="4862" width="9" customWidth="1"/>
    <col min="4863" max="4863" width="13" customWidth="1"/>
    <col min="4864" max="4864" width="9.7109375" customWidth="1"/>
    <col min="4865" max="4865" width="12.5703125" customWidth="1"/>
    <col min="4866" max="4866" width="9.5703125" bestFit="1" customWidth="1"/>
    <col min="4867" max="4867" width="7.28515625" customWidth="1"/>
    <col min="4868" max="4868" width="8.28515625" customWidth="1"/>
    <col min="4869" max="4869" width="5.42578125" customWidth="1"/>
    <col min="5105" max="5105" width="3.5703125" customWidth="1"/>
    <col min="5106" max="5106" width="11.85546875" customWidth="1"/>
    <col min="5107" max="5107" width="5.85546875" customWidth="1"/>
    <col min="5108" max="5108" width="72.140625" customWidth="1"/>
    <col min="5109" max="5109" width="16.7109375" customWidth="1"/>
    <col min="5110" max="5110" width="13.85546875" customWidth="1"/>
    <col min="5111" max="5111" width="6" customWidth="1"/>
    <col min="5112" max="5112" width="4.28515625" customWidth="1"/>
    <col min="5113" max="5113" width="10.7109375" customWidth="1"/>
    <col min="5114" max="5114" width="7.5703125" customWidth="1"/>
    <col min="5115" max="5115" width="9" customWidth="1"/>
    <col min="5116" max="5116" width="1.85546875" customWidth="1"/>
    <col min="5117" max="5117" width="8.42578125" customWidth="1"/>
    <col min="5118" max="5118" width="9" customWidth="1"/>
    <col min="5119" max="5119" width="13" customWidth="1"/>
    <col min="5120" max="5120" width="9.7109375" customWidth="1"/>
    <col min="5121" max="5121" width="12.5703125" customWidth="1"/>
    <col min="5122" max="5122" width="9.5703125" bestFit="1" customWidth="1"/>
    <col min="5123" max="5123" width="7.28515625" customWidth="1"/>
    <col min="5124" max="5124" width="8.28515625" customWidth="1"/>
    <col min="5125" max="5125" width="5.42578125" customWidth="1"/>
    <col min="5361" max="5361" width="3.5703125" customWidth="1"/>
    <col min="5362" max="5362" width="11.85546875" customWidth="1"/>
    <col min="5363" max="5363" width="5.85546875" customWidth="1"/>
    <col min="5364" max="5364" width="72.140625" customWidth="1"/>
    <col min="5365" max="5365" width="16.7109375" customWidth="1"/>
    <col min="5366" max="5366" width="13.85546875" customWidth="1"/>
    <col min="5367" max="5367" width="6" customWidth="1"/>
    <col min="5368" max="5368" width="4.28515625" customWidth="1"/>
    <col min="5369" max="5369" width="10.7109375" customWidth="1"/>
    <col min="5370" max="5370" width="7.5703125" customWidth="1"/>
    <col min="5371" max="5371" width="9" customWidth="1"/>
    <col min="5372" max="5372" width="1.85546875" customWidth="1"/>
    <col min="5373" max="5373" width="8.42578125" customWidth="1"/>
    <col min="5374" max="5374" width="9" customWidth="1"/>
    <col min="5375" max="5375" width="13" customWidth="1"/>
    <col min="5376" max="5376" width="9.7109375" customWidth="1"/>
    <col min="5377" max="5377" width="12.5703125" customWidth="1"/>
    <col min="5378" max="5378" width="9.5703125" bestFit="1" customWidth="1"/>
    <col min="5379" max="5379" width="7.28515625" customWidth="1"/>
    <col min="5380" max="5380" width="8.28515625" customWidth="1"/>
    <col min="5381" max="5381" width="5.42578125" customWidth="1"/>
    <col min="5617" max="5617" width="3.5703125" customWidth="1"/>
    <col min="5618" max="5618" width="11.85546875" customWidth="1"/>
    <col min="5619" max="5619" width="5.85546875" customWidth="1"/>
    <col min="5620" max="5620" width="72.140625" customWidth="1"/>
    <col min="5621" max="5621" width="16.7109375" customWidth="1"/>
    <col min="5622" max="5622" width="13.85546875" customWidth="1"/>
    <col min="5623" max="5623" width="6" customWidth="1"/>
    <col min="5624" max="5624" width="4.28515625" customWidth="1"/>
    <col min="5625" max="5625" width="10.7109375" customWidth="1"/>
    <col min="5626" max="5626" width="7.5703125" customWidth="1"/>
    <col min="5627" max="5627" width="9" customWidth="1"/>
    <col min="5628" max="5628" width="1.85546875" customWidth="1"/>
    <col min="5629" max="5629" width="8.42578125" customWidth="1"/>
    <col min="5630" max="5630" width="9" customWidth="1"/>
    <col min="5631" max="5631" width="13" customWidth="1"/>
    <col min="5632" max="5632" width="9.7109375" customWidth="1"/>
    <col min="5633" max="5633" width="12.5703125" customWidth="1"/>
    <col min="5634" max="5634" width="9.5703125" bestFit="1" customWidth="1"/>
    <col min="5635" max="5635" width="7.28515625" customWidth="1"/>
    <col min="5636" max="5636" width="8.28515625" customWidth="1"/>
    <col min="5637" max="5637" width="5.42578125" customWidth="1"/>
    <col min="5873" max="5873" width="3.5703125" customWidth="1"/>
    <col min="5874" max="5874" width="11.85546875" customWidth="1"/>
    <col min="5875" max="5875" width="5.85546875" customWidth="1"/>
    <col min="5876" max="5876" width="72.140625" customWidth="1"/>
    <col min="5877" max="5877" width="16.7109375" customWidth="1"/>
    <col min="5878" max="5878" width="13.85546875" customWidth="1"/>
    <col min="5879" max="5879" width="6" customWidth="1"/>
    <col min="5880" max="5880" width="4.28515625" customWidth="1"/>
    <col min="5881" max="5881" width="10.7109375" customWidth="1"/>
    <col min="5882" max="5882" width="7.5703125" customWidth="1"/>
    <col min="5883" max="5883" width="9" customWidth="1"/>
    <col min="5884" max="5884" width="1.85546875" customWidth="1"/>
    <col min="5885" max="5885" width="8.42578125" customWidth="1"/>
    <col min="5886" max="5886" width="9" customWidth="1"/>
    <col min="5887" max="5887" width="13" customWidth="1"/>
    <col min="5888" max="5888" width="9.7109375" customWidth="1"/>
    <col min="5889" max="5889" width="12.5703125" customWidth="1"/>
    <col min="5890" max="5890" width="9.5703125" bestFit="1" customWidth="1"/>
    <col min="5891" max="5891" width="7.28515625" customWidth="1"/>
    <col min="5892" max="5892" width="8.28515625" customWidth="1"/>
    <col min="5893" max="5893" width="5.42578125" customWidth="1"/>
    <col min="6129" max="6129" width="3.5703125" customWidth="1"/>
    <col min="6130" max="6130" width="11.85546875" customWidth="1"/>
    <col min="6131" max="6131" width="5.85546875" customWidth="1"/>
    <col min="6132" max="6132" width="72.140625" customWidth="1"/>
    <col min="6133" max="6133" width="16.7109375" customWidth="1"/>
    <col min="6134" max="6134" width="13.85546875" customWidth="1"/>
    <col min="6135" max="6135" width="6" customWidth="1"/>
    <col min="6136" max="6136" width="4.28515625" customWidth="1"/>
    <col min="6137" max="6137" width="10.7109375" customWidth="1"/>
    <col min="6138" max="6138" width="7.5703125" customWidth="1"/>
    <col min="6139" max="6139" width="9" customWidth="1"/>
    <col min="6140" max="6140" width="1.85546875" customWidth="1"/>
    <col min="6141" max="6141" width="8.42578125" customWidth="1"/>
    <col min="6142" max="6142" width="9" customWidth="1"/>
    <col min="6143" max="6143" width="13" customWidth="1"/>
    <col min="6144" max="6144" width="9.7109375" customWidth="1"/>
    <col min="6145" max="6145" width="12.5703125" customWidth="1"/>
    <col min="6146" max="6146" width="9.5703125" bestFit="1" customWidth="1"/>
    <col min="6147" max="6147" width="7.28515625" customWidth="1"/>
    <col min="6148" max="6148" width="8.28515625" customWidth="1"/>
    <col min="6149" max="6149" width="5.42578125" customWidth="1"/>
    <col min="6385" max="6385" width="3.5703125" customWidth="1"/>
    <col min="6386" max="6386" width="11.85546875" customWidth="1"/>
    <col min="6387" max="6387" width="5.85546875" customWidth="1"/>
    <col min="6388" max="6388" width="72.140625" customWidth="1"/>
    <col min="6389" max="6389" width="16.7109375" customWidth="1"/>
    <col min="6390" max="6390" width="13.85546875" customWidth="1"/>
    <col min="6391" max="6391" width="6" customWidth="1"/>
    <col min="6392" max="6392" width="4.28515625" customWidth="1"/>
    <col min="6393" max="6393" width="10.7109375" customWidth="1"/>
    <col min="6394" max="6394" width="7.5703125" customWidth="1"/>
    <col min="6395" max="6395" width="9" customWidth="1"/>
    <col min="6396" max="6396" width="1.85546875" customWidth="1"/>
    <col min="6397" max="6397" width="8.42578125" customWidth="1"/>
    <col min="6398" max="6398" width="9" customWidth="1"/>
    <col min="6399" max="6399" width="13" customWidth="1"/>
    <col min="6400" max="6400" width="9.7109375" customWidth="1"/>
    <col min="6401" max="6401" width="12.5703125" customWidth="1"/>
    <col min="6402" max="6402" width="9.5703125" bestFit="1" customWidth="1"/>
    <col min="6403" max="6403" width="7.28515625" customWidth="1"/>
    <col min="6404" max="6404" width="8.28515625" customWidth="1"/>
    <col min="6405" max="6405" width="5.42578125" customWidth="1"/>
    <col min="6641" max="6641" width="3.5703125" customWidth="1"/>
    <col min="6642" max="6642" width="11.85546875" customWidth="1"/>
    <col min="6643" max="6643" width="5.85546875" customWidth="1"/>
    <col min="6644" max="6644" width="72.140625" customWidth="1"/>
    <col min="6645" max="6645" width="16.7109375" customWidth="1"/>
    <col min="6646" max="6646" width="13.85546875" customWidth="1"/>
    <col min="6647" max="6647" width="6" customWidth="1"/>
    <col min="6648" max="6648" width="4.28515625" customWidth="1"/>
    <col min="6649" max="6649" width="10.7109375" customWidth="1"/>
    <col min="6650" max="6650" width="7.5703125" customWidth="1"/>
    <col min="6651" max="6651" width="9" customWidth="1"/>
    <col min="6652" max="6652" width="1.85546875" customWidth="1"/>
    <col min="6653" max="6653" width="8.42578125" customWidth="1"/>
    <col min="6654" max="6654" width="9" customWidth="1"/>
    <col min="6655" max="6655" width="13" customWidth="1"/>
    <col min="6656" max="6656" width="9.7109375" customWidth="1"/>
    <col min="6657" max="6657" width="12.5703125" customWidth="1"/>
    <col min="6658" max="6658" width="9.5703125" bestFit="1" customWidth="1"/>
    <col min="6659" max="6659" width="7.28515625" customWidth="1"/>
    <col min="6660" max="6660" width="8.28515625" customWidth="1"/>
    <col min="6661" max="6661" width="5.42578125" customWidth="1"/>
    <col min="6897" max="6897" width="3.5703125" customWidth="1"/>
    <col min="6898" max="6898" width="11.85546875" customWidth="1"/>
    <col min="6899" max="6899" width="5.85546875" customWidth="1"/>
    <col min="6900" max="6900" width="72.140625" customWidth="1"/>
    <col min="6901" max="6901" width="16.7109375" customWidth="1"/>
    <col min="6902" max="6902" width="13.85546875" customWidth="1"/>
    <col min="6903" max="6903" width="6" customWidth="1"/>
    <col min="6904" max="6904" width="4.28515625" customWidth="1"/>
    <col min="6905" max="6905" width="10.7109375" customWidth="1"/>
    <col min="6906" max="6906" width="7.5703125" customWidth="1"/>
    <col min="6907" max="6907" width="9" customWidth="1"/>
    <col min="6908" max="6908" width="1.85546875" customWidth="1"/>
    <col min="6909" max="6909" width="8.42578125" customWidth="1"/>
    <col min="6910" max="6910" width="9" customWidth="1"/>
    <col min="6911" max="6911" width="13" customWidth="1"/>
    <col min="6912" max="6912" width="9.7109375" customWidth="1"/>
    <col min="6913" max="6913" width="12.5703125" customWidth="1"/>
    <col min="6914" max="6914" width="9.5703125" bestFit="1" customWidth="1"/>
    <col min="6915" max="6915" width="7.28515625" customWidth="1"/>
    <col min="6916" max="6916" width="8.28515625" customWidth="1"/>
    <col min="6917" max="6917" width="5.42578125" customWidth="1"/>
    <col min="7153" max="7153" width="3.5703125" customWidth="1"/>
    <col min="7154" max="7154" width="11.85546875" customWidth="1"/>
    <col min="7155" max="7155" width="5.85546875" customWidth="1"/>
    <col min="7156" max="7156" width="72.140625" customWidth="1"/>
    <col min="7157" max="7157" width="16.7109375" customWidth="1"/>
    <col min="7158" max="7158" width="13.85546875" customWidth="1"/>
    <col min="7159" max="7159" width="6" customWidth="1"/>
    <col min="7160" max="7160" width="4.28515625" customWidth="1"/>
    <col min="7161" max="7161" width="10.7109375" customWidth="1"/>
    <col min="7162" max="7162" width="7.5703125" customWidth="1"/>
    <col min="7163" max="7163" width="9" customWidth="1"/>
    <col min="7164" max="7164" width="1.85546875" customWidth="1"/>
    <col min="7165" max="7165" width="8.42578125" customWidth="1"/>
    <col min="7166" max="7166" width="9" customWidth="1"/>
    <col min="7167" max="7167" width="13" customWidth="1"/>
    <col min="7168" max="7168" width="9.7109375" customWidth="1"/>
    <col min="7169" max="7169" width="12.5703125" customWidth="1"/>
    <col min="7170" max="7170" width="9.5703125" bestFit="1" customWidth="1"/>
    <col min="7171" max="7171" width="7.28515625" customWidth="1"/>
    <col min="7172" max="7172" width="8.28515625" customWidth="1"/>
    <col min="7173" max="7173" width="5.42578125" customWidth="1"/>
    <col min="7409" max="7409" width="3.5703125" customWidth="1"/>
    <col min="7410" max="7410" width="11.85546875" customWidth="1"/>
    <col min="7411" max="7411" width="5.85546875" customWidth="1"/>
    <col min="7412" max="7412" width="72.140625" customWidth="1"/>
    <col min="7413" max="7413" width="16.7109375" customWidth="1"/>
    <col min="7414" max="7414" width="13.85546875" customWidth="1"/>
    <col min="7415" max="7415" width="6" customWidth="1"/>
    <col min="7416" max="7416" width="4.28515625" customWidth="1"/>
    <col min="7417" max="7417" width="10.7109375" customWidth="1"/>
    <col min="7418" max="7418" width="7.5703125" customWidth="1"/>
    <col min="7419" max="7419" width="9" customWidth="1"/>
    <col min="7420" max="7420" width="1.85546875" customWidth="1"/>
    <col min="7421" max="7421" width="8.42578125" customWidth="1"/>
    <col min="7422" max="7422" width="9" customWidth="1"/>
    <col min="7423" max="7423" width="13" customWidth="1"/>
    <col min="7424" max="7424" width="9.7109375" customWidth="1"/>
    <col min="7425" max="7425" width="12.5703125" customWidth="1"/>
    <col min="7426" max="7426" width="9.5703125" bestFit="1" customWidth="1"/>
    <col min="7427" max="7427" width="7.28515625" customWidth="1"/>
    <col min="7428" max="7428" width="8.28515625" customWidth="1"/>
    <col min="7429" max="7429" width="5.42578125" customWidth="1"/>
    <col min="7665" max="7665" width="3.5703125" customWidth="1"/>
    <col min="7666" max="7666" width="11.85546875" customWidth="1"/>
    <col min="7667" max="7667" width="5.85546875" customWidth="1"/>
    <col min="7668" max="7668" width="72.140625" customWidth="1"/>
    <col min="7669" max="7669" width="16.7109375" customWidth="1"/>
    <col min="7670" max="7670" width="13.85546875" customWidth="1"/>
    <col min="7671" max="7671" width="6" customWidth="1"/>
    <col min="7672" max="7672" width="4.28515625" customWidth="1"/>
    <col min="7673" max="7673" width="10.7109375" customWidth="1"/>
    <col min="7674" max="7674" width="7.5703125" customWidth="1"/>
    <col min="7675" max="7675" width="9" customWidth="1"/>
    <col min="7676" max="7676" width="1.85546875" customWidth="1"/>
    <col min="7677" max="7677" width="8.42578125" customWidth="1"/>
    <col min="7678" max="7678" width="9" customWidth="1"/>
    <col min="7679" max="7679" width="13" customWidth="1"/>
    <col min="7680" max="7680" width="9.7109375" customWidth="1"/>
    <col min="7681" max="7681" width="12.5703125" customWidth="1"/>
    <col min="7682" max="7682" width="9.5703125" bestFit="1" customWidth="1"/>
    <col min="7683" max="7683" width="7.28515625" customWidth="1"/>
    <col min="7684" max="7684" width="8.28515625" customWidth="1"/>
    <col min="7685" max="7685" width="5.42578125" customWidth="1"/>
    <col min="7921" max="7921" width="3.5703125" customWidth="1"/>
    <col min="7922" max="7922" width="11.85546875" customWidth="1"/>
    <col min="7923" max="7923" width="5.85546875" customWidth="1"/>
    <col min="7924" max="7924" width="72.140625" customWidth="1"/>
    <col min="7925" max="7925" width="16.7109375" customWidth="1"/>
    <col min="7926" max="7926" width="13.85546875" customWidth="1"/>
    <col min="7927" max="7927" width="6" customWidth="1"/>
    <col min="7928" max="7928" width="4.28515625" customWidth="1"/>
    <col min="7929" max="7929" width="10.7109375" customWidth="1"/>
    <col min="7930" max="7930" width="7.5703125" customWidth="1"/>
    <col min="7931" max="7931" width="9" customWidth="1"/>
    <col min="7932" max="7932" width="1.85546875" customWidth="1"/>
    <col min="7933" max="7933" width="8.42578125" customWidth="1"/>
    <col min="7934" max="7934" width="9" customWidth="1"/>
    <col min="7935" max="7935" width="13" customWidth="1"/>
    <col min="7936" max="7936" width="9.7109375" customWidth="1"/>
    <col min="7937" max="7937" width="12.5703125" customWidth="1"/>
    <col min="7938" max="7938" width="9.5703125" bestFit="1" customWidth="1"/>
    <col min="7939" max="7939" width="7.28515625" customWidth="1"/>
    <col min="7940" max="7940" width="8.28515625" customWidth="1"/>
    <col min="7941" max="7941" width="5.42578125" customWidth="1"/>
    <col min="8177" max="8177" width="3.5703125" customWidth="1"/>
    <col min="8178" max="8178" width="11.85546875" customWidth="1"/>
    <col min="8179" max="8179" width="5.85546875" customWidth="1"/>
    <col min="8180" max="8180" width="72.140625" customWidth="1"/>
    <col min="8181" max="8181" width="16.7109375" customWidth="1"/>
    <col min="8182" max="8182" width="13.85546875" customWidth="1"/>
    <col min="8183" max="8183" width="6" customWidth="1"/>
    <col min="8184" max="8184" width="4.28515625" customWidth="1"/>
    <col min="8185" max="8185" width="10.7109375" customWidth="1"/>
    <col min="8186" max="8186" width="7.5703125" customWidth="1"/>
    <col min="8187" max="8187" width="9" customWidth="1"/>
    <col min="8188" max="8188" width="1.85546875" customWidth="1"/>
    <col min="8189" max="8189" width="8.42578125" customWidth="1"/>
    <col min="8190" max="8190" width="9" customWidth="1"/>
    <col min="8191" max="8191" width="13" customWidth="1"/>
    <col min="8192" max="8192" width="9.7109375" customWidth="1"/>
    <col min="8193" max="8193" width="12.5703125" customWidth="1"/>
    <col min="8194" max="8194" width="9.5703125" bestFit="1" customWidth="1"/>
    <col min="8195" max="8195" width="7.28515625" customWidth="1"/>
    <col min="8196" max="8196" width="8.28515625" customWidth="1"/>
    <col min="8197" max="8197" width="5.42578125" customWidth="1"/>
    <col min="8433" max="8433" width="3.5703125" customWidth="1"/>
    <col min="8434" max="8434" width="11.85546875" customWidth="1"/>
    <col min="8435" max="8435" width="5.85546875" customWidth="1"/>
    <col min="8436" max="8436" width="72.140625" customWidth="1"/>
    <col min="8437" max="8437" width="16.7109375" customWidth="1"/>
    <col min="8438" max="8438" width="13.85546875" customWidth="1"/>
    <col min="8439" max="8439" width="6" customWidth="1"/>
    <col min="8440" max="8440" width="4.28515625" customWidth="1"/>
    <col min="8441" max="8441" width="10.7109375" customWidth="1"/>
    <col min="8442" max="8442" width="7.5703125" customWidth="1"/>
    <col min="8443" max="8443" width="9" customWidth="1"/>
    <col min="8444" max="8444" width="1.85546875" customWidth="1"/>
    <col min="8445" max="8445" width="8.42578125" customWidth="1"/>
    <col min="8446" max="8446" width="9" customWidth="1"/>
    <col min="8447" max="8447" width="13" customWidth="1"/>
    <col min="8448" max="8448" width="9.7109375" customWidth="1"/>
    <col min="8449" max="8449" width="12.5703125" customWidth="1"/>
    <col min="8450" max="8450" width="9.5703125" bestFit="1" customWidth="1"/>
    <col min="8451" max="8451" width="7.28515625" customWidth="1"/>
    <col min="8452" max="8452" width="8.28515625" customWidth="1"/>
    <col min="8453" max="8453" width="5.42578125" customWidth="1"/>
    <col min="8689" max="8689" width="3.5703125" customWidth="1"/>
    <col min="8690" max="8690" width="11.85546875" customWidth="1"/>
    <col min="8691" max="8691" width="5.85546875" customWidth="1"/>
    <col min="8692" max="8692" width="72.140625" customWidth="1"/>
    <col min="8693" max="8693" width="16.7109375" customWidth="1"/>
    <col min="8694" max="8694" width="13.85546875" customWidth="1"/>
    <col min="8695" max="8695" width="6" customWidth="1"/>
    <col min="8696" max="8696" width="4.28515625" customWidth="1"/>
    <col min="8697" max="8697" width="10.7109375" customWidth="1"/>
    <col min="8698" max="8698" width="7.5703125" customWidth="1"/>
    <col min="8699" max="8699" width="9" customWidth="1"/>
    <col min="8700" max="8700" width="1.85546875" customWidth="1"/>
    <col min="8701" max="8701" width="8.42578125" customWidth="1"/>
    <col min="8702" max="8702" width="9" customWidth="1"/>
    <col min="8703" max="8703" width="13" customWidth="1"/>
    <col min="8704" max="8704" width="9.7109375" customWidth="1"/>
    <col min="8705" max="8705" width="12.5703125" customWidth="1"/>
    <col min="8706" max="8706" width="9.5703125" bestFit="1" customWidth="1"/>
    <col min="8707" max="8707" width="7.28515625" customWidth="1"/>
    <col min="8708" max="8708" width="8.28515625" customWidth="1"/>
    <col min="8709" max="8709" width="5.42578125" customWidth="1"/>
    <col min="8945" max="8945" width="3.5703125" customWidth="1"/>
    <col min="8946" max="8946" width="11.85546875" customWidth="1"/>
    <col min="8947" max="8947" width="5.85546875" customWidth="1"/>
    <col min="8948" max="8948" width="72.140625" customWidth="1"/>
    <col min="8949" max="8949" width="16.7109375" customWidth="1"/>
    <col min="8950" max="8950" width="13.85546875" customWidth="1"/>
    <col min="8951" max="8951" width="6" customWidth="1"/>
    <col min="8952" max="8952" width="4.28515625" customWidth="1"/>
    <col min="8953" max="8953" width="10.7109375" customWidth="1"/>
    <col min="8954" max="8954" width="7.5703125" customWidth="1"/>
    <col min="8955" max="8955" width="9" customWidth="1"/>
    <col min="8956" max="8956" width="1.85546875" customWidth="1"/>
    <col min="8957" max="8957" width="8.42578125" customWidth="1"/>
    <col min="8958" max="8958" width="9" customWidth="1"/>
    <col min="8959" max="8959" width="13" customWidth="1"/>
    <col min="8960" max="8960" width="9.7109375" customWidth="1"/>
    <col min="8961" max="8961" width="12.5703125" customWidth="1"/>
    <col min="8962" max="8962" width="9.5703125" bestFit="1" customWidth="1"/>
    <col min="8963" max="8963" width="7.28515625" customWidth="1"/>
    <col min="8964" max="8964" width="8.28515625" customWidth="1"/>
    <col min="8965" max="8965" width="5.42578125" customWidth="1"/>
    <col min="9201" max="9201" width="3.5703125" customWidth="1"/>
    <col min="9202" max="9202" width="11.85546875" customWidth="1"/>
    <col min="9203" max="9203" width="5.85546875" customWidth="1"/>
    <col min="9204" max="9204" width="72.140625" customWidth="1"/>
    <col min="9205" max="9205" width="16.7109375" customWidth="1"/>
    <col min="9206" max="9206" width="13.85546875" customWidth="1"/>
    <col min="9207" max="9207" width="6" customWidth="1"/>
    <col min="9208" max="9208" width="4.28515625" customWidth="1"/>
    <col min="9209" max="9209" width="10.7109375" customWidth="1"/>
    <col min="9210" max="9210" width="7.5703125" customWidth="1"/>
    <col min="9211" max="9211" width="9" customWidth="1"/>
    <col min="9212" max="9212" width="1.85546875" customWidth="1"/>
    <col min="9213" max="9213" width="8.42578125" customWidth="1"/>
    <col min="9214" max="9214" width="9" customWidth="1"/>
    <col min="9215" max="9215" width="13" customWidth="1"/>
    <col min="9216" max="9216" width="9.7109375" customWidth="1"/>
    <col min="9217" max="9217" width="12.5703125" customWidth="1"/>
    <col min="9218" max="9218" width="9.5703125" bestFit="1" customWidth="1"/>
    <col min="9219" max="9219" width="7.28515625" customWidth="1"/>
    <col min="9220" max="9220" width="8.28515625" customWidth="1"/>
    <col min="9221" max="9221" width="5.42578125" customWidth="1"/>
    <col min="9457" max="9457" width="3.5703125" customWidth="1"/>
    <col min="9458" max="9458" width="11.85546875" customWidth="1"/>
    <col min="9459" max="9459" width="5.85546875" customWidth="1"/>
    <col min="9460" max="9460" width="72.140625" customWidth="1"/>
    <col min="9461" max="9461" width="16.7109375" customWidth="1"/>
    <col min="9462" max="9462" width="13.85546875" customWidth="1"/>
    <col min="9463" max="9463" width="6" customWidth="1"/>
    <col min="9464" max="9464" width="4.28515625" customWidth="1"/>
    <col min="9465" max="9465" width="10.7109375" customWidth="1"/>
    <col min="9466" max="9466" width="7.5703125" customWidth="1"/>
    <col min="9467" max="9467" width="9" customWidth="1"/>
    <col min="9468" max="9468" width="1.85546875" customWidth="1"/>
    <col min="9469" max="9469" width="8.42578125" customWidth="1"/>
    <col min="9470" max="9470" width="9" customWidth="1"/>
    <col min="9471" max="9471" width="13" customWidth="1"/>
    <col min="9472" max="9472" width="9.7109375" customWidth="1"/>
    <col min="9473" max="9473" width="12.5703125" customWidth="1"/>
    <col min="9474" max="9474" width="9.5703125" bestFit="1" customWidth="1"/>
    <col min="9475" max="9475" width="7.28515625" customWidth="1"/>
    <col min="9476" max="9476" width="8.28515625" customWidth="1"/>
    <col min="9477" max="9477" width="5.42578125" customWidth="1"/>
    <col min="9713" max="9713" width="3.5703125" customWidth="1"/>
    <col min="9714" max="9714" width="11.85546875" customWidth="1"/>
    <col min="9715" max="9715" width="5.85546875" customWidth="1"/>
    <col min="9716" max="9716" width="72.140625" customWidth="1"/>
    <col min="9717" max="9717" width="16.7109375" customWidth="1"/>
    <col min="9718" max="9718" width="13.85546875" customWidth="1"/>
    <col min="9719" max="9719" width="6" customWidth="1"/>
    <col min="9720" max="9720" width="4.28515625" customWidth="1"/>
    <col min="9721" max="9721" width="10.7109375" customWidth="1"/>
    <col min="9722" max="9722" width="7.5703125" customWidth="1"/>
    <col min="9723" max="9723" width="9" customWidth="1"/>
    <col min="9724" max="9724" width="1.85546875" customWidth="1"/>
    <col min="9725" max="9725" width="8.42578125" customWidth="1"/>
    <col min="9726" max="9726" width="9" customWidth="1"/>
    <col min="9727" max="9727" width="13" customWidth="1"/>
    <col min="9728" max="9728" width="9.7109375" customWidth="1"/>
    <col min="9729" max="9729" width="12.5703125" customWidth="1"/>
    <col min="9730" max="9730" width="9.5703125" bestFit="1" customWidth="1"/>
    <col min="9731" max="9731" width="7.28515625" customWidth="1"/>
    <col min="9732" max="9732" width="8.28515625" customWidth="1"/>
    <col min="9733" max="9733" width="5.42578125" customWidth="1"/>
    <col min="9969" max="9969" width="3.5703125" customWidth="1"/>
    <col min="9970" max="9970" width="11.85546875" customWidth="1"/>
    <col min="9971" max="9971" width="5.85546875" customWidth="1"/>
    <col min="9972" max="9972" width="72.140625" customWidth="1"/>
    <col min="9973" max="9973" width="16.7109375" customWidth="1"/>
    <col min="9974" max="9974" width="13.85546875" customWidth="1"/>
    <col min="9975" max="9975" width="6" customWidth="1"/>
    <col min="9976" max="9976" width="4.28515625" customWidth="1"/>
    <col min="9977" max="9977" width="10.7109375" customWidth="1"/>
    <col min="9978" max="9978" width="7.5703125" customWidth="1"/>
    <col min="9979" max="9979" width="9" customWidth="1"/>
    <col min="9980" max="9980" width="1.85546875" customWidth="1"/>
    <col min="9981" max="9981" width="8.42578125" customWidth="1"/>
    <col min="9982" max="9982" width="9" customWidth="1"/>
    <col min="9983" max="9983" width="13" customWidth="1"/>
    <col min="9984" max="9984" width="9.7109375" customWidth="1"/>
    <col min="9985" max="9985" width="12.5703125" customWidth="1"/>
    <col min="9986" max="9986" width="9.5703125" bestFit="1" customWidth="1"/>
    <col min="9987" max="9987" width="7.28515625" customWidth="1"/>
    <col min="9988" max="9988" width="8.28515625" customWidth="1"/>
    <col min="9989" max="9989" width="5.42578125" customWidth="1"/>
    <col min="10225" max="10225" width="3.5703125" customWidth="1"/>
    <col min="10226" max="10226" width="11.85546875" customWidth="1"/>
    <col min="10227" max="10227" width="5.85546875" customWidth="1"/>
    <col min="10228" max="10228" width="72.140625" customWidth="1"/>
    <col min="10229" max="10229" width="16.7109375" customWidth="1"/>
    <col min="10230" max="10230" width="13.85546875" customWidth="1"/>
    <col min="10231" max="10231" width="6" customWidth="1"/>
    <col min="10232" max="10232" width="4.28515625" customWidth="1"/>
    <col min="10233" max="10233" width="10.7109375" customWidth="1"/>
    <col min="10234" max="10234" width="7.5703125" customWidth="1"/>
    <col min="10235" max="10235" width="9" customWidth="1"/>
    <col min="10236" max="10236" width="1.85546875" customWidth="1"/>
    <col min="10237" max="10237" width="8.42578125" customWidth="1"/>
    <col min="10238" max="10238" width="9" customWidth="1"/>
    <col min="10239" max="10239" width="13" customWidth="1"/>
    <col min="10240" max="10240" width="9.7109375" customWidth="1"/>
    <col min="10241" max="10241" width="12.5703125" customWidth="1"/>
    <col min="10242" max="10242" width="9.5703125" bestFit="1" customWidth="1"/>
    <col min="10243" max="10243" width="7.28515625" customWidth="1"/>
    <col min="10244" max="10244" width="8.28515625" customWidth="1"/>
    <col min="10245" max="10245" width="5.42578125" customWidth="1"/>
    <col min="10481" max="10481" width="3.5703125" customWidth="1"/>
    <col min="10482" max="10482" width="11.85546875" customWidth="1"/>
    <col min="10483" max="10483" width="5.85546875" customWidth="1"/>
    <col min="10484" max="10484" width="72.140625" customWidth="1"/>
    <col min="10485" max="10485" width="16.7109375" customWidth="1"/>
    <col min="10486" max="10486" width="13.85546875" customWidth="1"/>
    <col min="10487" max="10487" width="6" customWidth="1"/>
    <col min="10488" max="10488" width="4.28515625" customWidth="1"/>
    <col min="10489" max="10489" width="10.7109375" customWidth="1"/>
    <col min="10490" max="10490" width="7.5703125" customWidth="1"/>
    <col min="10491" max="10491" width="9" customWidth="1"/>
    <col min="10492" max="10492" width="1.85546875" customWidth="1"/>
    <col min="10493" max="10493" width="8.42578125" customWidth="1"/>
    <col min="10494" max="10494" width="9" customWidth="1"/>
    <col min="10495" max="10495" width="13" customWidth="1"/>
    <col min="10496" max="10496" width="9.7109375" customWidth="1"/>
    <col min="10497" max="10497" width="12.5703125" customWidth="1"/>
    <col min="10498" max="10498" width="9.5703125" bestFit="1" customWidth="1"/>
    <col min="10499" max="10499" width="7.28515625" customWidth="1"/>
    <col min="10500" max="10500" width="8.28515625" customWidth="1"/>
    <col min="10501" max="10501" width="5.42578125" customWidth="1"/>
    <col min="10737" max="10737" width="3.5703125" customWidth="1"/>
    <col min="10738" max="10738" width="11.85546875" customWidth="1"/>
    <col min="10739" max="10739" width="5.85546875" customWidth="1"/>
    <col min="10740" max="10740" width="72.140625" customWidth="1"/>
    <col min="10741" max="10741" width="16.7109375" customWidth="1"/>
    <col min="10742" max="10742" width="13.85546875" customWidth="1"/>
    <col min="10743" max="10743" width="6" customWidth="1"/>
    <col min="10744" max="10744" width="4.28515625" customWidth="1"/>
    <col min="10745" max="10745" width="10.7109375" customWidth="1"/>
    <col min="10746" max="10746" width="7.5703125" customWidth="1"/>
    <col min="10747" max="10747" width="9" customWidth="1"/>
    <col min="10748" max="10748" width="1.85546875" customWidth="1"/>
    <col min="10749" max="10749" width="8.42578125" customWidth="1"/>
    <col min="10750" max="10750" width="9" customWidth="1"/>
    <col min="10751" max="10751" width="13" customWidth="1"/>
    <col min="10752" max="10752" width="9.7109375" customWidth="1"/>
    <col min="10753" max="10753" width="12.5703125" customWidth="1"/>
    <col min="10754" max="10754" width="9.5703125" bestFit="1" customWidth="1"/>
    <col min="10755" max="10755" width="7.28515625" customWidth="1"/>
    <col min="10756" max="10756" width="8.28515625" customWidth="1"/>
    <col min="10757" max="10757" width="5.42578125" customWidth="1"/>
    <col min="10993" max="10993" width="3.5703125" customWidth="1"/>
    <col min="10994" max="10994" width="11.85546875" customWidth="1"/>
    <col min="10995" max="10995" width="5.85546875" customWidth="1"/>
    <col min="10996" max="10996" width="72.140625" customWidth="1"/>
    <col min="10997" max="10997" width="16.7109375" customWidth="1"/>
    <col min="10998" max="10998" width="13.85546875" customWidth="1"/>
    <col min="10999" max="10999" width="6" customWidth="1"/>
    <col min="11000" max="11000" width="4.28515625" customWidth="1"/>
    <col min="11001" max="11001" width="10.7109375" customWidth="1"/>
    <col min="11002" max="11002" width="7.5703125" customWidth="1"/>
    <col min="11003" max="11003" width="9" customWidth="1"/>
    <col min="11004" max="11004" width="1.85546875" customWidth="1"/>
    <col min="11005" max="11005" width="8.42578125" customWidth="1"/>
    <col min="11006" max="11006" width="9" customWidth="1"/>
    <col min="11007" max="11007" width="13" customWidth="1"/>
    <col min="11008" max="11008" width="9.7109375" customWidth="1"/>
    <col min="11009" max="11009" width="12.5703125" customWidth="1"/>
    <col min="11010" max="11010" width="9.5703125" bestFit="1" customWidth="1"/>
    <col min="11011" max="11011" width="7.28515625" customWidth="1"/>
    <col min="11012" max="11012" width="8.28515625" customWidth="1"/>
    <col min="11013" max="11013" width="5.42578125" customWidth="1"/>
    <col min="11249" max="11249" width="3.5703125" customWidth="1"/>
    <col min="11250" max="11250" width="11.85546875" customWidth="1"/>
    <col min="11251" max="11251" width="5.85546875" customWidth="1"/>
    <col min="11252" max="11252" width="72.140625" customWidth="1"/>
    <col min="11253" max="11253" width="16.7109375" customWidth="1"/>
    <col min="11254" max="11254" width="13.85546875" customWidth="1"/>
    <col min="11255" max="11255" width="6" customWidth="1"/>
    <col min="11256" max="11256" width="4.28515625" customWidth="1"/>
    <col min="11257" max="11257" width="10.7109375" customWidth="1"/>
    <col min="11258" max="11258" width="7.5703125" customWidth="1"/>
    <col min="11259" max="11259" width="9" customWidth="1"/>
    <col min="11260" max="11260" width="1.85546875" customWidth="1"/>
    <col min="11261" max="11261" width="8.42578125" customWidth="1"/>
    <col min="11262" max="11262" width="9" customWidth="1"/>
    <col min="11263" max="11263" width="13" customWidth="1"/>
    <col min="11264" max="11264" width="9.7109375" customWidth="1"/>
    <col min="11265" max="11265" width="12.5703125" customWidth="1"/>
    <col min="11266" max="11266" width="9.5703125" bestFit="1" customWidth="1"/>
    <col min="11267" max="11267" width="7.28515625" customWidth="1"/>
    <col min="11268" max="11268" width="8.28515625" customWidth="1"/>
    <col min="11269" max="11269" width="5.42578125" customWidth="1"/>
    <col min="11505" max="11505" width="3.5703125" customWidth="1"/>
    <col min="11506" max="11506" width="11.85546875" customWidth="1"/>
    <col min="11507" max="11507" width="5.85546875" customWidth="1"/>
    <col min="11508" max="11508" width="72.140625" customWidth="1"/>
    <col min="11509" max="11509" width="16.7109375" customWidth="1"/>
    <col min="11510" max="11510" width="13.85546875" customWidth="1"/>
    <col min="11511" max="11511" width="6" customWidth="1"/>
    <col min="11512" max="11512" width="4.28515625" customWidth="1"/>
    <col min="11513" max="11513" width="10.7109375" customWidth="1"/>
    <col min="11514" max="11514" width="7.5703125" customWidth="1"/>
    <col min="11515" max="11515" width="9" customWidth="1"/>
    <col min="11516" max="11516" width="1.85546875" customWidth="1"/>
    <col min="11517" max="11517" width="8.42578125" customWidth="1"/>
    <col min="11518" max="11518" width="9" customWidth="1"/>
    <col min="11519" max="11519" width="13" customWidth="1"/>
    <col min="11520" max="11520" width="9.7109375" customWidth="1"/>
    <col min="11521" max="11521" width="12.5703125" customWidth="1"/>
    <col min="11522" max="11522" width="9.5703125" bestFit="1" customWidth="1"/>
    <col min="11523" max="11523" width="7.28515625" customWidth="1"/>
    <col min="11524" max="11524" width="8.28515625" customWidth="1"/>
    <col min="11525" max="11525" width="5.42578125" customWidth="1"/>
    <col min="11761" max="11761" width="3.5703125" customWidth="1"/>
    <col min="11762" max="11762" width="11.85546875" customWidth="1"/>
    <col min="11763" max="11763" width="5.85546875" customWidth="1"/>
    <col min="11764" max="11764" width="72.140625" customWidth="1"/>
    <col min="11765" max="11765" width="16.7109375" customWidth="1"/>
    <col min="11766" max="11766" width="13.85546875" customWidth="1"/>
    <col min="11767" max="11767" width="6" customWidth="1"/>
    <col min="11768" max="11768" width="4.28515625" customWidth="1"/>
    <col min="11769" max="11769" width="10.7109375" customWidth="1"/>
    <col min="11770" max="11770" width="7.5703125" customWidth="1"/>
    <col min="11771" max="11771" width="9" customWidth="1"/>
    <col min="11772" max="11772" width="1.85546875" customWidth="1"/>
    <col min="11773" max="11773" width="8.42578125" customWidth="1"/>
    <col min="11774" max="11774" width="9" customWidth="1"/>
    <col min="11775" max="11775" width="13" customWidth="1"/>
    <col min="11776" max="11776" width="9.7109375" customWidth="1"/>
    <col min="11777" max="11777" width="12.5703125" customWidth="1"/>
    <col min="11778" max="11778" width="9.5703125" bestFit="1" customWidth="1"/>
    <col min="11779" max="11779" width="7.28515625" customWidth="1"/>
    <col min="11780" max="11780" width="8.28515625" customWidth="1"/>
    <col min="11781" max="11781" width="5.42578125" customWidth="1"/>
    <col min="12017" max="12017" width="3.5703125" customWidth="1"/>
    <col min="12018" max="12018" width="11.85546875" customWidth="1"/>
    <col min="12019" max="12019" width="5.85546875" customWidth="1"/>
    <col min="12020" max="12020" width="72.140625" customWidth="1"/>
    <col min="12021" max="12021" width="16.7109375" customWidth="1"/>
    <col min="12022" max="12022" width="13.85546875" customWidth="1"/>
    <col min="12023" max="12023" width="6" customWidth="1"/>
    <col min="12024" max="12024" width="4.28515625" customWidth="1"/>
    <col min="12025" max="12025" width="10.7109375" customWidth="1"/>
    <col min="12026" max="12026" width="7.5703125" customWidth="1"/>
    <col min="12027" max="12027" width="9" customWidth="1"/>
    <col min="12028" max="12028" width="1.85546875" customWidth="1"/>
    <col min="12029" max="12029" width="8.42578125" customWidth="1"/>
    <col min="12030" max="12030" width="9" customWidth="1"/>
    <col min="12031" max="12031" width="13" customWidth="1"/>
    <col min="12032" max="12032" width="9.7109375" customWidth="1"/>
    <col min="12033" max="12033" width="12.5703125" customWidth="1"/>
    <col min="12034" max="12034" width="9.5703125" bestFit="1" customWidth="1"/>
    <col min="12035" max="12035" width="7.28515625" customWidth="1"/>
    <col min="12036" max="12036" width="8.28515625" customWidth="1"/>
    <col min="12037" max="12037" width="5.42578125" customWidth="1"/>
    <col min="12273" max="12273" width="3.5703125" customWidth="1"/>
    <col min="12274" max="12274" width="11.85546875" customWidth="1"/>
    <col min="12275" max="12275" width="5.85546875" customWidth="1"/>
    <col min="12276" max="12276" width="72.140625" customWidth="1"/>
    <col min="12277" max="12277" width="16.7109375" customWidth="1"/>
    <col min="12278" max="12278" width="13.85546875" customWidth="1"/>
    <col min="12279" max="12279" width="6" customWidth="1"/>
    <col min="12280" max="12280" width="4.28515625" customWidth="1"/>
    <col min="12281" max="12281" width="10.7109375" customWidth="1"/>
    <col min="12282" max="12282" width="7.5703125" customWidth="1"/>
    <col min="12283" max="12283" width="9" customWidth="1"/>
    <col min="12284" max="12284" width="1.85546875" customWidth="1"/>
    <col min="12285" max="12285" width="8.42578125" customWidth="1"/>
    <col min="12286" max="12286" width="9" customWidth="1"/>
    <col min="12287" max="12287" width="13" customWidth="1"/>
    <col min="12288" max="12288" width="9.7109375" customWidth="1"/>
    <col min="12289" max="12289" width="12.5703125" customWidth="1"/>
    <col min="12290" max="12290" width="9.5703125" bestFit="1" customWidth="1"/>
    <col min="12291" max="12291" width="7.28515625" customWidth="1"/>
    <col min="12292" max="12292" width="8.28515625" customWidth="1"/>
    <col min="12293" max="12293" width="5.42578125" customWidth="1"/>
    <col min="12529" max="12529" width="3.5703125" customWidth="1"/>
    <col min="12530" max="12530" width="11.85546875" customWidth="1"/>
    <col min="12531" max="12531" width="5.85546875" customWidth="1"/>
    <col min="12532" max="12532" width="72.140625" customWidth="1"/>
    <col min="12533" max="12533" width="16.7109375" customWidth="1"/>
    <col min="12534" max="12534" width="13.85546875" customWidth="1"/>
    <col min="12535" max="12535" width="6" customWidth="1"/>
    <col min="12536" max="12536" width="4.28515625" customWidth="1"/>
    <col min="12537" max="12537" width="10.7109375" customWidth="1"/>
    <col min="12538" max="12538" width="7.5703125" customWidth="1"/>
    <col min="12539" max="12539" width="9" customWidth="1"/>
    <col min="12540" max="12540" width="1.85546875" customWidth="1"/>
    <col min="12541" max="12541" width="8.42578125" customWidth="1"/>
    <col min="12542" max="12542" width="9" customWidth="1"/>
    <col min="12543" max="12543" width="13" customWidth="1"/>
    <col min="12544" max="12544" width="9.7109375" customWidth="1"/>
    <col min="12545" max="12545" width="12.5703125" customWidth="1"/>
    <col min="12546" max="12546" width="9.5703125" bestFit="1" customWidth="1"/>
    <col min="12547" max="12547" width="7.28515625" customWidth="1"/>
    <col min="12548" max="12548" width="8.28515625" customWidth="1"/>
    <col min="12549" max="12549" width="5.42578125" customWidth="1"/>
    <col min="12785" max="12785" width="3.5703125" customWidth="1"/>
    <col min="12786" max="12786" width="11.85546875" customWidth="1"/>
    <col min="12787" max="12787" width="5.85546875" customWidth="1"/>
    <col min="12788" max="12788" width="72.140625" customWidth="1"/>
    <col min="12789" max="12789" width="16.7109375" customWidth="1"/>
    <col min="12790" max="12790" width="13.85546875" customWidth="1"/>
    <col min="12791" max="12791" width="6" customWidth="1"/>
    <col min="12792" max="12792" width="4.28515625" customWidth="1"/>
    <col min="12793" max="12793" width="10.7109375" customWidth="1"/>
    <col min="12794" max="12794" width="7.5703125" customWidth="1"/>
    <col min="12795" max="12795" width="9" customWidth="1"/>
    <col min="12796" max="12796" width="1.85546875" customWidth="1"/>
    <col min="12797" max="12797" width="8.42578125" customWidth="1"/>
    <col min="12798" max="12798" width="9" customWidth="1"/>
    <col min="12799" max="12799" width="13" customWidth="1"/>
    <col min="12800" max="12800" width="9.7109375" customWidth="1"/>
    <col min="12801" max="12801" width="12.5703125" customWidth="1"/>
    <col min="12802" max="12802" width="9.5703125" bestFit="1" customWidth="1"/>
    <col min="12803" max="12803" width="7.28515625" customWidth="1"/>
    <col min="12804" max="12804" width="8.28515625" customWidth="1"/>
    <col min="12805" max="12805" width="5.42578125" customWidth="1"/>
    <col min="13041" max="13041" width="3.5703125" customWidth="1"/>
    <col min="13042" max="13042" width="11.85546875" customWidth="1"/>
    <col min="13043" max="13043" width="5.85546875" customWidth="1"/>
    <col min="13044" max="13044" width="72.140625" customWidth="1"/>
    <col min="13045" max="13045" width="16.7109375" customWidth="1"/>
    <col min="13046" max="13046" width="13.85546875" customWidth="1"/>
    <col min="13047" max="13047" width="6" customWidth="1"/>
    <col min="13048" max="13048" width="4.28515625" customWidth="1"/>
    <col min="13049" max="13049" width="10.7109375" customWidth="1"/>
    <col min="13050" max="13050" width="7.5703125" customWidth="1"/>
    <col min="13051" max="13051" width="9" customWidth="1"/>
    <col min="13052" max="13052" width="1.85546875" customWidth="1"/>
    <col min="13053" max="13053" width="8.42578125" customWidth="1"/>
    <col min="13054" max="13054" width="9" customWidth="1"/>
    <col min="13055" max="13055" width="13" customWidth="1"/>
    <col min="13056" max="13056" width="9.7109375" customWidth="1"/>
    <col min="13057" max="13057" width="12.5703125" customWidth="1"/>
    <col min="13058" max="13058" width="9.5703125" bestFit="1" customWidth="1"/>
    <col min="13059" max="13059" width="7.28515625" customWidth="1"/>
    <col min="13060" max="13060" width="8.28515625" customWidth="1"/>
    <col min="13061" max="13061" width="5.42578125" customWidth="1"/>
    <col min="13297" max="13297" width="3.5703125" customWidth="1"/>
    <col min="13298" max="13298" width="11.85546875" customWidth="1"/>
    <col min="13299" max="13299" width="5.85546875" customWidth="1"/>
    <col min="13300" max="13300" width="72.140625" customWidth="1"/>
    <col min="13301" max="13301" width="16.7109375" customWidth="1"/>
    <col min="13302" max="13302" width="13.85546875" customWidth="1"/>
    <col min="13303" max="13303" width="6" customWidth="1"/>
    <col min="13304" max="13304" width="4.28515625" customWidth="1"/>
    <col min="13305" max="13305" width="10.7109375" customWidth="1"/>
    <col min="13306" max="13306" width="7.5703125" customWidth="1"/>
    <col min="13307" max="13307" width="9" customWidth="1"/>
    <col min="13308" max="13308" width="1.85546875" customWidth="1"/>
    <col min="13309" max="13309" width="8.42578125" customWidth="1"/>
    <col min="13310" max="13310" width="9" customWidth="1"/>
    <col min="13311" max="13311" width="13" customWidth="1"/>
    <col min="13312" max="13312" width="9.7109375" customWidth="1"/>
    <col min="13313" max="13313" width="12.5703125" customWidth="1"/>
    <col min="13314" max="13314" width="9.5703125" bestFit="1" customWidth="1"/>
    <col min="13315" max="13315" width="7.28515625" customWidth="1"/>
    <col min="13316" max="13316" width="8.28515625" customWidth="1"/>
    <col min="13317" max="13317" width="5.42578125" customWidth="1"/>
    <col min="13553" max="13553" width="3.5703125" customWidth="1"/>
    <col min="13554" max="13554" width="11.85546875" customWidth="1"/>
    <col min="13555" max="13555" width="5.85546875" customWidth="1"/>
    <col min="13556" max="13556" width="72.140625" customWidth="1"/>
    <col min="13557" max="13557" width="16.7109375" customWidth="1"/>
    <col min="13558" max="13558" width="13.85546875" customWidth="1"/>
    <col min="13559" max="13559" width="6" customWidth="1"/>
    <col min="13560" max="13560" width="4.28515625" customWidth="1"/>
    <col min="13561" max="13561" width="10.7109375" customWidth="1"/>
    <col min="13562" max="13562" width="7.5703125" customWidth="1"/>
    <col min="13563" max="13563" width="9" customWidth="1"/>
    <col min="13564" max="13564" width="1.85546875" customWidth="1"/>
    <col min="13565" max="13565" width="8.42578125" customWidth="1"/>
    <col min="13566" max="13566" width="9" customWidth="1"/>
    <col min="13567" max="13567" width="13" customWidth="1"/>
    <col min="13568" max="13568" width="9.7109375" customWidth="1"/>
    <col min="13569" max="13569" width="12.5703125" customWidth="1"/>
    <col min="13570" max="13570" width="9.5703125" bestFit="1" customWidth="1"/>
    <col min="13571" max="13571" width="7.28515625" customWidth="1"/>
    <col min="13572" max="13572" width="8.28515625" customWidth="1"/>
    <col min="13573" max="13573" width="5.42578125" customWidth="1"/>
    <col min="13809" max="13809" width="3.5703125" customWidth="1"/>
    <col min="13810" max="13810" width="11.85546875" customWidth="1"/>
    <col min="13811" max="13811" width="5.85546875" customWidth="1"/>
    <col min="13812" max="13812" width="72.140625" customWidth="1"/>
    <col min="13813" max="13813" width="16.7109375" customWidth="1"/>
    <col min="13814" max="13814" width="13.85546875" customWidth="1"/>
    <col min="13815" max="13815" width="6" customWidth="1"/>
    <col min="13816" max="13816" width="4.28515625" customWidth="1"/>
    <col min="13817" max="13817" width="10.7109375" customWidth="1"/>
    <col min="13818" max="13818" width="7.5703125" customWidth="1"/>
    <col min="13819" max="13819" width="9" customWidth="1"/>
    <col min="13820" max="13820" width="1.85546875" customWidth="1"/>
    <col min="13821" max="13821" width="8.42578125" customWidth="1"/>
    <col min="13822" max="13822" width="9" customWidth="1"/>
    <col min="13823" max="13823" width="13" customWidth="1"/>
    <col min="13824" max="13824" width="9.7109375" customWidth="1"/>
    <col min="13825" max="13825" width="12.5703125" customWidth="1"/>
    <col min="13826" max="13826" width="9.5703125" bestFit="1" customWidth="1"/>
    <col min="13827" max="13827" width="7.28515625" customWidth="1"/>
    <col min="13828" max="13828" width="8.28515625" customWidth="1"/>
    <col min="13829" max="13829" width="5.42578125" customWidth="1"/>
    <col min="14065" max="14065" width="3.5703125" customWidth="1"/>
    <col min="14066" max="14066" width="11.85546875" customWidth="1"/>
    <col min="14067" max="14067" width="5.85546875" customWidth="1"/>
    <col min="14068" max="14068" width="72.140625" customWidth="1"/>
    <col min="14069" max="14069" width="16.7109375" customWidth="1"/>
    <col min="14070" max="14070" width="13.85546875" customWidth="1"/>
    <col min="14071" max="14071" width="6" customWidth="1"/>
    <col min="14072" max="14072" width="4.28515625" customWidth="1"/>
    <col min="14073" max="14073" width="10.7109375" customWidth="1"/>
    <col min="14074" max="14074" width="7.5703125" customWidth="1"/>
    <col min="14075" max="14075" width="9" customWidth="1"/>
    <col min="14076" max="14076" width="1.85546875" customWidth="1"/>
    <col min="14077" max="14077" width="8.42578125" customWidth="1"/>
    <col min="14078" max="14078" width="9" customWidth="1"/>
    <col min="14079" max="14079" width="13" customWidth="1"/>
    <col min="14080" max="14080" width="9.7109375" customWidth="1"/>
    <col min="14081" max="14081" width="12.5703125" customWidth="1"/>
    <col min="14082" max="14082" width="9.5703125" bestFit="1" customWidth="1"/>
    <col min="14083" max="14083" width="7.28515625" customWidth="1"/>
    <col min="14084" max="14084" width="8.28515625" customWidth="1"/>
    <col min="14085" max="14085" width="5.42578125" customWidth="1"/>
    <col min="14321" max="14321" width="3.5703125" customWidth="1"/>
    <col min="14322" max="14322" width="11.85546875" customWidth="1"/>
    <col min="14323" max="14323" width="5.85546875" customWidth="1"/>
    <col min="14324" max="14324" width="72.140625" customWidth="1"/>
    <col min="14325" max="14325" width="16.7109375" customWidth="1"/>
    <col min="14326" max="14326" width="13.85546875" customWidth="1"/>
    <col min="14327" max="14327" width="6" customWidth="1"/>
    <col min="14328" max="14328" width="4.28515625" customWidth="1"/>
    <col min="14329" max="14329" width="10.7109375" customWidth="1"/>
    <col min="14330" max="14330" width="7.5703125" customWidth="1"/>
    <col min="14331" max="14331" width="9" customWidth="1"/>
    <col min="14332" max="14332" width="1.85546875" customWidth="1"/>
    <col min="14333" max="14333" width="8.42578125" customWidth="1"/>
    <col min="14334" max="14334" width="9" customWidth="1"/>
    <col min="14335" max="14335" width="13" customWidth="1"/>
    <col min="14336" max="14336" width="9.7109375" customWidth="1"/>
    <col min="14337" max="14337" width="12.5703125" customWidth="1"/>
    <col min="14338" max="14338" width="9.5703125" bestFit="1" customWidth="1"/>
    <col min="14339" max="14339" width="7.28515625" customWidth="1"/>
    <col min="14340" max="14340" width="8.28515625" customWidth="1"/>
    <col min="14341" max="14341" width="5.42578125" customWidth="1"/>
    <col min="14577" max="14577" width="3.5703125" customWidth="1"/>
    <col min="14578" max="14578" width="11.85546875" customWidth="1"/>
    <col min="14579" max="14579" width="5.85546875" customWidth="1"/>
    <col min="14580" max="14580" width="72.140625" customWidth="1"/>
    <col min="14581" max="14581" width="16.7109375" customWidth="1"/>
    <col min="14582" max="14582" width="13.85546875" customWidth="1"/>
    <col min="14583" max="14583" width="6" customWidth="1"/>
    <col min="14584" max="14584" width="4.28515625" customWidth="1"/>
    <col min="14585" max="14585" width="10.7109375" customWidth="1"/>
    <col min="14586" max="14586" width="7.5703125" customWidth="1"/>
    <col min="14587" max="14587" width="9" customWidth="1"/>
    <col min="14588" max="14588" width="1.85546875" customWidth="1"/>
    <col min="14589" max="14589" width="8.42578125" customWidth="1"/>
    <col min="14590" max="14590" width="9" customWidth="1"/>
    <col min="14591" max="14591" width="13" customWidth="1"/>
    <col min="14592" max="14592" width="9.7109375" customWidth="1"/>
    <col min="14593" max="14593" width="12.5703125" customWidth="1"/>
    <col min="14594" max="14594" width="9.5703125" bestFit="1" customWidth="1"/>
    <col min="14595" max="14595" width="7.28515625" customWidth="1"/>
    <col min="14596" max="14596" width="8.28515625" customWidth="1"/>
    <col min="14597" max="14597" width="5.42578125" customWidth="1"/>
    <col min="14833" max="14833" width="3.5703125" customWidth="1"/>
    <col min="14834" max="14834" width="11.85546875" customWidth="1"/>
    <col min="14835" max="14835" width="5.85546875" customWidth="1"/>
    <col min="14836" max="14836" width="72.140625" customWidth="1"/>
    <col min="14837" max="14837" width="16.7109375" customWidth="1"/>
    <col min="14838" max="14838" width="13.85546875" customWidth="1"/>
    <col min="14839" max="14839" width="6" customWidth="1"/>
    <col min="14840" max="14840" width="4.28515625" customWidth="1"/>
    <col min="14841" max="14841" width="10.7109375" customWidth="1"/>
    <col min="14842" max="14842" width="7.5703125" customWidth="1"/>
    <col min="14843" max="14843" width="9" customWidth="1"/>
    <col min="14844" max="14844" width="1.85546875" customWidth="1"/>
    <col min="14845" max="14845" width="8.42578125" customWidth="1"/>
    <col min="14846" max="14846" width="9" customWidth="1"/>
    <col min="14847" max="14847" width="13" customWidth="1"/>
    <col min="14848" max="14848" width="9.7109375" customWidth="1"/>
    <col min="14849" max="14849" width="12.5703125" customWidth="1"/>
    <col min="14850" max="14850" width="9.5703125" bestFit="1" customWidth="1"/>
    <col min="14851" max="14851" width="7.28515625" customWidth="1"/>
    <col min="14852" max="14852" width="8.28515625" customWidth="1"/>
    <col min="14853" max="14853" width="5.42578125" customWidth="1"/>
    <col min="15089" max="15089" width="3.5703125" customWidth="1"/>
    <col min="15090" max="15090" width="11.85546875" customWidth="1"/>
    <col min="15091" max="15091" width="5.85546875" customWidth="1"/>
    <col min="15092" max="15092" width="72.140625" customWidth="1"/>
    <col min="15093" max="15093" width="16.7109375" customWidth="1"/>
    <col min="15094" max="15094" width="13.85546875" customWidth="1"/>
    <col min="15095" max="15095" width="6" customWidth="1"/>
    <col min="15096" max="15096" width="4.28515625" customWidth="1"/>
    <col min="15097" max="15097" width="10.7109375" customWidth="1"/>
    <col min="15098" max="15098" width="7.5703125" customWidth="1"/>
    <col min="15099" max="15099" width="9" customWidth="1"/>
    <col min="15100" max="15100" width="1.85546875" customWidth="1"/>
    <col min="15101" max="15101" width="8.42578125" customWidth="1"/>
    <col min="15102" max="15102" width="9" customWidth="1"/>
    <col min="15103" max="15103" width="13" customWidth="1"/>
    <col min="15104" max="15104" width="9.7109375" customWidth="1"/>
    <col min="15105" max="15105" width="12.5703125" customWidth="1"/>
    <col min="15106" max="15106" width="9.5703125" bestFit="1" customWidth="1"/>
    <col min="15107" max="15107" width="7.28515625" customWidth="1"/>
    <col min="15108" max="15108" width="8.28515625" customWidth="1"/>
    <col min="15109" max="15109" width="5.42578125" customWidth="1"/>
    <col min="15345" max="15345" width="3.5703125" customWidth="1"/>
    <col min="15346" max="15346" width="11.85546875" customWidth="1"/>
    <col min="15347" max="15347" width="5.85546875" customWidth="1"/>
    <col min="15348" max="15348" width="72.140625" customWidth="1"/>
    <col min="15349" max="15349" width="16.7109375" customWidth="1"/>
    <col min="15350" max="15350" width="13.85546875" customWidth="1"/>
    <col min="15351" max="15351" width="6" customWidth="1"/>
    <col min="15352" max="15352" width="4.28515625" customWidth="1"/>
    <col min="15353" max="15353" width="10.7109375" customWidth="1"/>
    <col min="15354" max="15354" width="7.5703125" customWidth="1"/>
    <col min="15355" max="15355" width="9" customWidth="1"/>
    <col min="15356" max="15356" width="1.85546875" customWidth="1"/>
    <col min="15357" max="15357" width="8.42578125" customWidth="1"/>
    <col min="15358" max="15358" width="9" customWidth="1"/>
    <col min="15359" max="15359" width="13" customWidth="1"/>
    <col min="15360" max="15360" width="9.7109375" customWidth="1"/>
    <col min="15361" max="15361" width="12.5703125" customWidth="1"/>
    <col min="15362" max="15362" width="9.5703125" bestFit="1" customWidth="1"/>
    <col min="15363" max="15363" width="7.28515625" customWidth="1"/>
    <col min="15364" max="15364" width="8.28515625" customWidth="1"/>
    <col min="15365" max="15365" width="5.42578125" customWidth="1"/>
    <col min="15601" max="15601" width="3.5703125" customWidth="1"/>
    <col min="15602" max="15602" width="11.85546875" customWidth="1"/>
    <col min="15603" max="15603" width="5.85546875" customWidth="1"/>
    <col min="15604" max="15604" width="72.140625" customWidth="1"/>
    <col min="15605" max="15605" width="16.7109375" customWidth="1"/>
    <col min="15606" max="15606" width="13.85546875" customWidth="1"/>
    <col min="15607" max="15607" width="6" customWidth="1"/>
    <col min="15608" max="15608" width="4.28515625" customWidth="1"/>
    <col min="15609" max="15609" width="10.7109375" customWidth="1"/>
    <col min="15610" max="15610" width="7.5703125" customWidth="1"/>
    <col min="15611" max="15611" width="9" customWidth="1"/>
    <col min="15612" max="15612" width="1.85546875" customWidth="1"/>
    <col min="15613" max="15613" width="8.42578125" customWidth="1"/>
    <col min="15614" max="15614" width="9" customWidth="1"/>
    <col min="15615" max="15615" width="13" customWidth="1"/>
    <col min="15616" max="15616" width="9.7109375" customWidth="1"/>
    <col min="15617" max="15617" width="12.5703125" customWidth="1"/>
    <col min="15618" max="15618" width="9.5703125" bestFit="1" customWidth="1"/>
    <col min="15619" max="15619" width="7.28515625" customWidth="1"/>
    <col min="15620" max="15620" width="8.28515625" customWidth="1"/>
    <col min="15621" max="15621" width="5.42578125" customWidth="1"/>
    <col min="15857" max="15857" width="3.5703125" customWidth="1"/>
    <col min="15858" max="15858" width="11.85546875" customWidth="1"/>
    <col min="15859" max="15859" width="5.85546875" customWidth="1"/>
    <col min="15860" max="15860" width="72.140625" customWidth="1"/>
    <col min="15861" max="15861" width="16.7109375" customWidth="1"/>
    <col min="15862" max="15862" width="13.85546875" customWidth="1"/>
    <col min="15863" max="15863" width="6" customWidth="1"/>
    <col min="15864" max="15864" width="4.28515625" customWidth="1"/>
    <col min="15865" max="15865" width="10.7109375" customWidth="1"/>
    <col min="15866" max="15866" width="7.5703125" customWidth="1"/>
    <col min="15867" max="15867" width="9" customWidth="1"/>
    <col min="15868" max="15868" width="1.85546875" customWidth="1"/>
    <col min="15869" max="15869" width="8.42578125" customWidth="1"/>
    <col min="15870" max="15870" width="9" customWidth="1"/>
    <col min="15871" max="15871" width="13" customWidth="1"/>
    <col min="15872" max="15872" width="9.7109375" customWidth="1"/>
    <col min="15873" max="15873" width="12.5703125" customWidth="1"/>
    <col min="15874" max="15874" width="9.5703125" bestFit="1" customWidth="1"/>
    <col min="15875" max="15875" width="7.28515625" customWidth="1"/>
    <col min="15876" max="15876" width="8.28515625" customWidth="1"/>
    <col min="15877" max="15877" width="5.42578125" customWidth="1"/>
    <col min="16113" max="16113" width="3.5703125" customWidth="1"/>
    <col min="16114" max="16114" width="11.85546875" customWidth="1"/>
    <col min="16115" max="16115" width="5.85546875" customWidth="1"/>
    <col min="16116" max="16116" width="72.140625" customWidth="1"/>
    <col min="16117" max="16117" width="16.7109375" customWidth="1"/>
    <col min="16118" max="16118" width="13.85546875" customWidth="1"/>
    <col min="16119" max="16119" width="6" customWidth="1"/>
    <col min="16120" max="16120" width="4.28515625" customWidth="1"/>
    <col min="16121" max="16121" width="10.7109375" customWidth="1"/>
    <col min="16122" max="16122" width="7.5703125" customWidth="1"/>
    <col min="16123" max="16123" width="9" customWidth="1"/>
    <col min="16124" max="16124" width="1.85546875" customWidth="1"/>
    <col min="16125" max="16125" width="8.42578125" customWidth="1"/>
    <col min="16126" max="16126" width="9" customWidth="1"/>
    <col min="16127" max="16127" width="13" customWidth="1"/>
    <col min="16128" max="16128" width="9.7109375" customWidth="1"/>
    <col min="16129" max="16129" width="12.5703125" customWidth="1"/>
    <col min="16130" max="16130" width="9.5703125" bestFit="1" customWidth="1"/>
    <col min="16131" max="16131" width="7.28515625" customWidth="1"/>
    <col min="16132" max="16132" width="8.28515625" customWidth="1"/>
    <col min="16133" max="16133" width="5.42578125" customWidth="1"/>
  </cols>
  <sheetData>
    <row r="1" spans="1:14" s="196" customFormat="1" ht="52.5" customHeight="1">
      <c r="A1" s="188" t="s">
        <v>22</v>
      </c>
      <c r="B1" s="189"/>
      <c r="C1" s="190"/>
      <c r="D1" s="191" t="str">
        <f ca="1">CONCATENATE("С","-",СМАПП!D1)</f>
        <v>С-RA263-209</v>
      </c>
      <c r="E1" s="192"/>
      <c r="F1" s="193"/>
      <c r="G1" s="190"/>
      <c r="H1" s="194"/>
      <c r="I1" s="195"/>
      <c r="J1" s="195"/>
      <c r="K1" s="195"/>
      <c r="L1" s="195"/>
      <c r="M1" s="195"/>
      <c r="N1" s="195"/>
    </row>
    <row r="2" spans="1:14" s="207" customFormat="1" ht="55.5" customHeight="1">
      <c r="A2" s="197" t="s">
        <v>23</v>
      </c>
      <c r="B2" s="198"/>
      <c r="C2" s="422" t="str">
        <f>CONCATENATE(СМАПП!D9,",    ",СМАПП!D10)</f>
        <v xml:space="preserve">YANTAI SUNDY SCIENCE ENVIROMENTAL TECHNOLOGY LTD.,    BUILDING 8，NO.39, SCIENCE AND TECHNOLOGY AVENUE, YANTAI HIGH-TECH ZONE, CHINA </v>
      </c>
      <c r="D2" s="422"/>
      <c r="E2" s="422"/>
      <c r="F2" s="422"/>
      <c r="G2" s="199"/>
      <c r="H2" s="200"/>
      <c r="I2" s="201"/>
      <c r="J2" s="202"/>
      <c r="K2" s="203"/>
      <c r="L2" s="204"/>
      <c r="M2" s="205"/>
      <c r="N2" s="206"/>
    </row>
    <row r="3" spans="1:14" s="196" customFormat="1" ht="63" customHeight="1">
      <c r="A3" s="197" t="s">
        <v>24</v>
      </c>
      <c r="B3" s="208"/>
      <c r="C3" s="423" t="str">
        <f>CONCATENATE(СМАПП!D5,",   ",СМАПП!D6)</f>
        <v xml:space="preserve">YANTAI SUNDY SCIENCE ENVIROMENTAL TECHNOLOGY LTD.,   BUILDING 8，NO.39, SCIENCE AND TECHNOLOGY AVENUE, YANTAI HIGH-TECH ZONE, CHINA </v>
      </c>
      <c r="D3" s="423"/>
      <c r="E3" s="423"/>
      <c r="F3" s="423"/>
      <c r="G3" s="209"/>
      <c r="H3" s="209"/>
      <c r="I3" s="209"/>
      <c r="J3" s="209"/>
      <c r="K3" s="195"/>
      <c r="L3" s="429" t="s">
        <v>25</v>
      </c>
      <c r="M3" s="430"/>
      <c r="N3" s="431"/>
    </row>
    <row r="4" spans="1:14" s="196" customFormat="1" ht="60" customHeight="1">
      <c r="A4" s="197" t="s">
        <v>26</v>
      </c>
      <c r="B4" s="208"/>
      <c r="C4" s="209" t="str">
        <f>CONCATENATE(СМАПП!D7,",    ",СМАПП!D8)</f>
        <v>ООО "РЕГИОНАЛЬНАЯ ТОРГОВАЯ КОМПАНИЯ "РОСАКВА",    197374, г.Санкт-Петербург, вн.тер.г. муниципальный округ № 65, ул. Мебельная, д. 5, литера а, помещ. 1-н</v>
      </c>
      <c r="D4" s="209"/>
      <c r="E4" s="168" t="str">
        <f>СМАПП!E7</f>
        <v>ИНН 7810846669</v>
      </c>
      <c r="F4" s="168"/>
      <c r="G4" s="210" t="str">
        <f>СМАПП!F7</f>
        <v>ОГРН 1117847475987</v>
      </c>
      <c r="H4" s="168"/>
      <c r="I4" s="211"/>
      <c r="J4" s="212"/>
      <c r="K4" s="213"/>
      <c r="L4" s="440" t="str">
        <f>"А/М "&amp;СМАПП!D11&amp;" П/П "&amp;СМАПП!D12</f>
        <v>А/М М209АУ125 П/П АВ994425</v>
      </c>
      <c r="M4" s="441"/>
      <c r="N4" s="442"/>
    </row>
    <row r="5" spans="1:14" s="196" customFormat="1" ht="44.25" customHeight="1">
      <c r="A5" s="214" t="s">
        <v>27</v>
      </c>
      <c r="B5" s="215"/>
      <c r="C5" s="216" t="str">
        <f>CONCATENATE(СМАПП!D3," от ",TEXT(СМАПП!E3, "ДД.ММ.ГГГГ"))</f>
        <v>RA-25/2110-CH от 21.10.2025</v>
      </c>
      <c r="D5" s="217"/>
      <c r="E5" s="218" t="str">
        <f>СМАПП!D4</f>
        <v>/ DAP-СУЙФЭНЬХЭ /</v>
      </c>
      <c r="F5" s="168"/>
      <c r="G5" s="211"/>
      <c r="H5" s="168"/>
      <c r="I5" s="211"/>
      <c r="J5" s="219"/>
      <c r="K5" s="220"/>
      <c r="L5" s="443" t="str">
        <f>СМАПП!D13</f>
        <v>XLRTE47MS0E962123</v>
      </c>
      <c r="M5" s="444"/>
      <c r="N5" s="445"/>
    </row>
    <row r="6" spans="1:14" s="196" customFormat="1" ht="23.25" customHeight="1">
      <c r="A6" s="221"/>
      <c r="B6" s="222"/>
      <c r="C6" s="223"/>
      <c r="D6" s="224"/>
      <c r="E6" s="225"/>
      <c r="F6" s="226"/>
      <c r="G6" s="227"/>
      <c r="H6" s="225"/>
      <c r="I6" s="227"/>
      <c r="J6" s="228"/>
      <c r="K6" s="229"/>
      <c r="L6" s="230"/>
      <c r="M6" s="231"/>
      <c r="N6" s="232"/>
    </row>
    <row r="7" spans="1:14" s="196" customFormat="1" ht="35.25" customHeight="1">
      <c r="A7" s="233" t="s">
        <v>28</v>
      </c>
      <c r="B7" s="234"/>
      <c r="C7" s="432" t="s">
        <v>179</v>
      </c>
      <c r="D7" s="432"/>
      <c r="E7" s="432"/>
      <c r="F7" s="432"/>
      <c r="G7" s="432"/>
      <c r="H7" s="432"/>
      <c r="I7" s="432"/>
      <c r="J7" s="433"/>
      <c r="K7" s="195"/>
      <c r="L7" s="434" t="s">
        <v>29</v>
      </c>
      <c r="M7" s="435"/>
      <c r="N7" s="436"/>
    </row>
    <row r="8" spans="1:14" s="196" customFormat="1" ht="25.5" customHeight="1">
      <c r="A8" s="235" t="s">
        <v>30</v>
      </c>
      <c r="B8" s="215"/>
      <c r="C8" s="236" t="s">
        <v>361</v>
      </c>
      <c r="D8" s="237"/>
      <c r="E8" s="238"/>
      <c r="F8" s="238"/>
      <c r="G8" s="237"/>
      <c r="H8" s="238"/>
      <c r="I8" s="239"/>
      <c r="J8" s="240"/>
      <c r="K8" s="241"/>
      <c r="L8" s="437" t="str">
        <f>СМАПП!E12</f>
        <v>10716050-25/2019</v>
      </c>
      <c r="M8" s="438"/>
      <c r="N8" s="439"/>
    </row>
    <row r="9" spans="1:14" s="196" customFormat="1" ht="10.5" customHeight="1">
      <c r="A9" s="242"/>
      <c r="B9" s="243"/>
      <c r="C9" s="244"/>
      <c r="D9" s="224"/>
      <c r="E9" s="225"/>
      <c r="F9" s="225"/>
      <c r="G9" s="227"/>
      <c r="H9" s="225"/>
      <c r="I9" s="227"/>
      <c r="J9" s="245"/>
      <c r="K9" s="241"/>
      <c r="L9" s="246"/>
      <c r="M9" s="247"/>
      <c r="N9" s="248"/>
    </row>
    <row r="10" spans="1:14" s="196" customFormat="1" ht="63.75" customHeight="1">
      <c r="A10" s="249" t="s">
        <v>31</v>
      </c>
      <c r="B10" s="250"/>
      <c r="C10" s="251" t="str">
        <f>CONCATENATE(СМАПП!D16,",   ",СМАПП!D17)</f>
        <v>ООО «РЕАЛ ЭСТЕЙТ КОМПАНИ»,   Приморский край, г. Владивосток,  ул. Запорожская д.77, оф.720</v>
      </c>
      <c r="D10" s="252"/>
      <c r="E10" s="253"/>
      <c r="F10" s="253"/>
      <c r="G10" s="254"/>
      <c r="H10" s="253"/>
      <c r="I10" s="254"/>
      <c r="J10" s="255"/>
      <c r="K10" s="195"/>
      <c r="L10" s="256" t="s">
        <v>32</v>
      </c>
      <c r="M10" s="425" t="str">
        <f>СМАПП!D14</f>
        <v>Шевченко Сергей Дмитриевич</v>
      </c>
      <c r="N10" s="426"/>
    </row>
    <row r="11" spans="1:14" s="196" customFormat="1" ht="32.25" customHeight="1">
      <c r="A11" s="257"/>
      <c r="B11" s="258"/>
      <c r="C11" s="259" t="str">
        <f>СМАПП!E17</f>
        <v>ИНН 2538144525</v>
      </c>
      <c r="D11" s="260" t="str">
        <f>СМАПП!F17</f>
        <v>ОГРН  1112538000706</v>
      </c>
      <c r="E11" s="261"/>
      <c r="F11" s="261"/>
      <c r="G11" s="262"/>
      <c r="H11" s="261"/>
      <c r="I11" s="262"/>
      <c r="J11" s="263"/>
      <c r="K11" s="195"/>
      <c r="L11" s="264" t="s">
        <v>33</v>
      </c>
      <c r="M11" s="427" t="str">
        <f>СМАПП!D15</f>
        <v>77-2950046</v>
      </c>
      <c r="N11" s="428"/>
    </row>
    <row r="12" spans="1:14" ht="7.5" customHeight="1">
      <c r="B12" s="266"/>
      <c r="C12" s="266"/>
      <c r="D12" s="63"/>
      <c r="E12" s="267"/>
      <c r="F12" s="267"/>
      <c r="G12" s="63"/>
      <c r="H12" s="267"/>
      <c r="I12" s="63"/>
      <c r="J12" s="63"/>
      <c r="K12" s="63"/>
      <c r="L12" s="63"/>
      <c r="M12" s="63"/>
      <c r="N12" s="63"/>
    </row>
    <row r="13" spans="1:14" ht="18" customHeight="1">
      <c r="A13" s="268" t="s">
        <v>34</v>
      </c>
      <c r="B13" s="269" t="s">
        <v>35</v>
      </c>
      <c r="C13" s="270" t="s">
        <v>1</v>
      </c>
      <c r="D13" s="269" t="s">
        <v>36</v>
      </c>
      <c r="E13" s="271" t="s">
        <v>37</v>
      </c>
      <c r="F13" s="270" t="s">
        <v>38</v>
      </c>
      <c r="G13" s="272"/>
      <c r="H13" s="273" t="s">
        <v>39</v>
      </c>
      <c r="I13" s="311" t="s">
        <v>40</v>
      </c>
      <c r="J13" s="424" t="s">
        <v>41</v>
      </c>
      <c r="K13" s="424"/>
      <c r="L13" s="424"/>
      <c r="M13" s="312" t="s">
        <v>42</v>
      </c>
      <c r="N13" s="312" t="s">
        <v>43</v>
      </c>
    </row>
    <row r="14" spans="1:14" ht="22.5" customHeight="1">
      <c r="A14" s="274" t="s">
        <v>44</v>
      </c>
      <c r="B14" s="275" t="s">
        <v>45</v>
      </c>
      <c r="C14" s="276"/>
      <c r="D14" s="275" t="s">
        <v>46</v>
      </c>
      <c r="E14" s="277" t="s">
        <v>47</v>
      </c>
      <c r="F14" s="276" t="s">
        <v>48</v>
      </c>
      <c r="G14" s="277"/>
      <c r="H14" s="278" t="s">
        <v>49</v>
      </c>
      <c r="I14" s="276" t="s">
        <v>317</v>
      </c>
      <c r="J14" s="312" t="s">
        <v>51</v>
      </c>
      <c r="K14" s="312"/>
      <c r="L14" s="312" t="s">
        <v>50</v>
      </c>
      <c r="M14" s="312" t="s">
        <v>388</v>
      </c>
      <c r="N14" s="312" t="s">
        <v>183</v>
      </c>
    </row>
    <row r="15" spans="1:14" s="286" customFormat="1" ht="57">
      <c r="A15" s="279">
        <f>СМАПП!A23</f>
        <v>1</v>
      </c>
      <c r="B15" s="280">
        <f>СМАПП!B23</f>
        <v>8514390000</v>
      </c>
      <c r="C15" s="281" t="str">
        <f>СМАПП!D23&amp;", изгот. : "&amp;СМАПП!E23&amp;",торг. марка: "&amp;СМАПП!G23&amp;", модель: "&amp;СМАПП!H23</f>
        <v>ИСПЫТАТЕЛЬНАЯ КОКСОВАЯ ПЕЧЬ, изгот. : Zhongwei National Engineering Research Center For Coking Technology Co.,Ltd.,торг. марка: НЕ ОБОЗНАЧЕНА, модель: отсутствует</v>
      </c>
      <c r="D15" s="282" t="str">
        <f>СМАПП!I23</f>
        <v>В292-1-3</v>
      </c>
      <c r="E15" s="283" t="str">
        <f>СМАПП!J23</f>
        <v>фанер.ящик</v>
      </c>
      <c r="F15" s="284">
        <f>СМАПП!K23</f>
        <v>3</v>
      </c>
      <c r="G15" s="281"/>
      <c r="H15" s="284" t="str">
        <f>СМАПП!L23</f>
        <v>компл.</v>
      </c>
      <c r="I15" s="284">
        <f>СМАПП!M23</f>
        <v>1</v>
      </c>
      <c r="J15" s="284">
        <f>СМАПП!O23</f>
        <v>908.8</v>
      </c>
      <c r="K15" s="284" t="e">
        <f>СМАПП!#REF!</f>
        <v>#REF!</v>
      </c>
      <c r="L15" s="285">
        <f>СМАПП!N23</f>
        <v>1096</v>
      </c>
      <c r="M15" s="285">
        <f>N15/I15</f>
        <v>250000</v>
      </c>
      <c r="N15" s="285">
        <f>СМАПП!C23</f>
        <v>250000</v>
      </c>
    </row>
    <row r="16" spans="1:14" s="286" customFormat="1" ht="57">
      <c r="A16" s="279">
        <f>СМАПП!A24</f>
        <v>2</v>
      </c>
      <c r="B16" s="280">
        <f>СМАПП!B24</f>
        <v>8419908509</v>
      </c>
      <c r="C16" s="281" t="str">
        <f>СМАПП!D24&amp;", изгот. : "&amp;СМАПП!E24&amp;",торг. марка: "&amp;СМАПП!G24&amp;", модель: "&amp;СМАПП!H24</f>
        <v>Реторта коксования угля, изгот. : YANTAI SUNDY SCIENCE ENVIROMENTAL TECHNOLOGY LТD,торг. марка: НЕ ОБОЗНАЧЕНА, модель: отсутствует</v>
      </c>
      <c r="D16" s="282" t="str">
        <f>СМАПП!I24</f>
        <v>В292-4</v>
      </c>
      <c r="E16" s="283" t="str">
        <f>СМАПП!J24</f>
        <v>фанер.ящик</v>
      </c>
      <c r="F16" s="284">
        <f>СМАПП!K24</f>
        <v>1</v>
      </c>
      <c r="G16" s="281"/>
      <c r="H16" s="284" t="str">
        <f>СМАПП!L24</f>
        <v>компл.</v>
      </c>
      <c r="I16" s="284">
        <f>СМАПП!M24</f>
        <v>2</v>
      </c>
      <c r="J16" s="284">
        <f>СМАПП!O24</f>
        <v>35</v>
      </c>
      <c r="K16" s="284" t="e">
        <f>СМАПП!#REF!</f>
        <v>#REF!</v>
      </c>
      <c r="L16" s="285">
        <f>СМАПП!N24</f>
        <v>52.8</v>
      </c>
      <c r="M16" s="285">
        <f t="shared" ref="M16:M22" si="0">N16/I16</f>
        <v>32000</v>
      </c>
      <c r="N16" s="285">
        <f>СМАПП!C24</f>
        <v>64000</v>
      </c>
    </row>
    <row r="17" spans="1:14" s="286" customFormat="1" ht="85.5">
      <c r="A17" s="279">
        <f>СМАПП!A25</f>
        <v>3</v>
      </c>
      <c r="B17" s="280">
        <f>СМАПП!B25</f>
        <v>6903909000</v>
      </c>
      <c r="C17" s="281" t="str">
        <f>СМАПП!D25&amp;", изгот. : "&amp;СМАПП!E25&amp;",торг. марка: "&amp;СМАПП!G25&amp;", модель: "&amp;СМАПП!H25</f>
        <v>Теплоизоляционный кожух
реторты коксования угля, изгот. : YANTAI SUNDY SCIENCE ENVIROMENTAL TECHNOLOGY LТD,торг. марка: НЕ ОБОЗНАЧЕНА, модель: отсутствует</v>
      </c>
      <c r="D17" s="282" t="str">
        <f>СМАПП!I25</f>
        <v>В292-4</v>
      </c>
      <c r="E17" s="283" t="str">
        <f>СМАПП!J25</f>
        <v>фанер.ящик</v>
      </c>
      <c r="F17" s="284" t="str">
        <f>СМАПП!K25</f>
        <v>часть места</v>
      </c>
      <c r="G17" s="281"/>
      <c r="H17" s="284" t="str">
        <f>СМАПП!L25</f>
        <v>компл.</v>
      </c>
      <c r="I17" s="284">
        <f>СМАПП!M25</f>
        <v>1</v>
      </c>
      <c r="J17" s="284">
        <f>СМАПП!O25</f>
        <v>10</v>
      </c>
      <c r="K17" s="284" t="e">
        <f>СМАПП!#REF!</f>
        <v>#REF!</v>
      </c>
      <c r="L17" s="285">
        <f>СМАПП!N25</f>
        <v>15</v>
      </c>
      <c r="M17" s="285">
        <f t="shared" si="0"/>
        <v>14000</v>
      </c>
      <c r="N17" s="285">
        <f>СМАПП!C25</f>
        <v>14000</v>
      </c>
    </row>
    <row r="18" spans="1:14" s="286" customFormat="1" ht="57">
      <c r="A18" s="279">
        <f>СМАПП!A26</f>
        <v>4</v>
      </c>
      <c r="B18" s="280">
        <f>СМАПП!B26</f>
        <v>6903909000</v>
      </c>
      <c r="C18" s="281" t="str">
        <f>СМАПП!D26&amp;", изгот. : "&amp;СМАПП!E26&amp;",торг. марка: "&amp;СМАПП!G26&amp;", модель: "&amp;СМАПП!H26</f>
        <v>Теплоизоляционная накладка, изгот. : YANTAI SUNDY SCIENCE ENVIROMENTAL TECHNOLOGY LТD,торг. марка: НЕ ОБОЗНАЧЕНА, модель: отсутствует</v>
      </c>
      <c r="D18" s="282" t="str">
        <f>СМАПП!I26</f>
        <v>В292-4</v>
      </c>
      <c r="E18" s="283" t="str">
        <f>СМАПП!J26</f>
        <v>фанер.ящик</v>
      </c>
      <c r="F18" s="284" t="str">
        <f>СМАПП!K26</f>
        <v>часть места</v>
      </c>
      <c r="G18" s="281"/>
      <c r="H18" s="284" t="str">
        <f>СМАПП!L26</f>
        <v>шт</v>
      </c>
      <c r="I18" s="284">
        <f>СМАПП!M26</f>
        <v>6</v>
      </c>
      <c r="J18" s="284">
        <f>СМАПП!O26</f>
        <v>2.4</v>
      </c>
      <c r="K18" s="284" t="e">
        <f>СМАПП!#REF!</f>
        <v>#REF!</v>
      </c>
      <c r="L18" s="285">
        <f>СМАПП!N26</f>
        <v>3</v>
      </c>
      <c r="M18" s="285">
        <f t="shared" si="0"/>
        <v>293.33333333333331</v>
      </c>
      <c r="N18" s="285">
        <f>СМАПП!C26</f>
        <v>1760</v>
      </c>
    </row>
    <row r="19" spans="1:14" s="286" customFormat="1" ht="57">
      <c r="A19" s="279">
        <f>СМАПП!A27</f>
        <v>5</v>
      </c>
      <c r="B19" s="280">
        <f>СМАПП!B27</f>
        <v>9025192000</v>
      </c>
      <c r="C19" s="281" t="str">
        <f>СМАПП!D27&amp;", изгот. : "&amp;СМАПП!E27&amp;",торг. марка: "&amp;СМАПП!G27&amp;", модель: "&amp;СМАПП!H27</f>
        <v>Термопара HCHS2KG-5-3, изгот. : Zhongwei National Engineering Research Center For Coking Technology Co.,Ltd.,торг. марка: НЕ ОБОЗНАЧЕНА, модель: отсутствует</v>
      </c>
      <c r="D19" s="282" t="str">
        <f>СМАПП!I27</f>
        <v>В292-4</v>
      </c>
      <c r="E19" s="283" t="str">
        <f>СМАПП!J27</f>
        <v>фанер.ящик</v>
      </c>
      <c r="F19" s="284" t="str">
        <f>СМАПП!K27</f>
        <v>часть места</v>
      </c>
      <c r="G19" s="281"/>
      <c r="H19" s="284" t="str">
        <f>СМАПП!L27</f>
        <v>шт</v>
      </c>
      <c r="I19" s="284">
        <f>СМАПП!M27</f>
        <v>2</v>
      </c>
      <c r="J19" s="284">
        <f>СМАПП!O27</f>
        <v>1.1000000000000001</v>
      </c>
      <c r="K19" s="284" t="e">
        <f>СМАПП!#REF!</f>
        <v>#REF!</v>
      </c>
      <c r="L19" s="285">
        <f>СМАПП!N27</f>
        <v>2</v>
      </c>
      <c r="M19" s="285">
        <f t="shared" si="0"/>
        <v>5150</v>
      </c>
      <c r="N19" s="285">
        <f>СМАПП!C27</f>
        <v>10300</v>
      </c>
    </row>
    <row r="20" spans="1:14" s="286" customFormat="1" ht="57">
      <c r="A20" s="279">
        <f>СМАПП!A28</f>
        <v>6</v>
      </c>
      <c r="B20" s="280">
        <f>СМАПП!B28</f>
        <v>7326909807</v>
      </c>
      <c r="C20" s="281" t="str">
        <f>СМАПП!D28&amp;", изгот. : "&amp;СМАПП!E28&amp;",торг. марка: "&amp;СМАПП!G28&amp;", модель: "&amp;СМАПП!H28</f>
        <v>Прокладка реторты коксования, изгот. : YANTAI SUNDY SCIENCE ENVIROMENTAL TECHNOLOGY LТD,торг. марка: НЕ ОБОЗНАЧЕНА, модель: отсутствует</v>
      </c>
      <c r="D20" s="282" t="str">
        <f>СМАПП!I28</f>
        <v>В292-4</v>
      </c>
      <c r="E20" s="283" t="str">
        <f>СМАПП!J28</f>
        <v>фанер.ящик</v>
      </c>
      <c r="F20" s="284" t="str">
        <f>СМАПП!K28</f>
        <v>часть места</v>
      </c>
      <c r="G20" s="281"/>
      <c r="H20" s="284" t="str">
        <f>СМАПП!L28</f>
        <v>шт</v>
      </c>
      <c r="I20" s="284">
        <f>СМАПП!M28</f>
        <v>20</v>
      </c>
      <c r="J20" s="284">
        <f>СМАПП!O28</f>
        <v>2</v>
      </c>
      <c r="K20" s="284" t="e">
        <f>СМАПП!#REF!</f>
        <v>#REF!</v>
      </c>
      <c r="L20" s="285">
        <f>СМАПП!N28</f>
        <v>3</v>
      </c>
      <c r="M20" s="285">
        <f t="shared" si="0"/>
        <v>45</v>
      </c>
      <c r="N20" s="285">
        <f>СМАПП!C28</f>
        <v>900</v>
      </c>
    </row>
    <row r="21" spans="1:14" s="286" customFormat="1" ht="57">
      <c r="A21" s="279">
        <f>СМАПП!A29</f>
        <v>7</v>
      </c>
      <c r="B21" s="280">
        <f>СМАПП!B29</f>
        <v>7326909807</v>
      </c>
      <c r="C21" s="281" t="str">
        <f>СМАПП!D29&amp;", изгот. : "&amp;СМАПП!E29&amp;",торг. марка: "&amp;СМАПП!G29&amp;", модель: "&amp;СМАПП!H29</f>
        <v>Уплотнительная прокладка, изгот. : YANTAI SUNDY SCIENCE ENVIROMENTAL TECHNOLOGY LТD,торг. марка: НЕ ОБОЗНАЧЕНА, модель: отсутствует</v>
      </c>
      <c r="D21" s="282" t="str">
        <f>СМАПП!I29</f>
        <v>В292-4</v>
      </c>
      <c r="E21" s="283" t="str">
        <f>СМАПП!J29</f>
        <v>фанер.ящик</v>
      </c>
      <c r="F21" s="284" t="str">
        <f>СМАПП!K29</f>
        <v>часть места</v>
      </c>
      <c r="G21" s="281"/>
      <c r="H21" s="284" t="str">
        <f>СМАПП!L29</f>
        <v>шт</v>
      </c>
      <c r="I21" s="284">
        <f>СМАПП!M29</f>
        <v>20</v>
      </c>
      <c r="J21" s="284">
        <f>СМАПП!O29</f>
        <v>0.9</v>
      </c>
      <c r="K21" s="284" t="e">
        <f>СМАПП!#REF!</f>
        <v>#REF!</v>
      </c>
      <c r="L21" s="285">
        <f>СМАПП!N29</f>
        <v>1.5</v>
      </c>
      <c r="M21" s="285">
        <f t="shared" si="0"/>
        <v>10</v>
      </c>
      <c r="N21" s="285">
        <f>СМАПП!C29</f>
        <v>200</v>
      </c>
    </row>
    <row r="22" spans="1:14" s="286" customFormat="1" ht="57">
      <c r="A22" s="279">
        <f>СМАПП!A30</f>
        <v>8</v>
      </c>
      <c r="B22" s="280">
        <f>СМАПП!B30</f>
        <v>3926909709</v>
      </c>
      <c r="C22" s="281" t="str">
        <f>СМАПП!D30&amp;", изгот. : "&amp;СМАПП!E30&amp;",торг. марка: "&amp;СМАПП!G30&amp;", модель: "&amp;СМАПП!H30</f>
        <v>Уплотнительная прокладка из ПТФЭ, изгот. : YANTAI SUNDY SCIENCE ENVIROMENTAL TECHNOLOGY LТD,торг. марка: НЕ ОБОЗНАЧЕНА, модель: отсутствует</v>
      </c>
      <c r="D22" s="282" t="str">
        <f>СМАПП!I30</f>
        <v>В292-4</v>
      </c>
      <c r="E22" s="283" t="str">
        <f>СМАПП!J30</f>
        <v>фанер.ящик</v>
      </c>
      <c r="F22" s="284" t="str">
        <f>СМАПП!K30</f>
        <v>часть места</v>
      </c>
      <c r="G22" s="281"/>
      <c r="H22" s="284" t="str">
        <f>СМАПП!L30</f>
        <v>шт</v>
      </c>
      <c r="I22" s="284">
        <f>СМАПП!M30</f>
        <v>10</v>
      </c>
      <c r="J22" s="284">
        <f>СМАПП!O30</f>
        <v>0.2</v>
      </c>
      <c r="K22" s="284" t="e">
        <f>СМАПП!#REF!</f>
        <v>#REF!</v>
      </c>
      <c r="L22" s="285">
        <f>СМАПП!N30</f>
        <v>0.3</v>
      </c>
      <c r="M22" s="285">
        <f t="shared" si="0"/>
        <v>6</v>
      </c>
      <c r="N22" s="285">
        <f>СМАПП!C30</f>
        <v>60</v>
      </c>
    </row>
    <row r="23" spans="1:14" s="292" customFormat="1" ht="44.25" customHeight="1">
      <c r="A23" s="287"/>
      <c r="B23" s="288"/>
      <c r="C23" s="288"/>
      <c r="D23" s="289"/>
      <c r="E23" s="290" t="s">
        <v>52</v>
      </c>
      <c r="F23" s="345">
        <f t="shared" ref="F23:L23" si="1">SUM(F15:F22)</f>
        <v>4</v>
      </c>
      <c r="G23" s="345"/>
      <c r="H23" s="345"/>
      <c r="I23" s="345">
        <f t="shared" si="1"/>
        <v>62</v>
      </c>
      <c r="J23" s="291">
        <f t="shared" si="1"/>
        <v>960.4</v>
      </c>
      <c r="K23" s="291" t="e">
        <f t="shared" si="1"/>
        <v>#REF!</v>
      </c>
      <c r="L23" s="291">
        <f t="shared" si="1"/>
        <v>1173.5999999999999</v>
      </c>
      <c r="M23" s="291"/>
      <c r="N23" s="291">
        <f>SUM(N15:N22)</f>
        <v>341220</v>
      </c>
    </row>
    <row r="24" spans="1:14" ht="7.5" customHeight="1">
      <c r="B24" s="63"/>
      <c r="C24" s="63"/>
      <c r="D24" s="63"/>
      <c r="E24" s="267"/>
      <c r="F24" s="267"/>
      <c r="G24" s="63"/>
      <c r="H24" s="267"/>
      <c r="I24" s="63"/>
      <c r="J24" s="293"/>
      <c r="K24" s="293"/>
      <c r="L24" s="63"/>
      <c r="M24" s="63"/>
      <c r="N24" s="63"/>
    </row>
    <row r="25" spans="1:14" s="78" customFormat="1" ht="33.75" customHeight="1">
      <c r="A25" s="80"/>
      <c r="C25" s="294"/>
      <c r="D25" s="78" t="s">
        <v>53</v>
      </c>
      <c r="E25" s="295"/>
      <c r="F25" s="295"/>
      <c r="H25" s="295"/>
    </row>
    <row r="26" spans="1:14" s="78" customFormat="1" ht="33.75" customHeight="1">
      <c r="A26" s="78" t="s">
        <v>54</v>
      </c>
      <c r="C26" s="296">
        <f ca="1">СМАПП!D20</f>
        <v>46025</v>
      </c>
      <c r="E26" s="295"/>
      <c r="F26" s="295"/>
      <c r="H26" s="295"/>
    </row>
    <row r="27" spans="1:14" ht="12.75" customHeight="1">
      <c r="B27" s="297"/>
      <c r="C27" s="297"/>
      <c r="D27" s="63"/>
      <c r="E27" s="267"/>
      <c r="F27" s="267"/>
      <c r="G27" s="63"/>
      <c r="H27" s="267"/>
      <c r="I27" s="63"/>
      <c r="J27" s="63"/>
      <c r="K27" s="63"/>
      <c r="L27" s="298"/>
      <c r="M27" s="63"/>
      <c r="N27" s="63"/>
    </row>
    <row r="28" spans="1:14" ht="18.75">
      <c r="B28" s="297"/>
      <c r="C28" s="297"/>
      <c r="D28" s="63"/>
      <c r="E28" s="267"/>
      <c r="F28" s="267"/>
      <c r="G28" s="63"/>
      <c r="H28" s="267"/>
      <c r="I28" s="63"/>
      <c r="J28" s="63"/>
      <c r="K28" s="63"/>
      <c r="L28" s="63"/>
      <c r="M28" s="63"/>
      <c r="N28" s="63"/>
    </row>
    <row r="29" spans="1:14" ht="18.75">
      <c r="B29" s="63"/>
      <c r="C29" s="299"/>
      <c r="D29" s="63"/>
      <c r="E29" s="267"/>
      <c r="F29" s="267"/>
      <c r="G29" s="63"/>
      <c r="H29" s="267"/>
      <c r="I29" s="63"/>
      <c r="J29" s="63"/>
      <c r="K29" s="63"/>
      <c r="L29" s="63"/>
      <c r="M29" s="63"/>
      <c r="N29" s="63"/>
    </row>
    <row r="30" spans="1:14" ht="18.75">
      <c r="B30" s="63"/>
      <c r="C30" s="63"/>
      <c r="D30" s="63"/>
      <c r="E30" s="267"/>
      <c r="F30" s="267"/>
      <c r="G30" s="63"/>
      <c r="H30" s="267"/>
      <c r="I30" s="63"/>
      <c r="J30" s="63"/>
      <c r="K30" s="63"/>
      <c r="L30" s="63"/>
      <c r="M30" s="63"/>
      <c r="N30" s="63"/>
    </row>
    <row r="31" spans="1:14" ht="18.75">
      <c r="B31" s="63"/>
      <c r="C31" s="63"/>
      <c r="D31" s="63"/>
      <c r="E31" s="267"/>
      <c r="F31" s="267"/>
      <c r="G31" s="63"/>
      <c r="H31" s="267"/>
      <c r="I31" s="63"/>
      <c r="J31" s="63"/>
      <c r="K31" s="63"/>
      <c r="L31" s="63"/>
      <c r="M31" s="63"/>
      <c r="N31" s="63"/>
    </row>
    <row r="32" spans="1:14" ht="18.75">
      <c r="B32" s="63"/>
      <c r="C32" s="63"/>
      <c r="D32" s="63"/>
      <c r="E32" s="267"/>
      <c r="F32" s="267"/>
      <c r="G32" s="63"/>
      <c r="H32" s="267"/>
      <c r="I32" s="63"/>
      <c r="J32" s="63"/>
      <c r="K32" s="63"/>
      <c r="L32" s="63"/>
      <c r="M32" s="63"/>
      <c r="N32" s="63"/>
    </row>
  </sheetData>
  <mergeCells count="11">
    <mergeCell ref="C2:F2"/>
    <mergeCell ref="C3:F3"/>
    <mergeCell ref="J13:L13"/>
    <mergeCell ref="M10:N10"/>
    <mergeCell ref="M11:N11"/>
    <mergeCell ref="L3:N3"/>
    <mergeCell ref="C7:J7"/>
    <mergeCell ref="L7:N7"/>
    <mergeCell ref="L8:N8"/>
    <mergeCell ref="L4:N4"/>
    <mergeCell ref="L5:N5"/>
  </mergeCells>
  <dataValidations disablePrompts="1" count="1">
    <dataValidation type="list" allowBlank="1" showInputMessage="1" showErrorMessage="1" sqref="WVI983069:WVJ983069 WLM983069:WLN983069 WBQ983069:WBR983069 VRU983069:VRV983069 VHY983069:VHZ983069 UYC983069:UYD983069 UOG983069:UOH983069 UEK983069:UEL983069 TUO983069:TUP983069 TKS983069:TKT983069 TAW983069:TAX983069 SRA983069:SRB983069 SHE983069:SHF983069 RXI983069:RXJ983069 RNM983069:RNN983069 RDQ983069:RDR983069 QTU983069:QTV983069 QJY983069:QJZ983069 QAC983069:QAD983069 PQG983069:PQH983069 PGK983069:PGL983069 OWO983069:OWP983069 OMS983069:OMT983069 OCW983069:OCX983069 NTA983069:NTB983069 NJE983069:NJF983069 MZI983069:MZJ983069 MPM983069:MPN983069 MFQ983069:MFR983069 LVU983069:LVV983069 LLY983069:LLZ983069 LCC983069:LCD983069 KSG983069:KSH983069 KIK983069:KIL983069 JYO983069:JYP983069 JOS983069:JOT983069 JEW983069:JEX983069 IVA983069:IVB983069 ILE983069:ILF983069 IBI983069:IBJ983069 HRM983069:HRN983069 HHQ983069:HHR983069 GXU983069:GXV983069 GNY983069:GNZ983069 GEC983069:GED983069 FUG983069:FUH983069 FKK983069:FKL983069 FAO983069:FAP983069 EQS983069:EQT983069 EGW983069:EGX983069 DXA983069:DXB983069 DNE983069:DNF983069 DDI983069:DDJ983069 CTM983069:CTN983069 CJQ983069:CJR983069 BZU983069:BZV983069 BPY983069:BPZ983069 BGC983069:BGD983069 AWG983069:AWH983069 AMK983069:AML983069 ACO983069:ACP983069 SS983069:ST983069 IW983069:IX983069 WVI917533:WVJ917533 WLM917533:WLN917533 WBQ917533:WBR917533 VRU917533:VRV917533 VHY917533:VHZ917533 UYC917533:UYD917533 UOG917533:UOH917533 UEK917533:UEL917533 TUO917533:TUP917533 TKS917533:TKT917533 TAW917533:TAX917533 SRA917533:SRB917533 SHE917533:SHF917533 RXI917533:RXJ917533 RNM917533:RNN917533 RDQ917533:RDR917533 QTU917533:QTV917533 QJY917533:QJZ917533 QAC917533:QAD917533 PQG917533:PQH917533 PGK917533:PGL917533 OWO917533:OWP917533 OMS917533:OMT917533 OCW917533:OCX917533 NTA917533:NTB917533 NJE917533:NJF917533 MZI917533:MZJ917533 MPM917533:MPN917533 MFQ917533:MFR917533 LVU917533:LVV917533 LLY917533:LLZ917533 LCC917533:LCD917533 KSG917533:KSH917533 KIK917533:KIL917533 JYO917533:JYP917533 JOS917533:JOT917533 JEW917533:JEX917533 IVA917533:IVB917533 ILE917533:ILF917533 IBI917533:IBJ917533 HRM917533:HRN917533 HHQ917533:HHR917533 GXU917533:GXV917533 GNY917533:GNZ917533 GEC917533:GED917533 FUG917533:FUH917533 FKK917533:FKL917533 FAO917533:FAP917533 EQS917533:EQT917533 EGW917533:EGX917533 DXA917533:DXB917533 DNE917533:DNF917533 DDI917533:DDJ917533 CTM917533:CTN917533 CJQ917533:CJR917533 BZU917533:BZV917533 BPY917533:BPZ917533 BGC917533:BGD917533 AWG917533:AWH917533 AMK917533:AML917533 ACO917533:ACP917533 SS917533:ST917533 IW917533:IX917533 WVI851997:WVJ851997 WLM851997:WLN851997 WBQ851997:WBR851997 VRU851997:VRV851997 VHY851997:VHZ851997 UYC851997:UYD851997 UOG851997:UOH851997 UEK851997:UEL851997 TUO851997:TUP851997 TKS851997:TKT851997 TAW851997:TAX851997 SRA851997:SRB851997 SHE851997:SHF851997 RXI851997:RXJ851997 RNM851997:RNN851997 RDQ851997:RDR851997 QTU851997:QTV851997 QJY851997:QJZ851997 QAC851997:QAD851997 PQG851997:PQH851997 PGK851997:PGL851997 OWO851997:OWP851997 OMS851997:OMT851997 OCW851997:OCX851997 NTA851997:NTB851997 NJE851997:NJF851997 MZI851997:MZJ851997 MPM851997:MPN851997 MFQ851997:MFR851997 LVU851997:LVV851997 LLY851997:LLZ851997 LCC851997:LCD851997 KSG851997:KSH851997 KIK851997:KIL851997 JYO851997:JYP851997 JOS851997:JOT851997 JEW851997:JEX851997 IVA851997:IVB851997 ILE851997:ILF851997 IBI851997:IBJ851997 HRM851997:HRN851997 HHQ851997:HHR851997 GXU851997:GXV851997 GNY851997:GNZ851997 GEC851997:GED851997 FUG851997:FUH851997 FKK851997:FKL851997 FAO851997:FAP851997 EQS851997:EQT851997 EGW851997:EGX851997 DXA851997:DXB851997 DNE851997:DNF851997 DDI851997:DDJ851997 CTM851997:CTN851997 CJQ851997:CJR851997 BZU851997:BZV851997 BPY851997:BPZ851997 BGC851997:BGD851997 AWG851997:AWH851997 AMK851997:AML851997 ACO851997:ACP851997 SS851997:ST851997 IW851997:IX851997 WVI786461:WVJ786461 WLM786461:WLN786461 WBQ786461:WBR786461 VRU786461:VRV786461 VHY786461:VHZ786461 UYC786461:UYD786461 UOG786461:UOH786461 UEK786461:UEL786461 TUO786461:TUP786461 TKS786461:TKT786461 TAW786461:TAX786461 SRA786461:SRB786461 SHE786461:SHF786461 RXI786461:RXJ786461 RNM786461:RNN786461 RDQ786461:RDR786461 QTU786461:QTV786461 QJY786461:QJZ786461 QAC786461:QAD786461 PQG786461:PQH786461 PGK786461:PGL786461 OWO786461:OWP786461 OMS786461:OMT786461 OCW786461:OCX786461 NTA786461:NTB786461 NJE786461:NJF786461 MZI786461:MZJ786461 MPM786461:MPN786461 MFQ786461:MFR786461 LVU786461:LVV786461 LLY786461:LLZ786461 LCC786461:LCD786461 KSG786461:KSH786461 KIK786461:KIL786461 JYO786461:JYP786461 JOS786461:JOT786461 JEW786461:JEX786461 IVA786461:IVB786461 ILE786461:ILF786461 IBI786461:IBJ786461 HRM786461:HRN786461 HHQ786461:HHR786461 GXU786461:GXV786461 GNY786461:GNZ786461 GEC786461:GED786461 FUG786461:FUH786461 FKK786461:FKL786461 FAO786461:FAP786461 EQS786461:EQT786461 EGW786461:EGX786461 DXA786461:DXB786461 DNE786461:DNF786461 DDI786461:DDJ786461 CTM786461:CTN786461 CJQ786461:CJR786461 BZU786461:BZV786461 BPY786461:BPZ786461 BGC786461:BGD786461 AWG786461:AWH786461 AMK786461:AML786461 ACO786461:ACP786461 SS786461:ST786461 IW786461:IX786461 WVI720925:WVJ720925 WLM720925:WLN720925 WBQ720925:WBR720925 VRU720925:VRV720925 VHY720925:VHZ720925 UYC720925:UYD720925 UOG720925:UOH720925 UEK720925:UEL720925 TUO720925:TUP720925 TKS720925:TKT720925 TAW720925:TAX720925 SRA720925:SRB720925 SHE720925:SHF720925 RXI720925:RXJ720925 RNM720925:RNN720925 RDQ720925:RDR720925 QTU720925:QTV720925 QJY720925:QJZ720925 QAC720925:QAD720925 PQG720925:PQH720925 PGK720925:PGL720925 OWO720925:OWP720925 OMS720925:OMT720925 OCW720925:OCX720925 NTA720925:NTB720925 NJE720925:NJF720925 MZI720925:MZJ720925 MPM720925:MPN720925 MFQ720925:MFR720925 LVU720925:LVV720925 LLY720925:LLZ720925 LCC720925:LCD720925 KSG720925:KSH720925 KIK720925:KIL720925 JYO720925:JYP720925 JOS720925:JOT720925 JEW720925:JEX720925 IVA720925:IVB720925 ILE720925:ILF720925 IBI720925:IBJ720925 HRM720925:HRN720925 HHQ720925:HHR720925 GXU720925:GXV720925 GNY720925:GNZ720925 GEC720925:GED720925 FUG720925:FUH720925 FKK720925:FKL720925 FAO720925:FAP720925 EQS720925:EQT720925 EGW720925:EGX720925 DXA720925:DXB720925 DNE720925:DNF720925 DDI720925:DDJ720925 CTM720925:CTN720925 CJQ720925:CJR720925 BZU720925:BZV720925 BPY720925:BPZ720925 BGC720925:BGD720925 AWG720925:AWH720925 AMK720925:AML720925 ACO720925:ACP720925 SS720925:ST720925 IW720925:IX720925 WVI655389:WVJ655389 WLM655389:WLN655389 WBQ655389:WBR655389 VRU655389:VRV655389 VHY655389:VHZ655389 UYC655389:UYD655389 UOG655389:UOH655389 UEK655389:UEL655389 TUO655389:TUP655389 TKS655389:TKT655389 TAW655389:TAX655389 SRA655389:SRB655389 SHE655389:SHF655389 RXI655389:RXJ655389 RNM655389:RNN655389 RDQ655389:RDR655389 QTU655389:QTV655389 QJY655389:QJZ655389 QAC655389:QAD655389 PQG655389:PQH655389 PGK655389:PGL655389 OWO655389:OWP655389 OMS655389:OMT655389 OCW655389:OCX655389 NTA655389:NTB655389 NJE655389:NJF655389 MZI655389:MZJ655389 MPM655389:MPN655389 MFQ655389:MFR655389 LVU655389:LVV655389 LLY655389:LLZ655389 LCC655389:LCD655389 KSG655389:KSH655389 KIK655389:KIL655389 JYO655389:JYP655389 JOS655389:JOT655389 JEW655389:JEX655389 IVA655389:IVB655389 ILE655389:ILF655389 IBI655389:IBJ655389 HRM655389:HRN655389 HHQ655389:HHR655389 GXU655389:GXV655389 GNY655389:GNZ655389 GEC655389:GED655389 FUG655389:FUH655389 FKK655389:FKL655389 FAO655389:FAP655389 EQS655389:EQT655389 EGW655389:EGX655389 DXA655389:DXB655389 DNE655389:DNF655389 DDI655389:DDJ655389 CTM655389:CTN655389 CJQ655389:CJR655389 BZU655389:BZV655389 BPY655389:BPZ655389 BGC655389:BGD655389 AWG655389:AWH655389 AMK655389:AML655389 ACO655389:ACP655389 SS655389:ST655389 IW655389:IX655389 WVI589853:WVJ589853 WLM589853:WLN589853 WBQ589853:WBR589853 VRU589853:VRV589853 VHY589853:VHZ589853 UYC589853:UYD589853 UOG589853:UOH589853 UEK589853:UEL589853 TUO589853:TUP589853 TKS589853:TKT589853 TAW589853:TAX589853 SRA589853:SRB589853 SHE589853:SHF589853 RXI589853:RXJ589853 RNM589853:RNN589853 RDQ589853:RDR589853 QTU589853:QTV589853 QJY589853:QJZ589853 QAC589853:QAD589853 PQG589853:PQH589853 PGK589853:PGL589853 OWO589853:OWP589853 OMS589853:OMT589853 OCW589853:OCX589853 NTA589853:NTB589853 NJE589853:NJF589853 MZI589853:MZJ589853 MPM589853:MPN589853 MFQ589853:MFR589853 LVU589853:LVV589853 LLY589853:LLZ589853 LCC589853:LCD589853 KSG589853:KSH589853 KIK589853:KIL589853 JYO589853:JYP589853 JOS589853:JOT589853 JEW589853:JEX589853 IVA589853:IVB589853 ILE589853:ILF589853 IBI589853:IBJ589853 HRM589853:HRN589853 HHQ589853:HHR589853 GXU589853:GXV589853 GNY589853:GNZ589853 GEC589853:GED589853 FUG589853:FUH589853 FKK589853:FKL589853 FAO589853:FAP589853 EQS589853:EQT589853 EGW589853:EGX589853 DXA589853:DXB589853 DNE589853:DNF589853 DDI589853:DDJ589853 CTM589853:CTN589853 CJQ589853:CJR589853 BZU589853:BZV589853 BPY589853:BPZ589853 BGC589853:BGD589853 AWG589853:AWH589853 AMK589853:AML589853 ACO589853:ACP589853 SS589853:ST589853 IW589853:IX589853 WVI524317:WVJ524317 WLM524317:WLN524317 WBQ524317:WBR524317 VRU524317:VRV524317 VHY524317:VHZ524317 UYC524317:UYD524317 UOG524317:UOH524317 UEK524317:UEL524317 TUO524317:TUP524317 TKS524317:TKT524317 TAW524317:TAX524317 SRA524317:SRB524317 SHE524317:SHF524317 RXI524317:RXJ524317 RNM524317:RNN524317 RDQ524317:RDR524317 QTU524317:QTV524317 QJY524317:QJZ524317 QAC524317:QAD524317 PQG524317:PQH524317 PGK524317:PGL524317 OWO524317:OWP524317 OMS524317:OMT524317 OCW524317:OCX524317 NTA524317:NTB524317 NJE524317:NJF524317 MZI524317:MZJ524317 MPM524317:MPN524317 MFQ524317:MFR524317 LVU524317:LVV524317 LLY524317:LLZ524317 LCC524317:LCD524317 KSG524317:KSH524317 KIK524317:KIL524317 JYO524317:JYP524317 JOS524317:JOT524317 JEW524317:JEX524317 IVA524317:IVB524317 ILE524317:ILF524317 IBI524317:IBJ524317 HRM524317:HRN524317 HHQ524317:HHR524317 GXU524317:GXV524317 GNY524317:GNZ524317 GEC524317:GED524317 FUG524317:FUH524317 FKK524317:FKL524317 FAO524317:FAP524317 EQS524317:EQT524317 EGW524317:EGX524317 DXA524317:DXB524317 DNE524317:DNF524317 DDI524317:DDJ524317 CTM524317:CTN524317 CJQ524317:CJR524317 BZU524317:BZV524317 BPY524317:BPZ524317 BGC524317:BGD524317 AWG524317:AWH524317 AMK524317:AML524317 ACO524317:ACP524317 SS524317:ST524317 IW524317:IX524317 WVI458781:WVJ458781 WLM458781:WLN458781 WBQ458781:WBR458781 VRU458781:VRV458781 VHY458781:VHZ458781 UYC458781:UYD458781 UOG458781:UOH458781 UEK458781:UEL458781 TUO458781:TUP458781 TKS458781:TKT458781 TAW458781:TAX458781 SRA458781:SRB458781 SHE458781:SHF458781 RXI458781:RXJ458781 RNM458781:RNN458781 RDQ458781:RDR458781 QTU458781:QTV458781 QJY458781:QJZ458781 QAC458781:QAD458781 PQG458781:PQH458781 PGK458781:PGL458781 OWO458781:OWP458781 OMS458781:OMT458781 OCW458781:OCX458781 NTA458781:NTB458781 NJE458781:NJF458781 MZI458781:MZJ458781 MPM458781:MPN458781 MFQ458781:MFR458781 LVU458781:LVV458781 LLY458781:LLZ458781 LCC458781:LCD458781 KSG458781:KSH458781 KIK458781:KIL458781 JYO458781:JYP458781 JOS458781:JOT458781 JEW458781:JEX458781 IVA458781:IVB458781 ILE458781:ILF458781 IBI458781:IBJ458781 HRM458781:HRN458781 HHQ458781:HHR458781 GXU458781:GXV458781 GNY458781:GNZ458781 GEC458781:GED458781 FUG458781:FUH458781 FKK458781:FKL458781 FAO458781:FAP458781 EQS458781:EQT458781 EGW458781:EGX458781 DXA458781:DXB458781 DNE458781:DNF458781 DDI458781:DDJ458781 CTM458781:CTN458781 CJQ458781:CJR458781 BZU458781:BZV458781 BPY458781:BPZ458781 BGC458781:BGD458781 AWG458781:AWH458781 AMK458781:AML458781 ACO458781:ACP458781 SS458781:ST458781 IW458781:IX458781 WVI393245:WVJ393245 WLM393245:WLN393245 WBQ393245:WBR393245 VRU393245:VRV393245 VHY393245:VHZ393245 UYC393245:UYD393245 UOG393245:UOH393245 UEK393245:UEL393245 TUO393245:TUP393245 TKS393245:TKT393245 TAW393245:TAX393245 SRA393245:SRB393245 SHE393245:SHF393245 RXI393245:RXJ393245 RNM393245:RNN393245 RDQ393245:RDR393245 QTU393245:QTV393245 QJY393245:QJZ393245 QAC393245:QAD393245 PQG393245:PQH393245 PGK393245:PGL393245 OWO393245:OWP393245 OMS393245:OMT393245 OCW393245:OCX393245 NTA393245:NTB393245 NJE393245:NJF393245 MZI393245:MZJ393245 MPM393245:MPN393245 MFQ393245:MFR393245 LVU393245:LVV393245 LLY393245:LLZ393245 LCC393245:LCD393245 KSG393245:KSH393245 KIK393245:KIL393245 JYO393245:JYP393245 JOS393245:JOT393245 JEW393245:JEX393245 IVA393245:IVB393245 ILE393245:ILF393245 IBI393245:IBJ393245 HRM393245:HRN393245 HHQ393245:HHR393245 GXU393245:GXV393245 GNY393245:GNZ393245 GEC393245:GED393245 FUG393245:FUH393245 FKK393245:FKL393245 FAO393245:FAP393245 EQS393245:EQT393245 EGW393245:EGX393245 DXA393245:DXB393245 DNE393245:DNF393245 DDI393245:DDJ393245 CTM393245:CTN393245 CJQ393245:CJR393245 BZU393245:BZV393245 BPY393245:BPZ393245 BGC393245:BGD393245 AWG393245:AWH393245 AMK393245:AML393245 ACO393245:ACP393245 SS393245:ST393245 IW393245:IX393245 WVI327709:WVJ327709 WLM327709:WLN327709 WBQ327709:WBR327709 VRU327709:VRV327709 VHY327709:VHZ327709 UYC327709:UYD327709 UOG327709:UOH327709 UEK327709:UEL327709 TUO327709:TUP327709 TKS327709:TKT327709 TAW327709:TAX327709 SRA327709:SRB327709 SHE327709:SHF327709 RXI327709:RXJ327709 RNM327709:RNN327709 RDQ327709:RDR327709 QTU327709:QTV327709 QJY327709:QJZ327709 QAC327709:QAD327709 PQG327709:PQH327709 PGK327709:PGL327709 OWO327709:OWP327709 OMS327709:OMT327709 OCW327709:OCX327709 NTA327709:NTB327709 NJE327709:NJF327709 MZI327709:MZJ327709 MPM327709:MPN327709 MFQ327709:MFR327709 LVU327709:LVV327709 LLY327709:LLZ327709 LCC327709:LCD327709 KSG327709:KSH327709 KIK327709:KIL327709 JYO327709:JYP327709 JOS327709:JOT327709 JEW327709:JEX327709 IVA327709:IVB327709 ILE327709:ILF327709 IBI327709:IBJ327709 HRM327709:HRN327709 HHQ327709:HHR327709 GXU327709:GXV327709 GNY327709:GNZ327709 GEC327709:GED327709 FUG327709:FUH327709 FKK327709:FKL327709 FAO327709:FAP327709 EQS327709:EQT327709 EGW327709:EGX327709 DXA327709:DXB327709 DNE327709:DNF327709 DDI327709:DDJ327709 CTM327709:CTN327709 CJQ327709:CJR327709 BZU327709:BZV327709 BPY327709:BPZ327709 BGC327709:BGD327709 AWG327709:AWH327709 AMK327709:AML327709 ACO327709:ACP327709 SS327709:ST327709 IW327709:IX327709 WVI262173:WVJ262173 WLM262173:WLN262173 WBQ262173:WBR262173 VRU262173:VRV262173 VHY262173:VHZ262173 UYC262173:UYD262173 UOG262173:UOH262173 UEK262173:UEL262173 TUO262173:TUP262173 TKS262173:TKT262173 TAW262173:TAX262173 SRA262173:SRB262173 SHE262173:SHF262173 RXI262173:RXJ262173 RNM262173:RNN262173 RDQ262173:RDR262173 QTU262173:QTV262173 QJY262173:QJZ262173 QAC262173:QAD262173 PQG262173:PQH262173 PGK262173:PGL262173 OWO262173:OWP262173 OMS262173:OMT262173 OCW262173:OCX262173 NTA262173:NTB262173 NJE262173:NJF262173 MZI262173:MZJ262173 MPM262173:MPN262173 MFQ262173:MFR262173 LVU262173:LVV262173 LLY262173:LLZ262173 LCC262173:LCD262173 KSG262173:KSH262173 KIK262173:KIL262173 JYO262173:JYP262173 JOS262173:JOT262173 JEW262173:JEX262173 IVA262173:IVB262173 ILE262173:ILF262173 IBI262173:IBJ262173 HRM262173:HRN262173 HHQ262173:HHR262173 GXU262173:GXV262173 GNY262173:GNZ262173 GEC262173:GED262173 FUG262173:FUH262173 FKK262173:FKL262173 FAO262173:FAP262173 EQS262173:EQT262173 EGW262173:EGX262173 DXA262173:DXB262173 DNE262173:DNF262173 DDI262173:DDJ262173 CTM262173:CTN262173 CJQ262173:CJR262173 BZU262173:BZV262173 BPY262173:BPZ262173 BGC262173:BGD262173 AWG262173:AWH262173 AMK262173:AML262173 ACO262173:ACP262173 SS262173:ST262173 IW262173:IX262173 WVI196637:WVJ196637 WLM196637:WLN196637 WBQ196637:WBR196637 VRU196637:VRV196637 VHY196637:VHZ196637 UYC196637:UYD196637 UOG196637:UOH196637 UEK196637:UEL196637 TUO196637:TUP196637 TKS196637:TKT196637 TAW196637:TAX196637 SRA196637:SRB196637 SHE196637:SHF196637 RXI196637:RXJ196637 RNM196637:RNN196637 RDQ196637:RDR196637 QTU196637:QTV196637 QJY196637:QJZ196637 QAC196637:QAD196637 PQG196637:PQH196637 PGK196637:PGL196637 OWO196637:OWP196637 OMS196637:OMT196637 OCW196637:OCX196637 NTA196637:NTB196637 NJE196637:NJF196637 MZI196637:MZJ196637 MPM196637:MPN196637 MFQ196637:MFR196637 LVU196637:LVV196637 LLY196637:LLZ196637 LCC196637:LCD196637 KSG196637:KSH196637 KIK196637:KIL196637 JYO196637:JYP196637 JOS196637:JOT196637 JEW196637:JEX196637 IVA196637:IVB196637 ILE196637:ILF196637 IBI196637:IBJ196637 HRM196637:HRN196637 HHQ196637:HHR196637 GXU196637:GXV196637 GNY196637:GNZ196637 GEC196637:GED196637 FUG196637:FUH196637 FKK196637:FKL196637 FAO196637:FAP196637 EQS196637:EQT196637 EGW196637:EGX196637 DXA196637:DXB196637 DNE196637:DNF196637 DDI196637:DDJ196637 CTM196637:CTN196637 CJQ196637:CJR196637 BZU196637:BZV196637 BPY196637:BPZ196637 BGC196637:BGD196637 AWG196637:AWH196637 AMK196637:AML196637 ACO196637:ACP196637 SS196637:ST196637 IW196637:IX196637 WVI131101:WVJ131101 WLM131101:WLN131101 WBQ131101:WBR131101 VRU131101:VRV131101 VHY131101:VHZ131101 UYC131101:UYD131101 UOG131101:UOH131101 UEK131101:UEL131101 TUO131101:TUP131101 TKS131101:TKT131101 TAW131101:TAX131101 SRA131101:SRB131101 SHE131101:SHF131101 RXI131101:RXJ131101 RNM131101:RNN131101 RDQ131101:RDR131101 QTU131101:QTV131101 QJY131101:QJZ131101 QAC131101:QAD131101 PQG131101:PQH131101 PGK131101:PGL131101 OWO131101:OWP131101 OMS131101:OMT131101 OCW131101:OCX131101 NTA131101:NTB131101 NJE131101:NJF131101 MZI131101:MZJ131101 MPM131101:MPN131101 MFQ131101:MFR131101 LVU131101:LVV131101 LLY131101:LLZ131101 LCC131101:LCD131101 KSG131101:KSH131101 KIK131101:KIL131101 JYO131101:JYP131101 JOS131101:JOT131101 JEW131101:JEX131101 IVA131101:IVB131101 ILE131101:ILF131101 IBI131101:IBJ131101 HRM131101:HRN131101 HHQ131101:HHR131101 GXU131101:GXV131101 GNY131101:GNZ131101 GEC131101:GED131101 FUG131101:FUH131101 FKK131101:FKL131101 FAO131101:FAP131101 EQS131101:EQT131101 EGW131101:EGX131101 DXA131101:DXB131101 DNE131101:DNF131101 DDI131101:DDJ131101 CTM131101:CTN131101 CJQ131101:CJR131101 BZU131101:BZV131101 BPY131101:BPZ131101 BGC131101:BGD131101 AWG131101:AWH131101 AMK131101:AML131101 ACO131101:ACP131101 SS131101:ST131101 IW131101:IX131101 WVI65565:WVJ65565 WLM65565:WLN65565 WBQ65565:WBR65565 VRU65565:VRV65565 VHY65565:VHZ65565 UYC65565:UYD65565 UOG65565:UOH65565 UEK65565:UEL65565 TUO65565:TUP65565 TKS65565:TKT65565 TAW65565:TAX65565 SRA65565:SRB65565 SHE65565:SHF65565 RXI65565:RXJ65565 RNM65565:RNN65565 RDQ65565:RDR65565 QTU65565:QTV65565 QJY65565:QJZ65565 QAC65565:QAD65565 PQG65565:PQH65565 PGK65565:PGL65565 OWO65565:OWP65565 OMS65565:OMT65565 OCW65565:OCX65565 NTA65565:NTB65565 NJE65565:NJF65565 MZI65565:MZJ65565 MPM65565:MPN65565 MFQ65565:MFR65565 LVU65565:LVV65565 LLY65565:LLZ65565 LCC65565:LCD65565 KSG65565:KSH65565 KIK65565:KIL65565 JYO65565:JYP65565 JOS65565:JOT65565 JEW65565:JEX65565 IVA65565:IVB65565 ILE65565:ILF65565 IBI65565:IBJ65565 HRM65565:HRN65565 HHQ65565:HHR65565 GXU65565:GXV65565 GNY65565:GNZ65565 GEC65565:GED65565 FUG65565:FUH65565 FKK65565:FKL65565 FAO65565:FAP65565 EQS65565:EQT65565 EGW65565:EGX65565 DXA65565:DXB65565 DNE65565:DNF65565 DDI65565:DDJ65565 CTM65565:CTN65565 CJQ65565:CJR65565 BZU65565:BZV65565 BPY65565:BPZ65565 BGC65565:BGD65565 AWG65565:AWH65565 AMK65565:AML65565 ACO65565:ACP65565 SS65565:ST65565 IW65565:IX65565 WVI29:WVJ29 WLM29:WLN29 WBQ29:WBR29 VRU29:VRV29 VHY29:VHZ29 UYC29:UYD29 UOG29:UOH29 UEK29:UEL29 TUO29:TUP29 TKS29:TKT29 TAW29:TAX29 SRA29:SRB29 SHE29:SHF29 RXI29:RXJ29 RNM29:RNN29 RDQ29:RDR29 QTU29:QTV29 QJY29:QJZ29 QAC29:QAD29 PQG29:PQH29 PGK29:PGL29 OWO29:OWP29 OMS29:OMT29 OCW29:OCX29 NTA29:NTB29 NJE29:NJF29 MZI29:MZJ29 MPM29:MPN29 MFQ29:MFR29 LVU29:LVV29 LLY29:LLZ29 LCC29:LCD29 KSG29:KSH29 KIK29:KIL29 JYO29:JYP29 JOS29:JOT29 JEW29:JEX29 IVA29:IVB29 ILE29:ILF29 IBI29:IBJ29 HRM29:HRN29 HHQ29:HHR29 GXU29:GXV29 GNY29:GNZ29 GEC29:GED29 FUG29:FUH29 FKK29:FKL29 FAO29:FAP29 EQS29:EQT29 EGW29:EGX29 DXA29:DXB29 DNE29:DNF29 DDI29:DDJ29 CTM29:CTN29 CJQ29:CJR29 BZU29:BZV29 BPY29:BPZ29 BGC29:BGD29 AWG29:AWH29 AMK29:AML29 ACO29:ACP29 SS29:ST29 IW29:IX29" xr:uid="{00000000-0002-0000-0100-000000000000}">
      <formula1>#REF!</formula1>
    </dataValidation>
  </dataValidations>
  <pageMargins left="0.31496062992125984" right="0.15748031496062992" top="0.27559055118110237" bottom="0.23622047244094491" header="0.23622047244094491" footer="0.15748031496062992"/>
  <pageSetup paperSize="9" scale="2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99DF01EC-0423-4F25-980F-EB8EC91EC359}">
          <x14:formula1>
            <xm:f>'доп данные'!$M$1:$M$6</xm:f>
          </x14:formula1>
          <xm:sqref>M14</xm:sqref>
        </x14:dataValidation>
        <x14:dataValidation type="list" allowBlank="1" showInputMessage="1" showErrorMessage="1" xr:uid="{FD9FD955-C939-4AB3-B035-006A189C462E}">
          <x14:formula1>
            <xm:f>'доп данные'!$M$1:$M$7</xm:f>
          </x14:formula1>
          <xm:sqref>N14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44"/>
  <sheetViews>
    <sheetView tabSelected="1" view="pageBreakPreview" topLeftCell="A14" zoomScale="60" zoomScaleNormal="100" workbookViewId="0">
      <selection activeCell="F30" sqref="F30"/>
    </sheetView>
  </sheetViews>
  <sheetFormatPr defaultRowHeight="18.75"/>
  <cols>
    <col min="1" max="1" width="112.5703125" style="63" customWidth="1"/>
    <col min="2" max="2" width="17.140625" style="63" bestFit="1" customWidth="1"/>
    <col min="3" max="3" width="9.140625" style="63"/>
    <col min="4" max="4" width="17.7109375" style="63" bestFit="1" customWidth="1"/>
    <col min="5" max="5" width="19" style="63" customWidth="1"/>
    <col min="6" max="6" width="5.140625" style="63" customWidth="1"/>
    <col min="7" max="7" width="23.85546875" style="63" customWidth="1"/>
    <col min="8" max="8" width="26" style="63" customWidth="1"/>
    <col min="9" max="253" width="9.140625" style="63"/>
    <col min="254" max="254" width="41.7109375" style="63" customWidth="1"/>
    <col min="255" max="259" width="9.140625" style="63"/>
    <col min="260" max="260" width="10.85546875" style="63" customWidth="1"/>
    <col min="261" max="261" width="5.42578125" style="63" customWidth="1"/>
    <col min="262" max="509" width="9.140625" style="63"/>
    <col min="510" max="510" width="41.7109375" style="63" customWidth="1"/>
    <col min="511" max="515" width="9.140625" style="63"/>
    <col min="516" max="516" width="10.85546875" style="63" customWidth="1"/>
    <col min="517" max="517" width="5.42578125" style="63" customWidth="1"/>
    <col min="518" max="765" width="9.140625" style="63"/>
    <col min="766" max="766" width="41.7109375" style="63" customWidth="1"/>
    <col min="767" max="771" width="9.140625" style="63"/>
    <col min="772" max="772" width="10.85546875" style="63" customWidth="1"/>
    <col min="773" max="773" width="5.42578125" style="63" customWidth="1"/>
    <col min="774" max="1021" width="9.140625" style="63"/>
    <col min="1022" max="1022" width="41.7109375" style="63" customWidth="1"/>
    <col min="1023" max="1027" width="9.140625" style="63"/>
    <col min="1028" max="1028" width="10.85546875" style="63" customWidth="1"/>
    <col min="1029" max="1029" width="5.42578125" style="63" customWidth="1"/>
    <col min="1030" max="1277" width="9.140625" style="63"/>
    <col min="1278" max="1278" width="41.7109375" style="63" customWidth="1"/>
    <col min="1279" max="1283" width="9.140625" style="63"/>
    <col min="1284" max="1284" width="10.85546875" style="63" customWidth="1"/>
    <col min="1285" max="1285" width="5.42578125" style="63" customWidth="1"/>
    <col min="1286" max="1533" width="9.140625" style="63"/>
    <col min="1534" max="1534" width="41.7109375" style="63" customWidth="1"/>
    <col min="1535" max="1539" width="9.140625" style="63"/>
    <col min="1540" max="1540" width="10.85546875" style="63" customWidth="1"/>
    <col min="1541" max="1541" width="5.42578125" style="63" customWidth="1"/>
    <col min="1542" max="1789" width="9.140625" style="63"/>
    <col min="1790" max="1790" width="41.7109375" style="63" customWidth="1"/>
    <col min="1791" max="1795" width="9.140625" style="63"/>
    <col min="1796" max="1796" width="10.85546875" style="63" customWidth="1"/>
    <col min="1797" max="1797" width="5.42578125" style="63" customWidth="1"/>
    <col min="1798" max="2045" width="9.140625" style="63"/>
    <col min="2046" max="2046" width="41.7109375" style="63" customWidth="1"/>
    <col min="2047" max="2051" width="9.140625" style="63"/>
    <col min="2052" max="2052" width="10.85546875" style="63" customWidth="1"/>
    <col min="2053" max="2053" width="5.42578125" style="63" customWidth="1"/>
    <col min="2054" max="2301" width="9.140625" style="63"/>
    <col min="2302" max="2302" width="41.7109375" style="63" customWidth="1"/>
    <col min="2303" max="2307" width="9.140625" style="63"/>
    <col min="2308" max="2308" width="10.85546875" style="63" customWidth="1"/>
    <col min="2309" max="2309" width="5.42578125" style="63" customWidth="1"/>
    <col min="2310" max="2557" width="9.140625" style="63"/>
    <col min="2558" max="2558" width="41.7109375" style="63" customWidth="1"/>
    <col min="2559" max="2563" width="9.140625" style="63"/>
    <col min="2564" max="2564" width="10.85546875" style="63" customWidth="1"/>
    <col min="2565" max="2565" width="5.42578125" style="63" customWidth="1"/>
    <col min="2566" max="2813" width="9.140625" style="63"/>
    <col min="2814" max="2814" width="41.7109375" style="63" customWidth="1"/>
    <col min="2815" max="2819" width="9.140625" style="63"/>
    <col min="2820" max="2820" width="10.85546875" style="63" customWidth="1"/>
    <col min="2821" max="2821" width="5.42578125" style="63" customWidth="1"/>
    <col min="2822" max="3069" width="9.140625" style="63"/>
    <col min="3070" max="3070" width="41.7109375" style="63" customWidth="1"/>
    <col min="3071" max="3075" width="9.140625" style="63"/>
    <col min="3076" max="3076" width="10.85546875" style="63" customWidth="1"/>
    <col min="3077" max="3077" width="5.42578125" style="63" customWidth="1"/>
    <col min="3078" max="3325" width="9.140625" style="63"/>
    <col min="3326" max="3326" width="41.7109375" style="63" customWidth="1"/>
    <col min="3327" max="3331" width="9.140625" style="63"/>
    <col min="3332" max="3332" width="10.85546875" style="63" customWidth="1"/>
    <col min="3333" max="3333" width="5.42578125" style="63" customWidth="1"/>
    <col min="3334" max="3581" width="9.140625" style="63"/>
    <col min="3582" max="3582" width="41.7109375" style="63" customWidth="1"/>
    <col min="3583" max="3587" width="9.140625" style="63"/>
    <col min="3588" max="3588" width="10.85546875" style="63" customWidth="1"/>
    <col min="3589" max="3589" width="5.42578125" style="63" customWidth="1"/>
    <col min="3590" max="3837" width="9.140625" style="63"/>
    <col min="3838" max="3838" width="41.7109375" style="63" customWidth="1"/>
    <col min="3839" max="3843" width="9.140625" style="63"/>
    <col min="3844" max="3844" width="10.85546875" style="63" customWidth="1"/>
    <col min="3845" max="3845" width="5.42578125" style="63" customWidth="1"/>
    <col min="3846" max="4093" width="9.140625" style="63"/>
    <col min="4094" max="4094" width="41.7109375" style="63" customWidth="1"/>
    <col min="4095" max="4099" width="9.140625" style="63"/>
    <col min="4100" max="4100" width="10.85546875" style="63" customWidth="1"/>
    <col min="4101" max="4101" width="5.42578125" style="63" customWidth="1"/>
    <col min="4102" max="4349" width="9.140625" style="63"/>
    <col min="4350" max="4350" width="41.7109375" style="63" customWidth="1"/>
    <col min="4351" max="4355" width="9.140625" style="63"/>
    <col min="4356" max="4356" width="10.85546875" style="63" customWidth="1"/>
    <col min="4357" max="4357" width="5.42578125" style="63" customWidth="1"/>
    <col min="4358" max="4605" width="9.140625" style="63"/>
    <col min="4606" max="4606" width="41.7109375" style="63" customWidth="1"/>
    <col min="4607" max="4611" width="9.140625" style="63"/>
    <col min="4612" max="4612" width="10.85546875" style="63" customWidth="1"/>
    <col min="4613" max="4613" width="5.42578125" style="63" customWidth="1"/>
    <col min="4614" max="4861" width="9.140625" style="63"/>
    <col min="4862" max="4862" width="41.7109375" style="63" customWidth="1"/>
    <col min="4863" max="4867" width="9.140625" style="63"/>
    <col min="4868" max="4868" width="10.85546875" style="63" customWidth="1"/>
    <col min="4869" max="4869" width="5.42578125" style="63" customWidth="1"/>
    <col min="4870" max="5117" width="9.140625" style="63"/>
    <col min="5118" max="5118" width="41.7109375" style="63" customWidth="1"/>
    <col min="5119" max="5123" width="9.140625" style="63"/>
    <col min="5124" max="5124" width="10.85546875" style="63" customWidth="1"/>
    <col min="5125" max="5125" width="5.42578125" style="63" customWidth="1"/>
    <col min="5126" max="5373" width="9.140625" style="63"/>
    <col min="5374" max="5374" width="41.7109375" style="63" customWidth="1"/>
    <col min="5375" max="5379" width="9.140625" style="63"/>
    <col min="5380" max="5380" width="10.85546875" style="63" customWidth="1"/>
    <col min="5381" max="5381" width="5.42578125" style="63" customWidth="1"/>
    <col min="5382" max="5629" width="9.140625" style="63"/>
    <col min="5630" max="5630" width="41.7109375" style="63" customWidth="1"/>
    <col min="5631" max="5635" width="9.140625" style="63"/>
    <col min="5636" max="5636" width="10.85546875" style="63" customWidth="1"/>
    <col min="5637" max="5637" width="5.42578125" style="63" customWidth="1"/>
    <col min="5638" max="5885" width="9.140625" style="63"/>
    <col min="5886" max="5886" width="41.7109375" style="63" customWidth="1"/>
    <col min="5887" max="5891" width="9.140625" style="63"/>
    <col min="5892" max="5892" width="10.85546875" style="63" customWidth="1"/>
    <col min="5893" max="5893" width="5.42578125" style="63" customWidth="1"/>
    <col min="5894" max="6141" width="9.140625" style="63"/>
    <col min="6142" max="6142" width="41.7109375" style="63" customWidth="1"/>
    <col min="6143" max="6147" width="9.140625" style="63"/>
    <col min="6148" max="6148" width="10.85546875" style="63" customWidth="1"/>
    <col min="6149" max="6149" width="5.42578125" style="63" customWidth="1"/>
    <col min="6150" max="6397" width="9.140625" style="63"/>
    <col min="6398" max="6398" width="41.7109375" style="63" customWidth="1"/>
    <col min="6399" max="6403" width="9.140625" style="63"/>
    <col min="6404" max="6404" width="10.85546875" style="63" customWidth="1"/>
    <col min="6405" max="6405" width="5.42578125" style="63" customWidth="1"/>
    <col min="6406" max="6653" width="9.140625" style="63"/>
    <col min="6654" max="6654" width="41.7109375" style="63" customWidth="1"/>
    <col min="6655" max="6659" width="9.140625" style="63"/>
    <col min="6660" max="6660" width="10.85546875" style="63" customWidth="1"/>
    <col min="6661" max="6661" width="5.42578125" style="63" customWidth="1"/>
    <col min="6662" max="6909" width="9.140625" style="63"/>
    <col min="6910" max="6910" width="41.7109375" style="63" customWidth="1"/>
    <col min="6911" max="6915" width="9.140625" style="63"/>
    <col min="6916" max="6916" width="10.85546875" style="63" customWidth="1"/>
    <col min="6917" max="6917" width="5.42578125" style="63" customWidth="1"/>
    <col min="6918" max="7165" width="9.140625" style="63"/>
    <col min="7166" max="7166" width="41.7109375" style="63" customWidth="1"/>
    <col min="7167" max="7171" width="9.140625" style="63"/>
    <col min="7172" max="7172" width="10.85546875" style="63" customWidth="1"/>
    <col min="7173" max="7173" width="5.42578125" style="63" customWidth="1"/>
    <col min="7174" max="7421" width="9.140625" style="63"/>
    <col min="7422" max="7422" width="41.7109375" style="63" customWidth="1"/>
    <col min="7423" max="7427" width="9.140625" style="63"/>
    <col min="7428" max="7428" width="10.85546875" style="63" customWidth="1"/>
    <col min="7429" max="7429" width="5.42578125" style="63" customWidth="1"/>
    <col min="7430" max="7677" width="9.140625" style="63"/>
    <col min="7678" max="7678" width="41.7109375" style="63" customWidth="1"/>
    <col min="7679" max="7683" width="9.140625" style="63"/>
    <col min="7684" max="7684" width="10.85546875" style="63" customWidth="1"/>
    <col min="7685" max="7685" width="5.42578125" style="63" customWidth="1"/>
    <col min="7686" max="7933" width="9.140625" style="63"/>
    <col min="7934" max="7934" width="41.7109375" style="63" customWidth="1"/>
    <col min="7935" max="7939" width="9.140625" style="63"/>
    <col min="7940" max="7940" width="10.85546875" style="63" customWidth="1"/>
    <col min="7941" max="7941" width="5.42578125" style="63" customWidth="1"/>
    <col min="7942" max="8189" width="9.140625" style="63"/>
    <col min="8190" max="8190" width="41.7109375" style="63" customWidth="1"/>
    <col min="8191" max="8195" width="9.140625" style="63"/>
    <col min="8196" max="8196" width="10.85546875" style="63" customWidth="1"/>
    <col min="8197" max="8197" width="5.42578125" style="63" customWidth="1"/>
    <col min="8198" max="8445" width="9.140625" style="63"/>
    <col min="8446" max="8446" width="41.7109375" style="63" customWidth="1"/>
    <col min="8447" max="8451" width="9.140625" style="63"/>
    <col min="8452" max="8452" width="10.85546875" style="63" customWidth="1"/>
    <col min="8453" max="8453" width="5.42578125" style="63" customWidth="1"/>
    <col min="8454" max="8701" width="9.140625" style="63"/>
    <col min="8702" max="8702" width="41.7109375" style="63" customWidth="1"/>
    <col min="8703" max="8707" width="9.140625" style="63"/>
    <col min="8708" max="8708" width="10.85546875" style="63" customWidth="1"/>
    <col min="8709" max="8709" width="5.42578125" style="63" customWidth="1"/>
    <col min="8710" max="8957" width="9.140625" style="63"/>
    <col min="8958" max="8958" width="41.7109375" style="63" customWidth="1"/>
    <col min="8959" max="8963" width="9.140625" style="63"/>
    <col min="8964" max="8964" width="10.85546875" style="63" customWidth="1"/>
    <col min="8965" max="8965" width="5.42578125" style="63" customWidth="1"/>
    <col min="8966" max="9213" width="9.140625" style="63"/>
    <col min="9214" max="9214" width="41.7109375" style="63" customWidth="1"/>
    <col min="9215" max="9219" width="9.140625" style="63"/>
    <col min="9220" max="9220" width="10.85546875" style="63" customWidth="1"/>
    <col min="9221" max="9221" width="5.42578125" style="63" customWidth="1"/>
    <col min="9222" max="9469" width="9.140625" style="63"/>
    <col min="9470" max="9470" width="41.7109375" style="63" customWidth="1"/>
    <col min="9471" max="9475" width="9.140625" style="63"/>
    <col min="9476" max="9476" width="10.85546875" style="63" customWidth="1"/>
    <col min="9477" max="9477" width="5.42578125" style="63" customWidth="1"/>
    <col min="9478" max="9725" width="9.140625" style="63"/>
    <col min="9726" max="9726" width="41.7109375" style="63" customWidth="1"/>
    <col min="9727" max="9731" width="9.140625" style="63"/>
    <col min="9732" max="9732" width="10.85546875" style="63" customWidth="1"/>
    <col min="9733" max="9733" width="5.42578125" style="63" customWidth="1"/>
    <col min="9734" max="9981" width="9.140625" style="63"/>
    <col min="9982" max="9982" width="41.7109375" style="63" customWidth="1"/>
    <col min="9983" max="9987" width="9.140625" style="63"/>
    <col min="9988" max="9988" width="10.85546875" style="63" customWidth="1"/>
    <col min="9989" max="9989" width="5.42578125" style="63" customWidth="1"/>
    <col min="9990" max="10237" width="9.140625" style="63"/>
    <col min="10238" max="10238" width="41.7109375" style="63" customWidth="1"/>
    <col min="10239" max="10243" width="9.140625" style="63"/>
    <col min="10244" max="10244" width="10.85546875" style="63" customWidth="1"/>
    <col min="10245" max="10245" width="5.42578125" style="63" customWidth="1"/>
    <col min="10246" max="10493" width="9.140625" style="63"/>
    <col min="10494" max="10494" width="41.7109375" style="63" customWidth="1"/>
    <col min="10495" max="10499" width="9.140625" style="63"/>
    <col min="10500" max="10500" width="10.85546875" style="63" customWidth="1"/>
    <col min="10501" max="10501" width="5.42578125" style="63" customWidth="1"/>
    <col min="10502" max="10749" width="9.140625" style="63"/>
    <col min="10750" max="10750" width="41.7109375" style="63" customWidth="1"/>
    <col min="10751" max="10755" width="9.140625" style="63"/>
    <col min="10756" max="10756" width="10.85546875" style="63" customWidth="1"/>
    <col min="10757" max="10757" width="5.42578125" style="63" customWidth="1"/>
    <col min="10758" max="11005" width="9.140625" style="63"/>
    <col min="11006" max="11006" width="41.7109375" style="63" customWidth="1"/>
    <col min="11007" max="11011" width="9.140625" style="63"/>
    <col min="11012" max="11012" width="10.85546875" style="63" customWidth="1"/>
    <col min="11013" max="11013" width="5.42578125" style="63" customWidth="1"/>
    <col min="11014" max="11261" width="9.140625" style="63"/>
    <col min="11262" max="11262" width="41.7109375" style="63" customWidth="1"/>
    <col min="11263" max="11267" width="9.140625" style="63"/>
    <col min="11268" max="11268" width="10.85546875" style="63" customWidth="1"/>
    <col min="11269" max="11269" width="5.42578125" style="63" customWidth="1"/>
    <col min="11270" max="11517" width="9.140625" style="63"/>
    <col min="11518" max="11518" width="41.7109375" style="63" customWidth="1"/>
    <col min="11519" max="11523" width="9.140625" style="63"/>
    <col min="11524" max="11524" width="10.85546875" style="63" customWidth="1"/>
    <col min="11525" max="11525" width="5.42578125" style="63" customWidth="1"/>
    <col min="11526" max="11773" width="9.140625" style="63"/>
    <col min="11774" max="11774" width="41.7109375" style="63" customWidth="1"/>
    <col min="11775" max="11779" width="9.140625" style="63"/>
    <col min="11780" max="11780" width="10.85546875" style="63" customWidth="1"/>
    <col min="11781" max="11781" width="5.42578125" style="63" customWidth="1"/>
    <col min="11782" max="12029" width="9.140625" style="63"/>
    <col min="12030" max="12030" width="41.7109375" style="63" customWidth="1"/>
    <col min="12031" max="12035" width="9.140625" style="63"/>
    <col min="12036" max="12036" width="10.85546875" style="63" customWidth="1"/>
    <col min="12037" max="12037" width="5.42578125" style="63" customWidth="1"/>
    <col min="12038" max="12285" width="9.140625" style="63"/>
    <col min="12286" max="12286" width="41.7109375" style="63" customWidth="1"/>
    <col min="12287" max="12291" width="9.140625" style="63"/>
    <col min="12292" max="12292" width="10.85546875" style="63" customWidth="1"/>
    <col min="12293" max="12293" width="5.42578125" style="63" customWidth="1"/>
    <col min="12294" max="12541" width="9.140625" style="63"/>
    <col min="12542" max="12542" width="41.7109375" style="63" customWidth="1"/>
    <col min="12543" max="12547" width="9.140625" style="63"/>
    <col min="12548" max="12548" width="10.85546875" style="63" customWidth="1"/>
    <col min="12549" max="12549" width="5.42578125" style="63" customWidth="1"/>
    <col min="12550" max="12797" width="9.140625" style="63"/>
    <col min="12798" max="12798" width="41.7109375" style="63" customWidth="1"/>
    <col min="12799" max="12803" width="9.140625" style="63"/>
    <col min="12804" max="12804" width="10.85546875" style="63" customWidth="1"/>
    <col min="12805" max="12805" width="5.42578125" style="63" customWidth="1"/>
    <col min="12806" max="13053" width="9.140625" style="63"/>
    <col min="13054" max="13054" width="41.7109375" style="63" customWidth="1"/>
    <col min="13055" max="13059" width="9.140625" style="63"/>
    <col min="13060" max="13060" width="10.85546875" style="63" customWidth="1"/>
    <col min="13061" max="13061" width="5.42578125" style="63" customWidth="1"/>
    <col min="13062" max="13309" width="9.140625" style="63"/>
    <col min="13310" max="13310" width="41.7109375" style="63" customWidth="1"/>
    <col min="13311" max="13315" width="9.140625" style="63"/>
    <col min="13316" max="13316" width="10.85546875" style="63" customWidth="1"/>
    <col min="13317" max="13317" width="5.42578125" style="63" customWidth="1"/>
    <col min="13318" max="13565" width="9.140625" style="63"/>
    <col min="13566" max="13566" width="41.7109375" style="63" customWidth="1"/>
    <col min="13567" max="13571" width="9.140625" style="63"/>
    <col min="13572" max="13572" width="10.85546875" style="63" customWidth="1"/>
    <col min="13573" max="13573" width="5.42578125" style="63" customWidth="1"/>
    <col min="13574" max="13821" width="9.140625" style="63"/>
    <col min="13822" max="13822" width="41.7109375" style="63" customWidth="1"/>
    <col min="13823" max="13827" width="9.140625" style="63"/>
    <col min="13828" max="13828" width="10.85546875" style="63" customWidth="1"/>
    <col min="13829" max="13829" width="5.42578125" style="63" customWidth="1"/>
    <col min="13830" max="14077" width="9.140625" style="63"/>
    <col min="14078" max="14078" width="41.7109375" style="63" customWidth="1"/>
    <col min="14079" max="14083" width="9.140625" style="63"/>
    <col min="14084" max="14084" width="10.85546875" style="63" customWidth="1"/>
    <col min="14085" max="14085" width="5.42578125" style="63" customWidth="1"/>
    <col min="14086" max="14333" width="9.140625" style="63"/>
    <col min="14334" max="14334" width="41.7109375" style="63" customWidth="1"/>
    <col min="14335" max="14339" width="9.140625" style="63"/>
    <col min="14340" max="14340" width="10.85546875" style="63" customWidth="1"/>
    <col min="14341" max="14341" width="5.42578125" style="63" customWidth="1"/>
    <col min="14342" max="14589" width="9.140625" style="63"/>
    <col min="14590" max="14590" width="41.7109375" style="63" customWidth="1"/>
    <col min="14591" max="14595" width="9.140625" style="63"/>
    <col min="14596" max="14596" width="10.85546875" style="63" customWidth="1"/>
    <col min="14597" max="14597" width="5.42578125" style="63" customWidth="1"/>
    <col min="14598" max="14845" width="9.140625" style="63"/>
    <col min="14846" max="14846" width="41.7109375" style="63" customWidth="1"/>
    <col min="14847" max="14851" width="9.140625" style="63"/>
    <col min="14852" max="14852" width="10.85546875" style="63" customWidth="1"/>
    <col min="14853" max="14853" width="5.42578125" style="63" customWidth="1"/>
    <col min="14854" max="15101" width="9.140625" style="63"/>
    <col min="15102" max="15102" width="41.7109375" style="63" customWidth="1"/>
    <col min="15103" max="15107" width="9.140625" style="63"/>
    <col min="15108" max="15108" width="10.85546875" style="63" customWidth="1"/>
    <col min="15109" max="15109" width="5.42578125" style="63" customWidth="1"/>
    <col min="15110" max="15357" width="9.140625" style="63"/>
    <col min="15358" max="15358" width="41.7109375" style="63" customWidth="1"/>
    <col min="15359" max="15363" width="9.140625" style="63"/>
    <col min="15364" max="15364" width="10.85546875" style="63" customWidth="1"/>
    <col min="15365" max="15365" width="5.42578125" style="63" customWidth="1"/>
    <col min="15366" max="15613" width="9.140625" style="63"/>
    <col min="15614" max="15614" width="41.7109375" style="63" customWidth="1"/>
    <col min="15615" max="15619" width="9.140625" style="63"/>
    <col min="15620" max="15620" width="10.85546875" style="63" customWidth="1"/>
    <col min="15621" max="15621" width="5.42578125" style="63" customWidth="1"/>
    <col min="15622" max="15869" width="9.140625" style="63"/>
    <col min="15870" max="15870" width="41.7109375" style="63" customWidth="1"/>
    <col min="15871" max="15875" width="9.140625" style="63"/>
    <col min="15876" max="15876" width="10.85546875" style="63" customWidth="1"/>
    <col min="15877" max="15877" width="5.42578125" style="63" customWidth="1"/>
    <col min="15878" max="16125" width="9.140625" style="63"/>
    <col min="16126" max="16126" width="41.7109375" style="63" customWidth="1"/>
    <col min="16127" max="16131" width="9.140625" style="63"/>
    <col min="16132" max="16132" width="10.85546875" style="63" customWidth="1"/>
    <col min="16133" max="16133" width="5.42578125" style="63" customWidth="1"/>
    <col min="16134" max="16384" width="9.140625" style="63"/>
  </cols>
  <sheetData>
    <row r="2" spans="1:8" s="64" customFormat="1" thickBot="1">
      <c r="A2" s="446" t="str">
        <f>СМАПП!D9</f>
        <v>YANTAI SUNDY SCIENCE ENVIROMENTAL TECHNOLOGY LTD.</v>
      </c>
      <c r="B2" s="446"/>
      <c r="C2" s="446"/>
      <c r="D2" s="446"/>
      <c r="E2" s="446"/>
      <c r="F2" s="446"/>
      <c r="G2" s="446"/>
      <c r="H2" s="446"/>
    </row>
    <row r="3" spans="1:8" s="64" customFormat="1" ht="18">
      <c r="A3" s="447" t="str">
        <f>СМАПП!D10</f>
        <v xml:space="preserve">BUILDING 8，NO.39, SCIENCE AND TECHNOLOGY AVENUE, YANTAI HIGH-TECH ZONE, CHINA </v>
      </c>
      <c r="B3" s="447"/>
      <c r="C3" s="447"/>
      <c r="D3" s="447"/>
      <c r="E3" s="447"/>
      <c r="F3" s="447"/>
      <c r="G3" s="447"/>
      <c r="H3" s="447"/>
    </row>
    <row r="4" spans="1:8" s="64" customFormat="1" ht="14.25" customHeight="1">
      <c r="A4" s="344"/>
      <c r="B4" s="344"/>
      <c r="C4" s="344"/>
      <c r="D4" s="344"/>
      <c r="E4" s="344"/>
      <c r="F4" s="344"/>
      <c r="G4" s="344"/>
      <c r="H4" s="344"/>
    </row>
    <row r="5" spans="1:8">
      <c r="A5" s="448" t="s">
        <v>55</v>
      </c>
      <c r="B5" s="448"/>
      <c r="C5" s="448"/>
      <c r="D5" s="448"/>
      <c r="E5" s="448"/>
      <c r="F5" s="448"/>
      <c r="G5" s="448"/>
      <c r="H5" s="448"/>
    </row>
    <row r="6" spans="1:8" ht="21">
      <c r="A6" s="343"/>
      <c r="B6" s="343"/>
      <c r="C6" s="343"/>
      <c r="D6" s="343"/>
      <c r="E6" s="343"/>
      <c r="F6" s="343"/>
      <c r="G6" s="343"/>
      <c r="H6" s="343"/>
    </row>
    <row r="7" spans="1:8" s="79" customFormat="1" ht="31.5">
      <c r="A7" s="371" t="s">
        <v>257</v>
      </c>
      <c r="B7" s="372"/>
      <c r="C7" s="372"/>
      <c r="D7" s="372"/>
      <c r="E7" s="373" t="s">
        <v>56</v>
      </c>
      <c r="F7" s="372"/>
      <c r="G7" s="372"/>
      <c r="H7" s="374"/>
    </row>
    <row r="8" spans="1:8" s="79" customFormat="1" ht="42.6" customHeight="1">
      <c r="A8" s="375" t="str">
        <f>СМАПП!D5  &amp; "   "&amp; СМАПП!D6</f>
        <v xml:space="preserve">YANTAI SUNDY SCIENCE ENVIROMENTAL TECHNOLOGY LTD.   BUILDING 8，NO.39, SCIENCE AND TECHNOLOGY AVENUE, YANTAI HIGH-TECH ZONE, CHINA </v>
      </c>
      <c r="B8" s="376"/>
      <c r="C8" s="376"/>
      <c r="D8" s="377"/>
      <c r="E8" s="378"/>
      <c r="F8" s="379" t="str">
        <f>СМАПП!D2</f>
        <v>CI-20102025-001</v>
      </c>
      <c r="G8" s="380"/>
      <c r="H8" s="381"/>
    </row>
    <row r="9" spans="1:8" s="79" customFormat="1" ht="28.5" customHeight="1">
      <c r="A9" s="382"/>
      <c r="B9" s="376"/>
      <c r="C9" s="376"/>
      <c r="D9" s="377"/>
      <c r="E9" s="383"/>
      <c r="F9" s="451">
        <f>СМАПП!E2</f>
        <v>45951</v>
      </c>
      <c r="G9" s="451"/>
      <c r="H9" s="381"/>
    </row>
    <row r="10" spans="1:8" s="79" customFormat="1" ht="28.5" customHeight="1">
      <c r="A10" s="385" t="s">
        <v>256</v>
      </c>
      <c r="B10" s="376"/>
      <c r="C10" s="376"/>
      <c r="D10" s="377"/>
      <c r="E10" s="383"/>
      <c r="F10" s="384"/>
      <c r="G10" s="384"/>
      <c r="H10" s="381"/>
    </row>
    <row r="11" spans="1:8" s="79" customFormat="1" ht="28.5" customHeight="1">
      <c r="A11" s="343" t="str">
        <f>СМАПП!D9&amp;"   "&amp;СМАПП!D10</f>
        <v xml:space="preserve">YANTAI SUNDY SCIENCE ENVIROMENTAL TECHNOLOGY LTD.   BUILDING 8，NO.39, SCIENCE AND TECHNOLOGY AVENUE, YANTAI HIGH-TECH ZONE, CHINA </v>
      </c>
      <c r="B11" s="376"/>
      <c r="C11" s="376"/>
      <c r="D11" s="377"/>
      <c r="E11" s="383"/>
      <c r="F11" s="384"/>
      <c r="G11" s="384"/>
      <c r="H11" s="381"/>
    </row>
    <row r="12" spans="1:8" ht="30" customHeight="1">
      <c r="A12" s="386"/>
      <c r="B12" s="387"/>
      <c r="C12" s="387"/>
      <c r="D12" s="388"/>
      <c r="E12" s="389"/>
      <c r="F12" s="390"/>
      <c r="G12" s="390"/>
      <c r="H12" s="391"/>
    </row>
    <row r="13" spans="1:8" s="79" customFormat="1" ht="31.5">
      <c r="A13" s="373" t="s">
        <v>57</v>
      </c>
      <c r="B13" s="449"/>
      <c r="C13" s="449"/>
      <c r="D13" s="450"/>
      <c r="E13" s="373" t="s">
        <v>58</v>
      </c>
      <c r="F13" s="372"/>
      <c r="G13" s="372"/>
      <c r="H13" s="374"/>
    </row>
    <row r="14" spans="1:8" s="79" customFormat="1" ht="61.15" customHeight="1">
      <c r="A14" s="453" t="str">
        <f>СМАПП!D7&amp;"   "&amp;СМАПП!D8</f>
        <v>ООО "РЕГИОНАЛЬНАЯ ТОРГОВАЯ КОМПАНИЯ "РОСАКВА"   197374, г.Санкт-Петербург, вн.тер.г. муниципальный округ № 65, ул. Мебельная, д. 5, литера а, помещ. 1-н</v>
      </c>
      <c r="B14" s="454"/>
      <c r="C14" s="454"/>
      <c r="D14" s="455"/>
      <c r="E14" s="456" t="str">
        <f>СПЕЦ!C7</f>
        <v>СВХ ООО "НАБАЗ" , ПРИМОРСКИЙ КРАЙ, Г. УССУРИЙСК,УЛ. ЛИМИЧЕВСКАЯ,21-А</v>
      </c>
      <c r="F14" s="457"/>
      <c r="G14" s="457"/>
      <c r="H14" s="458"/>
    </row>
    <row r="15" spans="1:8" s="79" customFormat="1" ht="27.75" customHeight="1">
      <c r="A15" s="378"/>
      <c r="B15" s="343"/>
      <c r="C15" s="343"/>
      <c r="D15" s="381"/>
      <c r="E15" s="456"/>
      <c r="F15" s="457"/>
      <c r="G15" s="457"/>
      <c r="H15" s="458"/>
    </row>
    <row r="16" spans="1:8" s="79" customFormat="1" ht="34.5" customHeight="1">
      <c r="A16" s="392" t="str">
        <f>СМАПП!E7&amp;", "&amp;СМАПП!F7</f>
        <v>ИНН 7810846669, ОГРН 1117847475987</v>
      </c>
      <c r="B16" s="393"/>
      <c r="C16" s="393"/>
      <c r="D16" s="394"/>
      <c r="E16" s="395" t="str">
        <f>СПЕЦ!C8</f>
        <v>10716/291110/10032/11 действует с 08.10.2025 г.</v>
      </c>
      <c r="F16" s="396"/>
      <c r="G16" s="396"/>
      <c r="H16" s="397"/>
    </row>
    <row r="17" spans="1:8" s="79" customFormat="1" ht="31.5">
      <c r="A17" s="373" t="s">
        <v>59</v>
      </c>
      <c r="B17" s="373" t="s">
        <v>60</v>
      </c>
      <c r="C17" s="372"/>
      <c r="D17" s="398"/>
      <c r="E17" s="399" t="s">
        <v>61</v>
      </c>
      <c r="F17" s="372"/>
      <c r="G17" s="372"/>
      <c r="H17" s="374"/>
    </row>
    <row r="18" spans="1:8" s="79" customFormat="1" ht="33.75" customHeight="1">
      <c r="A18" s="378" t="s">
        <v>175</v>
      </c>
      <c r="B18" s="378" t="s">
        <v>19</v>
      </c>
      <c r="C18" s="343"/>
      <c r="D18" s="381"/>
      <c r="E18" s="466" t="str">
        <f>СМАПП!D3</f>
        <v>RA-25/2110-CH</v>
      </c>
      <c r="F18" s="467"/>
      <c r="G18" s="467"/>
      <c r="H18" s="400">
        <f>СМАПП!E3</f>
        <v>45951</v>
      </c>
    </row>
    <row r="19" spans="1:8" s="79" customFormat="1" ht="31.5">
      <c r="A19" s="378"/>
      <c r="B19" s="378"/>
      <c r="C19" s="343"/>
      <c r="D19" s="381"/>
      <c r="E19" s="460" t="str">
        <f>СПЕЦ!E5</f>
        <v>/ DAP-СУЙФЭНЬХЭ /</v>
      </c>
      <c r="F19" s="461"/>
      <c r="G19" s="461"/>
      <c r="H19" s="462"/>
    </row>
    <row r="20" spans="1:8" s="79" customFormat="1" ht="31.5">
      <c r="A20" s="378"/>
      <c r="B20" s="378"/>
      <c r="C20" s="343"/>
      <c r="D20" s="381"/>
      <c r="E20" s="399" t="s">
        <v>445</v>
      </c>
      <c r="F20" s="372"/>
      <c r="G20" s="372"/>
      <c r="H20" s="374"/>
    </row>
    <row r="21" spans="1:8" s="79" customFormat="1" ht="31.5">
      <c r="A21" s="389"/>
      <c r="B21" s="389"/>
      <c r="C21" s="390"/>
      <c r="D21" s="401"/>
      <c r="E21" s="390"/>
      <c r="F21" s="459" t="str">
        <f>СМАПП!D11</f>
        <v>М209АУ125</v>
      </c>
      <c r="G21" s="459"/>
      <c r="H21" s="391"/>
    </row>
    <row r="22" spans="1:8">
      <c r="A22" s="65"/>
      <c r="H22" s="66"/>
    </row>
    <row r="23" spans="1:8" ht="30">
      <c r="A23" s="468" t="s">
        <v>53</v>
      </c>
      <c r="B23" s="469"/>
      <c r="C23" s="469"/>
      <c r="D23" s="469"/>
      <c r="E23" s="469"/>
      <c r="F23" s="469"/>
      <c r="G23" s="469"/>
      <c r="H23" s="470"/>
    </row>
    <row r="24" spans="1:8">
      <c r="A24" s="65"/>
      <c r="H24" s="66"/>
    </row>
    <row r="25" spans="1:8" ht="33.75" customHeight="1">
      <c r="A25" s="402" t="s">
        <v>62</v>
      </c>
      <c r="B25" s="403" t="s">
        <v>63</v>
      </c>
      <c r="C25" s="464" t="s">
        <v>177</v>
      </c>
      <c r="D25" s="465"/>
      <c r="E25" s="463" t="s">
        <v>388</v>
      </c>
      <c r="F25" s="463"/>
      <c r="G25" s="471" t="s">
        <v>369</v>
      </c>
      <c r="H25" s="471"/>
    </row>
    <row r="26" spans="1:8" s="67" customFormat="1" ht="60.75">
      <c r="A26" s="404" t="str">
        <f>СПЕЦ!C15</f>
        <v>ИСПЫТАТЕЛЬНАЯ КОКСОВАЯ ПЕЧЬ, изгот. : Zhongwei National Engineering Research Center For Coking Technology Co.,Ltd.,торг. марка: НЕ ОБОЗНАЧЕНА, модель: отсутствует</v>
      </c>
      <c r="B26" s="405" t="str">
        <f>LEFT(СПЕЦ!B15,4)</f>
        <v>8514</v>
      </c>
      <c r="C26" s="406" t="s">
        <v>176</v>
      </c>
      <c r="D26" s="405">
        <f>СПЕЦ!I15</f>
        <v>1</v>
      </c>
      <c r="E26" s="407">
        <f>G26/D26</f>
        <v>250000</v>
      </c>
      <c r="F26" s="408"/>
      <c r="G26" s="409">
        <f>СПЕЦ!N15</f>
        <v>250000</v>
      </c>
      <c r="H26" s="410" t="s">
        <v>184</v>
      </c>
    </row>
    <row r="27" spans="1:8" s="67" customFormat="1" ht="40.5">
      <c r="A27" s="404" t="str">
        <f>СПЕЦ!C16</f>
        <v>Реторта коксования угля, изгот. : YANTAI SUNDY SCIENCE ENVIROMENTAL TECHNOLOGY LТD,торг. марка: НЕ ОБОЗНАЧЕНА, модель: отсутствует</v>
      </c>
      <c r="B27" s="405" t="str">
        <f>LEFT(СПЕЦ!B16,4)</f>
        <v>8419</v>
      </c>
      <c r="C27" s="406" t="s">
        <v>176</v>
      </c>
      <c r="D27" s="405">
        <f>СПЕЦ!I16</f>
        <v>2</v>
      </c>
      <c r="E27" s="407">
        <f t="shared" ref="E27:E33" si="0">G27/D27</f>
        <v>32000</v>
      </c>
      <c r="F27" s="408"/>
      <c r="G27" s="409">
        <f>СПЕЦ!N16</f>
        <v>64000</v>
      </c>
      <c r="H27" s="410" t="s">
        <v>184</v>
      </c>
    </row>
    <row r="28" spans="1:8" s="67" customFormat="1" ht="60.75">
      <c r="A28" s="404" t="str">
        <f>СПЕЦ!C17</f>
        <v>Теплоизоляционный кожух
реторты коксования угля, изгот. : YANTAI SUNDY SCIENCE ENVIROMENTAL TECHNOLOGY LТD,торг. марка: НЕ ОБОЗНАЧЕНА, модель: отсутствует</v>
      </c>
      <c r="B28" s="405" t="str">
        <f>LEFT(СПЕЦ!B17,4)</f>
        <v>6903</v>
      </c>
      <c r="C28" s="406" t="s">
        <v>176</v>
      </c>
      <c r="D28" s="405">
        <f>СПЕЦ!I17</f>
        <v>1</v>
      </c>
      <c r="E28" s="407">
        <f t="shared" si="0"/>
        <v>14000</v>
      </c>
      <c r="F28" s="408"/>
      <c r="G28" s="409">
        <f>СПЕЦ!N17</f>
        <v>14000</v>
      </c>
      <c r="H28" s="410" t="s">
        <v>184</v>
      </c>
    </row>
    <row r="29" spans="1:8" s="67" customFormat="1" ht="60.75">
      <c r="A29" s="404" t="str">
        <f>СПЕЦ!C18</f>
        <v>Теплоизоляционная накладка, изгот. : YANTAI SUNDY SCIENCE ENVIROMENTAL TECHNOLOGY LТD,торг. марка: НЕ ОБОЗНАЧЕНА, модель: отсутствует</v>
      </c>
      <c r="B29" s="405" t="str">
        <f>LEFT(СПЕЦ!B18,4)</f>
        <v>6903</v>
      </c>
      <c r="C29" s="406" t="s">
        <v>176</v>
      </c>
      <c r="D29" s="405">
        <f>СПЕЦ!I18</f>
        <v>6</v>
      </c>
      <c r="E29" s="407">
        <f t="shared" si="0"/>
        <v>293.33333333333331</v>
      </c>
      <c r="F29" s="408"/>
      <c r="G29" s="409">
        <f>СПЕЦ!N18</f>
        <v>1760</v>
      </c>
      <c r="H29" s="410" t="s">
        <v>184</v>
      </c>
    </row>
    <row r="30" spans="1:8" s="67" customFormat="1" ht="60.75">
      <c r="A30" s="404" t="str">
        <f>СПЕЦ!C19</f>
        <v>Термопара HCHS2KG-5-3, изгот. : Zhongwei National Engineering Research Center For Coking Technology Co.,Ltd.,торг. марка: НЕ ОБОЗНАЧЕНА, модель: отсутствует</v>
      </c>
      <c r="B30" s="405" t="str">
        <f>LEFT(СПЕЦ!B19,4)</f>
        <v>9025</v>
      </c>
      <c r="C30" s="406" t="s">
        <v>176</v>
      </c>
      <c r="D30" s="405">
        <f>СПЕЦ!I19</f>
        <v>2</v>
      </c>
      <c r="E30" s="407">
        <f t="shared" si="0"/>
        <v>5150</v>
      </c>
      <c r="F30" s="408"/>
      <c r="G30" s="409">
        <f>СПЕЦ!N19</f>
        <v>10300</v>
      </c>
      <c r="H30" s="410" t="s">
        <v>184</v>
      </c>
    </row>
    <row r="31" spans="1:8" s="67" customFormat="1" ht="60.75">
      <c r="A31" s="404" t="str">
        <f>СПЕЦ!C20</f>
        <v>Прокладка реторты коксования, изгот. : YANTAI SUNDY SCIENCE ENVIROMENTAL TECHNOLOGY LТD,торг. марка: НЕ ОБОЗНАЧЕНА, модель: отсутствует</v>
      </c>
      <c r="B31" s="405" t="str">
        <f>LEFT(СПЕЦ!B20,4)</f>
        <v>7326</v>
      </c>
      <c r="C31" s="406" t="s">
        <v>176</v>
      </c>
      <c r="D31" s="405">
        <f>СПЕЦ!I20</f>
        <v>20</v>
      </c>
      <c r="E31" s="407">
        <f t="shared" si="0"/>
        <v>45</v>
      </c>
      <c r="F31" s="408"/>
      <c r="G31" s="409">
        <f>СПЕЦ!N20</f>
        <v>900</v>
      </c>
      <c r="H31" s="410" t="s">
        <v>184</v>
      </c>
    </row>
    <row r="32" spans="1:8" s="67" customFormat="1" ht="60.75">
      <c r="A32" s="404" t="str">
        <f>СПЕЦ!C21</f>
        <v>Уплотнительная прокладка, изгот. : YANTAI SUNDY SCIENCE ENVIROMENTAL TECHNOLOGY LТD,торг. марка: НЕ ОБОЗНАЧЕНА, модель: отсутствует</v>
      </c>
      <c r="B32" s="405" t="str">
        <f>LEFT(СПЕЦ!B21,4)</f>
        <v>7326</v>
      </c>
      <c r="C32" s="406" t="s">
        <v>176</v>
      </c>
      <c r="D32" s="405">
        <f>СПЕЦ!I21</f>
        <v>20</v>
      </c>
      <c r="E32" s="407">
        <f t="shared" si="0"/>
        <v>10</v>
      </c>
      <c r="F32" s="408"/>
      <c r="G32" s="409">
        <f>СПЕЦ!N21</f>
        <v>200</v>
      </c>
      <c r="H32" s="410" t="s">
        <v>184</v>
      </c>
    </row>
    <row r="33" spans="1:8" s="67" customFormat="1" ht="60.75">
      <c r="A33" s="404" t="str">
        <f>СПЕЦ!C22</f>
        <v>Уплотнительная прокладка из ПТФЭ, изгот. : YANTAI SUNDY SCIENCE ENVIROMENTAL TECHNOLOGY LТD,торг. марка: НЕ ОБОЗНАЧЕНА, модель: отсутствует</v>
      </c>
      <c r="B33" s="405" t="str">
        <f>LEFT(СПЕЦ!B22,4)</f>
        <v>3926</v>
      </c>
      <c r="C33" s="406" t="s">
        <v>176</v>
      </c>
      <c r="D33" s="405">
        <f>СПЕЦ!I22</f>
        <v>10</v>
      </c>
      <c r="E33" s="407">
        <f t="shared" si="0"/>
        <v>6</v>
      </c>
      <c r="F33" s="408"/>
      <c r="G33" s="409">
        <f>СПЕЦ!N22</f>
        <v>60</v>
      </c>
      <c r="H33" s="410" t="s">
        <v>184</v>
      </c>
    </row>
    <row r="34" spans="1:8" s="67" customFormat="1" ht="25.9" customHeight="1">
      <c r="A34" s="411"/>
      <c r="B34" s="412"/>
      <c r="C34" s="413"/>
      <c r="D34" s="412"/>
      <c r="E34" s="414"/>
      <c r="F34" s="414"/>
      <c r="G34" s="414"/>
      <c r="H34" s="415"/>
    </row>
    <row r="35" spans="1:8" s="67" customFormat="1" ht="25.9" customHeight="1">
      <c r="A35" s="411"/>
      <c r="B35" s="412"/>
      <c r="C35" s="413"/>
      <c r="D35" s="412"/>
      <c r="E35" s="414"/>
      <c r="F35" s="414"/>
      <c r="G35" s="414"/>
      <c r="H35" s="415"/>
    </row>
    <row r="36" spans="1:8" ht="42" customHeight="1">
      <c r="A36" s="411"/>
      <c r="B36" s="416" t="s">
        <v>64</v>
      </c>
      <c r="C36" s="417"/>
      <c r="D36" s="418">
        <f>SUM(D26:D35)</f>
        <v>62</v>
      </c>
      <c r="E36" s="343"/>
      <c r="F36" s="343"/>
      <c r="G36" s="419">
        <f>SUM(G26:G35)</f>
        <v>341220</v>
      </c>
      <c r="H36" s="420" t="s">
        <v>183</v>
      </c>
    </row>
    <row r="37" spans="1:8" ht="21" hidden="1">
      <c r="A37" s="411"/>
      <c r="B37" s="343"/>
      <c r="C37" s="343"/>
      <c r="D37" s="343"/>
      <c r="E37" s="343"/>
      <c r="F37" s="343"/>
      <c r="G37" s="343"/>
      <c r="H37" s="343"/>
    </row>
    <row r="38" spans="1:8" ht="21" hidden="1">
      <c r="A38" s="411"/>
      <c r="B38" s="343"/>
      <c r="C38" s="343"/>
      <c r="D38" s="343"/>
      <c r="E38" s="343"/>
      <c r="F38" s="343"/>
      <c r="G38" s="343"/>
      <c r="H38" s="343"/>
    </row>
    <row r="39" spans="1:8" ht="21" customHeight="1">
      <c r="A39" s="411"/>
      <c r="B39" s="343"/>
      <c r="C39" s="343"/>
      <c r="D39" s="343"/>
      <c r="E39" s="343"/>
      <c r="F39" s="343"/>
      <c r="G39" s="343"/>
      <c r="H39" s="343"/>
    </row>
    <row r="40" spans="1:8" ht="36.75" customHeight="1">
      <c r="A40" s="411"/>
      <c r="B40" s="421" t="s">
        <v>65</v>
      </c>
      <c r="C40" s="452">
        <f>G36</f>
        <v>341220</v>
      </c>
      <c r="D40" s="452"/>
      <c r="E40" s="416" t="s">
        <v>185</v>
      </c>
      <c r="F40" s="343"/>
      <c r="G40" s="343"/>
      <c r="H40" s="343"/>
    </row>
    <row r="41" spans="1:8" ht="21" hidden="1">
      <c r="A41" s="343"/>
      <c r="B41" s="343"/>
      <c r="C41" s="343"/>
      <c r="D41" s="343"/>
      <c r="E41" s="343"/>
      <c r="F41" s="343"/>
      <c r="G41" s="343"/>
      <c r="H41" s="343"/>
    </row>
    <row r="42" spans="1:8" ht="21" hidden="1">
      <c r="A42" s="343"/>
      <c r="B42" s="343"/>
      <c r="C42" s="343"/>
      <c r="D42" s="343"/>
      <c r="E42" s="343"/>
      <c r="F42" s="343"/>
      <c r="G42" s="343"/>
      <c r="H42" s="343"/>
    </row>
    <row r="43" spans="1:8" ht="21" hidden="1">
      <c r="A43" s="343"/>
      <c r="B43" s="343"/>
      <c r="C43" s="343"/>
      <c r="D43" s="343"/>
      <c r="E43" s="343"/>
      <c r="F43" s="343"/>
      <c r="G43" s="343"/>
      <c r="H43" s="343"/>
    </row>
    <row r="44" spans="1:8" ht="21">
      <c r="A44" s="343"/>
      <c r="B44" s="343"/>
      <c r="C44" s="343"/>
      <c r="D44" s="343"/>
      <c r="E44" s="343"/>
      <c r="F44" s="343"/>
      <c r="G44" s="343"/>
      <c r="H44" s="343"/>
    </row>
  </sheetData>
  <mergeCells count="15">
    <mergeCell ref="C40:D40"/>
    <mergeCell ref="A14:D14"/>
    <mergeCell ref="E14:H15"/>
    <mergeCell ref="F21:G21"/>
    <mergeCell ref="E19:H19"/>
    <mergeCell ref="E25:F25"/>
    <mergeCell ref="C25:D25"/>
    <mergeCell ref="E18:G18"/>
    <mergeCell ref="A23:H23"/>
    <mergeCell ref="G25:H25"/>
    <mergeCell ref="A2:H2"/>
    <mergeCell ref="A3:H3"/>
    <mergeCell ref="A5:H5"/>
    <mergeCell ref="B13:D13"/>
    <mergeCell ref="F9:G9"/>
  </mergeCells>
  <pageMargins left="0.41" right="0.23622047244094491" top="0.35433070866141736" bottom="0.27559055118110237" header="0.31496062992125984" footer="0.31496062992125984"/>
  <pageSetup paperSize="9" scale="4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7F8DA804-2995-4FB5-BAE6-DC828B5C6962}">
          <x14:formula1>
            <xm:f>'доп данные'!$M$1:$M$10</xm:f>
          </x14:formula1>
          <xm:sqref>E25:F25 H26:H33</xm:sqref>
        </x14:dataValidation>
        <x14:dataValidation type="list" allowBlank="1" showInputMessage="1" showErrorMessage="1" xr:uid="{277C44C1-7B10-464E-A263-DBA6002479A2}">
          <x14:formula1>
            <xm:f>'доп данные'!$M$1:$M$11</xm:f>
          </x14:formula1>
          <xm:sqref>G25:H25</xm:sqref>
        </x14:dataValidation>
        <x14:dataValidation type="list" allowBlank="1" showInputMessage="1" showErrorMessage="1" xr:uid="{46F7D5F6-DF2E-4423-B90C-80C1D57AEA2D}">
          <x14:formula1>
            <xm:f>'доп данные'!$M$1:$M$9</xm:f>
          </x14:formula1>
          <xm:sqref>H36</xm:sqref>
        </x14:dataValidation>
        <x14:dataValidation type="list" allowBlank="1" showInputMessage="1" showErrorMessage="1" xr:uid="{A12BEC58-2539-48C6-B0DA-B28BE6C8D7BF}">
          <x14:formula1>
            <xm:f>'доп данные'!$M$1:$M$19</xm:f>
          </x14:formula1>
          <xm:sqref>E40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79"/>
  <sheetViews>
    <sheetView view="pageBreakPreview" zoomScale="130" zoomScaleNormal="100" zoomScaleSheetLayoutView="130" workbookViewId="0">
      <selection activeCell="D14" sqref="D14:S16"/>
    </sheetView>
  </sheetViews>
  <sheetFormatPr defaultRowHeight="12.75"/>
  <cols>
    <col min="1" max="4" width="2.7109375" style="1" customWidth="1"/>
    <col min="5" max="5" width="5.5703125" style="1" customWidth="1"/>
    <col min="6" max="7" width="2.7109375" style="1" customWidth="1"/>
    <col min="8" max="8" width="11" style="1" customWidth="1"/>
    <col min="9" max="9" width="2.7109375" style="1" customWidth="1"/>
    <col min="10" max="10" width="6.5703125" style="1" customWidth="1"/>
    <col min="11" max="13" width="2.7109375" style="1" customWidth="1"/>
    <col min="14" max="14" width="5" style="1" customWidth="1"/>
    <col min="15" max="15" width="3.42578125" style="1" customWidth="1"/>
    <col min="16" max="16" width="7.28515625" style="1" customWidth="1"/>
    <col min="17" max="18" width="2.7109375" style="1" customWidth="1"/>
    <col min="19" max="19" width="10.28515625" style="1" customWidth="1"/>
    <col min="20" max="20" width="3.5703125" style="1" customWidth="1"/>
    <col min="21" max="21" width="2.42578125" style="1" customWidth="1"/>
    <col min="22" max="22" width="3.5703125" style="1" customWidth="1"/>
    <col min="23" max="28" width="2.7109375" style="1" customWidth="1"/>
    <col min="29" max="29" width="3.140625" style="1" customWidth="1"/>
    <col min="30" max="36" width="2.7109375" style="1" customWidth="1"/>
    <col min="37" max="37" width="4" style="1" customWidth="1"/>
    <col min="38" max="49" width="2.7109375" style="1" customWidth="1"/>
    <col min="50" max="256" width="9.140625" style="1"/>
    <col min="257" max="271" width="2.7109375" style="1" customWidth="1"/>
    <col min="272" max="272" width="4.85546875" style="1" customWidth="1"/>
    <col min="273" max="274" width="2.7109375" style="1" customWidth="1"/>
    <col min="275" max="275" width="6.28515625" style="1" customWidth="1"/>
    <col min="276" max="276" width="3.5703125" style="1" customWidth="1"/>
    <col min="277" max="277" width="0.85546875" style="1" customWidth="1"/>
    <col min="278" max="278" width="3.5703125" style="1" customWidth="1"/>
    <col min="279" max="284" width="2.7109375" style="1" customWidth="1"/>
    <col min="285" max="285" width="3.140625" style="1" customWidth="1"/>
    <col min="286" max="305" width="2.7109375" style="1" customWidth="1"/>
    <col min="306" max="512" width="9.140625" style="1"/>
    <col min="513" max="527" width="2.7109375" style="1" customWidth="1"/>
    <col min="528" max="528" width="4.85546875" style="1" customWidth="1"/>
    <col min="529" max="530" width="2.7109375" style="1" customWidth="1"/>
    <col min="531" max="531" width="6.28515625" style="1" customWidth="1"/>
    <col min="532" max="532" width="3.5703125" style="1" customWidth="1"/>
    <col min="533" max="533" width="0.85546875" style="1" customWidth="1"/>
    <col min="534" max="534" width="3.5703125" style="1" customWidth="1"/>
    <col min="535" max="540" width="2.7109375" style="1" customWidth="1"/>
    <col min="541" max="541" width="3.140625" style="1" customWidth="1"/>
    <col min="542" max="561" width="2.7109375" style="1" customWidth="1"/>
    <col min="562" max="768" width="9.140625" style="1"/>
    <col min="769" max="783" width="2.7109375" style="1" customWidth="1"/>
    <col min="784" max="784" width="4.85546875" style="1" customWidth="1"/>
    <col min="785" max="786" width="2.7109375" style="1" customWidth="1"/>
    <col min="787" max="787" width="6.28515625" style="1" customWidth="1"/>
    <col min="788" max="788" width="3.5703125" style="1" customWidth="1"/>
    <col min="789" max="789" width="0.85546875" style="1" customWidth="1"/>
    <col min="790" max="790" width="3.5703125" style="1" customWidth="1"/>
    <col min="791" max="796" width="2.7109375" style="1" customWidth="1"/>
    <col min="797" max="797" width="3.140625" style="1" customWidth="1"/>
    <col min="798" max="817" width="2.7109375" style="1" customWidth="1"/>
    <col min="818" max="1024" width="9.140625" style="1"/>
    <col min="1025" max="1039" width="2.7109375" style="1" customWidth="1"/>
    <col min="1040" max="1040" width="4.85546875" style="1" customWidth="1"/>
    <col min="1041" max="1042" width="2.7109375" style="1" customWidth="1"/>
    <col min="1043" max="1043" width="6.28515625" style="1" customWidth="1"/>
    <col min="1044" max="1044" width="3.5703125" style="1" customWidth="1"/>
    <col min="1045" max="1045" width="0.85546875" style="1" customWidth="1"/>
    <col min="1046" max="1046" width="3.5703125" style="1" customWidth="1"/>
    <col min="1047" max="1052" width="2.7109375" style="1" customWidth="1"/>
    <col min="1053" max="1053" width="3.140625" style="1" customWidth="1"/>
    <col min="1054" max="1073" width="2.7109375" style="1" customWidth="1"/>
    <col min="1074" max="1280" width="9.140625" style="1"/>
    <col min="1281" max="1295" width="2.7109375" style="1" customWidth="1"/>
    <col min="1296" max="1296" width="4.85546875" style="1" customWidth="1"/>
    <col min="1297" max="1298" width="2.7109375" style="1" customWidth="1"/>
    <col min="1299" max="1299" width="6.28515625" style="1" customWidth="1"/>
    <col min="1300" max="1300" width="3.5703125" style="1" customWidth="1"/>
    <col min="1301" max="1301" width="0.85546875" style="1" customWidth="1"/>
    <col min="1302" max="1302" width="3.5703125" style="1" customWidth="1"/>
    <col min="1303" max="1308" width="2.7109375" style="1" customWidth="1"/>
    <col min="1309" max="1309" width="3.140625" style="1" customWidth="1"/>
    <col min="1310" max="1329" width="2.7109375" style="1" customWidth="1"/>
    <col min="1330" max="1536" width="9.140625" style="1"/>
    <col min="1537" max="1551" width="2.7109375" style="1" customWidth="1"/>
    <col min="1552" max="1552" width="4.85546875" style="1" customWidth="1"/>
    <col min="1553" max="1554" width="2.7109375" style="1" customWidth="1"/>
    <col min="1555" max="1555" width="6.28515625" style="1" customWidth="1"/>
    <col min="1556" max="1556" width="3.5703125" style="1" customWidth="1"/>
    <col min="1557" max="1557" width="0.85546875" style="1" customWidth="1"/>
    <col min="1558" max="1558" width="3.5703125" style="1" customWidth="1"/>
    <col min="1559" max="1564" width="2.7109375" style="1" customWidth="1"/>
    <col min="1565" max="1565" width="3.140625" style="1" customWidth="1"/>
    <col min="1566" max="1585" width="2.7109375" style="1" customWidth="1"/>
    <col min="1586" max="1792" width="9.140625" style="1"/>
    <col min="1793" max="1807" width="2.7109375" style="1" customWidth="1"/>
    <col min="1808" max="1808" width="4.85546875" style="1" customWidth="1"/>
    <col min="1809" max="1810" width="2.7109375" style="1" customWidth="1"/>
    <col min="1811" max="1811" width="6.28515625" style="1" customWidth="1"/>
    <col min="1812" max="1812" width="3.5703125" style="1" customWidth="1"/>
    <col min="1813" max="1813" width="0.85546875" style="1" customWidth="1"/>
    <col min="1814" max="1814" width="3.5703125" style="1" customWidth="1"/>
    <col min="1815" max="1820" width="2.7109375" style="1" customWidth="1"/>
    <col min="1821" max="1821" width="3.140625" style="1" customWidth="1"/>
    <col min="1822" max="1841" width="2.7109375" style="1" customWidth="1"/>
    <col min="1842" max="2048" width="9.140625" style="1"/>
    <col min="2049" max="2063" width="2.7109375" style="1" customWidth="1"/>
    <col min="2064" max="2064" width="4.85546875" style="1" customWidth="1"/>
    <col min="2065" max="2066" width="2.7109375" style="1" customWidth="1"/>
    <col min="2067" max="2067" width="6.28515625" style="1" customWidth="1"/>
    <col min="2068" max="2068" width="3.5703125" style="1" customWidth="1"/>
    <col min="2069" max="2069" width="0.85546875" style="1" customWidth="1"/>
    <col min="2070" max="2070" width="3.5703125" style="1" customWidth="1"/>
    <col min="2071" max="2076" width="2.7109375" style="1" customWidth="1"/>
    <col min="2077" max="2077" width="3.140625" style="1" customWidth="1"/>
    <col min="2078" max="2097" width="2.7109375" style="1" customWidth="1"/>
    <col min="2098" max="2304" width="9.140625" style="1"/>
    <col min="2305" max="2319" width="2.7109375" style="1" customWidth="1"/>
    <col min="2320" max="2320" width="4.85546875" style="1" customWidth="1"/>
    <col min="2321" max="2322" width="2.7109375" style="1" customWidth="1"/>
    <col min="2323" max="2323" width="6.28515625" style="1" customWidth="1"/>
    <col min="2324" max="2324" width="3.5703125" style="1" customWidth="1"/>
    <col min="2325" max="2325" width="0.85546875" style="1" customWidth="1"/>
    <col min="2326" max="2326" width="3.5703125" style="1" customWidth="1"/>
    <col min="2327" max="2332" width="2.7109375" style="1" customWidth="1"/>
    <col min="2333" max="2333" width="3.140625" style="1" customWidth="1"/>
    <col min="2334" max="2353" width="2.7109375" style="1" customWidth="1"/>
    <col min="2354" max="2560" width="9.140625" style="1"/>
    <col min="2561" max="2575" width="2.7109375" style="1" customWidth="1"/>
    <col min="2576" max="2576" width="4.85546875" style="1" customWidth="1"/>
    <col min="2577" max="2578" width="2.7109375" style="1" customWidth="1"/>
    <col min="2579" max="2579" width="6.28515625" style="1" customWidth="1"/>
    <col min="2580" max="2580" width="3.5703125" style="1" customWidth="1"/>
    <col min="2581" max="2581" width="0.85546875" style="1" customWidth="1"/>
    <col min="2582" max="2582" width="3.5703125" style="1" customWidth="1"/>
    <col min="2583" max="2588" width="2.7109375" style="1" customWidth="1"/>
    <col min="2589" max="2589" width="3.140625" style="1" customWidth="1"/>
    <col min="2590" max="2609" width="2.7109375" style="1" customWidth="1"/>
    <col min="2610" max="2816" width="9.140625" style="1"/>
    <col min="2817" max="2831" width="2.7109375" style="1" customWidth="1"/>
    <col min="2832" max="2832" width="4.85546875" style="1" customWidth="1"/>
    <col min="2833" max="2834" width="2.7109375" style="1" customWidth="1"/>
    <col min="2835" max="2835" width="6.28515625" style="1" customWidth="1"/>
    <col min="2836" max="2836" width="3.5703125" style="1" customWidth="1"/>
    <col min="2837" max="2837" width="0.85546875" style="1" customWidth="1"/>
    <col min="2838" max="2838" width="3.5703125" style="1" customWidth="1"/>
    <col min="2839" max="2844" width="2.7109375" style="1" customWidth="1"/>
    <col min="2845" max="2845" width="3.140625" style="1" customWidth="1"/>
    <col min="2846" max="2865" width="2.7109375" style="1" customWidth="1"/>
    <col min="2866" max="3072" width="9.140625" style="1"/>
    <col min="3073" max="3087" width="2.7109375" style="1" customWidth="1"/>
    <col min="3088" max="3088" width="4.85546875" style="1" customWidth="1"/>
    <col min="3089" max="3090" width="2.7109375" style="1" customWidth="1"/>
    <col min="3091" max="3091" width="6.28515625" style="1" customWidth="1"/>
    <col min="3092" max="3092" width="3.5703125" style="1" customWidth="1"/>
    <col min="3093" max="3093" width="0.85546875" style="1" customWidth="1"/>
    <col min="3094" max="3094" width="3.5703125" style="1" customWidth="1"/>
    <col min="3095" max="3100" width="2.7109375" style="1" customWidth="1"/>
    <col min="3101" max="3101" width="3.140625" style="1" customWidth="1"/>
    <col min="3102" max="3121" width="2.7109375" style="1" customWidth="1"/>
    <col min="3122" max="3328" width="9.140625" style="1"/>
    <col min="3329" max="3343" width="2.7109375" style="1" customWidth="1"/>
    <col min="3344" max="3344" width="4.85546875" style="1" customWidth="1"/>
    <col min="3345" max="3346" width="2.7109375" style="1" customWidth="1"/>
    <col min="3347" max="3347" width="6.28515625" style="1" customWidth="1"/>
    <col min="3348" max="3348" width="3.5703125" style="1" customWidth="1"/>
    <col min="3349" max="3349" width="0.85546875" style="1" customWidth="1"/>
    <col min="3350" max="3350" width="3.5703125" style="1" customWidth="1"/>
    <col min="3351" max="3356" width="2.7109375" style="1" customWidth="1"/>
    <col min="3357" max="3357" width="3.140625" style="1" customWidth="1"/>
    <col min="3358" max="3377" width="2.7109375" style="1" customWidth="1"/>
    <col min="3378" max="3584" width="9.140625" style="1"/>
    <col min="3585" max="3599" width="2.7109375" style="1" customWidth="1"/>
    <col min="3600" max="3600" width="4.85546875" style="1" customWidth="1"/>
    <col min="3601" max="3602" width="2.7109375" style="1" customWidth="1"/>
    <col min="3603" max="3603" width="6.28515625" style="1" customWidth="1"/>
    <col min="3604" max="3604" width="3.5703125" style="1" customWidth="1"/>
    <col min="3605" max="3605" width="0.85546875" style="1" customWidth="1"/>
    <col min="3606" max="3606" width="3.5703125" style="1" customWidth="1"/>
    <col min="3607" max="3612" width="2.7109375" style="1" customWidth="1"/>
    <col min="3613" max="3613" width="3.140625" style="1" customWidth="1"/>
    <col min="3614" max="3633" width="2.7109375" style="1" customWidth="1"/>
    <col min="3634" max="3840" width="9.140625" style="1"/>
    <col min="3841" max="3855" width="2.7109375" style="1" customWidth="1"/>
    <col min="3856" max="3856" width="4.85546875" style="1" customWidth="1"/>
    <col min="3857" max="3858" width="2.7109375" style="1" customWidth="1"/>
    <col min="3859" max="3859" width="6.28515625" style="1" customWidth="1"/>
    <col min="3860" max="3860" width="3.5703125" style="1" customWidth="1"/>
    <col min="3861" max="3861" width="0.85546875" style="1" customWidth="1"/>
    <col min="3862" max="3862" width="3.5703125" style="1" customWidth="1"/>
    <col min="3863" max="3868" width="2.7109375" style="1" customWidth="1"/>
    <col min="3869" max="3869" width="3.140625" style="1" customWidth="1"/>
    <col min="3870" max="3889" width="2.7109375" style="1" customWidth="1"/>
    <col min="3890" max="4096" width="9.140625" style="1"/>
    <col min="4097" max="4111" width="2.7109375" style="1" customWidth="1"/>
    <col min="4112" max="4112" width="4.85546875" style="1" customWidth="1"/>
    <col min="4113" max="4114" width="2.7109375" style="1" customWidth="1"/>
    <col min="4115" max="4115" width="6.28515625" style="1" customWidth="1"/>
    <col min="4116" max="4116" width="3.5703125" style="1" customWidth="1"/>
    <col min="4117" max="4117" width="0.85546875" style="1" customWidth="1"/>
    <col min="4118" max="4118" width="3.5703125" style="1" customWidth="1"/>
    <col min="4119" max="4124" width="2.7109375" style="1" customWidth="1"/>
    <col min="4125" max="4125" width="3.140625" style="1" customWidth="1"/>
    <col min="4126" max="4145" width="2.7109375" style="1" customWidth="1"/>
    <col min="4146" max="4352" width="9.140625" style="1"/>
    <col min="4353" max="4367" width="2.7109375" style="1" customWidth="1"/>
    <col min="4368" max="4368" width="4.85546875" style="1" customWidth="1"/>
    <col min="4369" max="4370" width="2.7109375" style="1" customWidth="1"/>
    <col min="4371" max="4371" width="6.28515625" style="1" customWidth="1"/>
    <col min="4372" max="4372" width="3.5703125" style="1" customWidth="1"/>
    <col min="4373" max="4373" width="0.85546875" style="1" customWidth="1"/>
    <col min="4374" max="4374" width="3.5703125" style="1" customWidth="1"/>
    <col min="4375" max="4380" width="2.7109375" style="1" customWidth="1"/>
    <col min="4381" max="4381" width="3.140625" style="1" customWidth="1"/>
    <col min="4382" max="4401" width="2.7109375" style="1" customWidth="1"/>
    <col min="4402" max="4608" width="9.140625" style="1"/>
    <col min="4609" max="4623" width="2.7109375" style="1" customWidth="1"/>
    <col min="4624" max="4624" width="4.85546875" style="1" customWidth="1"/>
    <col min="4625" max="4626" width="2.7109375" style="1" customWidth="1"/>
    <col min="4627" max="4627" width="6.28515625" style="1" customWidth="1"/>
    <col min="4628" max="4628" width="3.5703125" style="1" customWidth="1"/>
    <col min="4629" max="4629" width="0.85546875" style="1" customWidth="1"/>
    <col min="4630" max="4630" width="3.5703125" style="1" customWidth="1"/>
    <col min="4631" max="4636" width="2.7109375" style="1" customWidth="1"/>
    <col min="4637" max="4637" width="3.140625" style="1" customWidth="1"/>
    <col min="4638" max="4657" width="2.7109375" style="1" customWidth="1"/>
    <col min="4658" max="4864" width="9.140625" style="1"/>
    <col min="4865" max="4879" width="2.7109375" style="1" customWidth="1"/>
    <col min="4880" max="4880" width="4.85546875" style="1" customWidth="1"/>
    <col min="4881" max="4882" width="2.7109375" style="1" customWidth="1"/>
    <col min="4883" max="4883" width="6.28515625" style="1" customWidth="1"/>
    <col min="4884" max="4884" width="3.5703125" style="1" customWidth="1"/>
    <col min="4885" max="4885" width="0.85546875" style="1" customWidth="1"/>
    <col min="4886" max="4886" width="3.5703125" style="1" customWidth="1"/>
    <col min="4887" max="4892" width="2.7109375" style="1" customWidth="1"/>
    <col min="4893" max="4893" width="3.140625" style="1" customWidth="1"/>
    <col min="4894" max="4913" width="2.7109375" style="1" customWidth="1"/>
    <col min="4914" max="5120" width="9.140625" style="1"/>
    <col min="5121" max="5135" width="2.7109375" style="1" customWidth="1"/>
    <col min="5136" max="5136" width="4.85546875" style="1" customWidth="1"/>
    <col min="5137" max="5138" width="2.7109375" style="1" customWidth="1"/>
    <col min="5139" max="5139" width="6.28515625" style="1" customWidth="1"/>
    <col min="5140" max="5140" width="3.5703125" style="1" customWidth="1"/>
    <col min="5141" max="5141" width="0.85546875" style="1" customWidth="1"/>
    <col min="5142" max="5142" width="3.5703125" style="1" customWidth="1"/>
    <col min="5143" max="5148" width="2.7109375" style="1" customWidth="1"/>
    <col min="5149" max="5149" width="3.140625" style="1" customWidth="1"/>
    <col min="5150" max="5169" width="2.7109375" style="1" customWidth="1"/>
    <col min="5170" max="5376" width="9.140625" style="1"/>
    <col min="5377" max="5391" width="2.7109375" style="1" customWidth="1"/>
    <col min="5392" max="5392" width="4.85546875" style="1" customWidth="1"/>
    <col min="5393" max="5394" width="2.7109375" style="1" customWidth="1"/>
    <col min="5395" max="5395" width="6.28515625" style="1" customWidth="1"/>
    <col min="5396" max="5396" width="3.5703125" style="1" customWidth="1"/>
    <col min="5397" max="5397" width="0.85546875" style="1" customWidth="1"/>
    <col min="5398" max="5398" width="3.5703125" style="1" customWidth="1"/>
    <col min="5399" max="5404" width="2.7109375" style="1" customWidth="1"/>
    <col min="5405" max="5405" width="3.140625" style="1" customWidth="1"/>
    <col min="5406" max="5425" width="2.7109375" style="1" customWidth="1"/>
    <col min="5426" max="5632" width="9.140625" style="1"/>
    <col min="5633" max="5647" width="2.7109375" style="1" customWidth="1"/>
    <col min="5648" max="5648" width="4.85546875" style="1" customWidth="1"/>
    <col min="5649" max="5650" width="2.7109375" style="1" customWidth="1"/>
    <col min="5651" max="5651" width="6.28515625" style="1" customWidth="1"/>
    <col min="5652" max="5652" width="3.5703125" style="1" customWidth="1"/>
    <col min="5653" max="5653" width="0.85546875" style="1" customWidth="1"/>
    <col min="5654" max="5654" width="3.5703125" style="1" customWidth="1"/>
    <col min="5655" max="5660" width="2.7109375" style="1" customWidth="1"/>
    <col min="5661" max="5661" width="3.140625" style="1" customWidth="1"/>
    <col min="5662" max="5681" width="2.7109375" style="1" customWidth="1"/>
    <col min="5682" max="5888" width="9.140625" style="1"/>
    <col min="5889" max="5903" width="2.7109375" style="1" customWidth="1"/>
    <col min="5904" max="5904" width="4.85546875" style="1" customWidth="1"/>
    <col min="5905" max="5906" width="2.7109375" style="1" customWidth="1"/>
    <col min="5907" max="5907" width="6.28515625" style="1" customWidth="1"/>
    <col min="5908" max="5908" width="3.5703125" style="1" customWidth="1"/>
    <col min="5909" max="5909" width="0.85546875" style="1" customWidth="1"/>
    <col min="5910" max="5910" width="3.5703125" style="1" customWidth="1"/>
    <col min="5911" max="5916" width="2.7109375" style="1" customWidth="1"/>
    <col min="5917" max="5917" width="3.140625" style="1" customWidth="1"/>
    <col min="5918" max="5937" width="2.7109375" style="1" customWidth="1"/>
    <col min="5938" max="6144" width="9.140625" style="1"/>
    <col min="6145" max="6159" width="2.7109375" style="1" customWidth="1"/>
    <col min="6160" max="6160" width="4.85546875" style="1" customWidth="1"/>
    <col min="6161" max="6162" width="2.7109375" style="1" customWidth="1"/>
    <col min="6163" max="6163" width="6.28515625" style="1" customWidth="1"/>
    <col min="6164" max="6164" width="3.5703125" style="1" customWidth="1"/>
    <col min="6165" max="6165" width="0.85546875" style="1" customWidth="1"/>
    <col min="6166" max="6166" width="3.5703125" style="1" customWidth="1"/>
    <col min="6167" max="6172" width="2.7109375" style="1" customWidth="1"/>
    <col min="6173" max="6173" width="3.140625" style="1" customWidth="1"/>
    <col min="6174" max="6193" width="2.7109375" style="1" customWidth="1"/>
    <col min="6194" max="6400" width="9.140625" style="1"/>
    <col min="6401" max="6415" width="2.7109375" style="1" customWidth="1"/>
    <col min="6416" max="6416" width="4.85546875" style="1" customWidth="1"/>
    <col min="6417" max="6418" width="2.7109375" style="1" customWidth="1"/>
    <col min="6419" max="6419" width="6.28515625" style="1" customWidth="1"/>
    <col min="6420" max="6420" width="3.5703125" style="1" customWidth="1"/>
    <col min="6421" max="6421" width="0.85546875" style="1" customWidth="1"/>
    <col min="6422" max="6422" width="3.5703125" style="1" customWidth="1"/>
    <col min="6423" max="6428" width="2.7109375" style="1" customWidth="1"/>
    <col min="6429" max="6429" width="3.140625" style="1" customWidth="1"/>
    <col min="6430" max="6449" width="2.7109375" style="1" customWidth="1"/>
    <col min="6450" max="6656" width="9.140625" style="1"/>
    <col min="6657" max="6671" width="2.7109375" style="1" customWidth="1"/>
    <col min="6672" max="6672" width="4.85546875" style="1" customWidth="1"/>
    <col min="6673" max="6674" width="2.7109375" style="1" customWidth="1"/>
    <col min="6675" max="6675" width="6.28515625" style="1" customWidth="1"/>
    <col min="6676" max="6676" width="3.5703125" style="1" customWidth="1"/>
    <col min="6677" max="6677" width="0.85546875" style="1" customWidth="1"/>
    <col min="6678" max="6678" width="3.5703125" style="1" customWidth="1"/>
    <col min="6679" max="6684" width="2.7109375" style="1" customWidth="1"/>
    <col min="6685" max="6685" width="3.140625" style="1" customWidth="1"/>
    <col min="6686" max="6705" width="2.7109375" style="1" customWidth="1"/>
    <col min="6706" max="6912" width="9.140625" style="1"/>
    <col min="6913" max="6927" width="2.7109375" style="1" customWidth="1"/>
    <col min="6928" max="6928" width="4.85546875" style="1" customWidth="1"/>
    <col min="6929" max="6930" width="2.7109375" style="1" customWidth="1"/>
    <col min="6931" max="6931" width="6.28515625" style="1" customWidth="1"/>
    <col min="6932" max="6932" width="3.5703125" style="1" customWidth="1"/>
    <col min="6933" max="6933" width="0.85546875" style="1" customWidth="1"/>
    <col min="6934" max="6934" width="3.5703125" style="1" customWidth="1"/>
    <col min="6935" max="6940" width="2.7109375" style="1" customWidth="1"/>
    <col min="6941" max="6941" width="3.140625" style="1" customWidth="1"/>
    <col min="6942" max="6961" width="2.7109375" style="1" customWidth="1"/>
    <col min="6962" max="7168" width="9.140625" style="1"/>
    <col min="7169" max="7183" width="2.7109375" style="1" customWidth="1"/>
    <col min="7184" max="7184" width="4.85546875" style="1" customWidth="1"/>
    <col min="7185" max="7186" width="2.7109375" style="1" customWidth="1"/>
    <col min="7187" max="7187" width="6.28515625" style="1" customWidth="1"/>
    <col min="7188" max="7188" width="3.5703125" style="1" customWidth="1"/>
    <col min="7189" max="7189" width="0.85546875" style="1" customWidth="1"/>
    <col min="7190" max="7190" width="3.5703125" style="1" customWidth="1"/>
    <col min="7191" max="7196" width="2.7109375" style="1" customWidth="1"/>
    <col min="7197" max="7197" width="3.140625" style="1" customWidth="1"/>
    <col min="7198" max="7217" width="2.7109375" style="1" customWidth="1"/>
    <col min="7218" max="7424" width="9.140625" style="1"/>
    <col min="7425" max="7439" width="2.7109375" style="1" customWidth="1"/>
    <col min="7440" max="7440" width="4.85546875" style="1" customWidth="1"/>
    <col min="7441" max="7442" width="2.7109375" style="1" customWidth="1"/>
    <col min="7443" max="7443" width="6.28515625" style="1" customWidth="1"/>
    <col min="7444" max="7444" width="3.5703125" style="1" customWidth="1"/>
    <col min="7445" max="7445" width="0.85546875" style="1" customWidth="1"/>
    <col min="7446" max="7446" width="3.5703125" style="1" customWidth="1"/>
    <col min="7447" max="7452" width="2.7109375" style="1" customWidth="1"/>
    <col min="7453" max="7453" width="3.140625" style="1" customWidth="1"/>
    <col min="7454" max="7473" width="2.7109375" style="1" customWidth="1"/>
    <col min="7474" max="7680" width="9.140625" style="1"/>
    <col min="7681" max="7695" width="2.7109375" style="1" customWidth="1"/>
    <col min="7696" max="7696" width="4.85546875" style="1" customWidth="1"/>
    <col min="7697" max="7698" width="2.7109375" style="1" customWidth="1"/>
    <col min="7699" max="7699" width="6.28515625" style="1" customWidth="1"/>
    <col min="7700" max="7700" width="3.5703125" style="1" customWidth="1"/>
    <col min="7701" max="7701" width="0.85546875" style="1" customWidth="1"/>
    <col min="7702" max="7702" width="3.5703125" style="1" customWidth="1"/>
    <col min="7703" max="7708" width="2.7109375" style="1" customWidth="1"/>
    <col min="7709" max="7709" width="3.140625" style="1" customWidth="1"/>
    <col min="7710" max="7729" width="2.7109375" style="1" customWidth="1"/>
    <col min="7730" max="7936" width="9.140625" style="1"/>
    <col min="7937" max="7951" width="2.7109375" style="1" customWidth="1"/>
    <col min="7952" max="7952" width="4.85546875" style="1" customWidth="1"/>
    <col min="7953" max="7954" width="2.7109375" style="1" customWidth="1"/>
    <col min="7955" max="7955" width="6.28515625" style="1" customWidth="1"/>
    <col min="7956" max="7956" width="3.5703125" style="1" customWidth="1"/>
    <col min="7957" max="7957" width="0.85546875" style="1" customWidth="1"/>
    <col min="7958" max="7958" width="3.5703125" style="1" customWidth="1"/>
    <col min="7959" max="7964" width="2.7109375" style="1" customWidth="1"/>
    <col min="7965" max="7965" width="3.140625" style="1" customWidth="1"/>
    <col min="7966" max="7985" width="2.7109375" style="1" customWidth="1"/>
    <col min="7986" max="8192" width="9.140625" style="1"/>
    <col min="8193" max="8207" width="2.7109375" style="1" customWidth="1"/>
    <col min="8208" max="8208" width="4.85546875" style="1" customWidth="1"/>
    <col min="8209" max="8210" width="2.7109375" style="1" customWidth="1"/>
    <col min="8211" max="8211" width="6.28515625" style="1" customWidth="1"/>
    <col min="8212" max="8212" width="3.5703125" style="1" customWidth="1"/>
    <col min="8213" max="8213" width="0.85546875" style="1" customWidth="1"/>
    <col min="8214" max="8214" width="3.5703125" style="1" customWidth="1"/>
    <col min="8215" max="8220" width="2.7109375" style="1" customWidth="1"/>
    <col min="8221" max="8221" width="3.140625" style="1" customWidth="1"/>
    <col min="8222" max="8241" width="2.7109375" style="1" customWidth="1"/>
    <col min="8242" max="8448" width="9.140625" style="1"/>
    <col min="8449" max="8463" width="2.7109375" style="1" customWidth="1"/>
    <col min="8464" max="8464" width="4.85546875" style="1" customWidth="1"/>
    <col min="8465" max="8466" width="2.7109375" style="1" customWidth="1"/>
    <col min="8467" max="8467" width="6.28515625" style="1" customWidth="1"/>
    <col min="8468" max="8468" width="3.5703125" style="1" customWidth="1"/>
    <col min="8469" max="8469" width="0.85546875" style="1" customWidth="1"/>
    <col min="8470" max="8470" width="3.5703125" style="1" customWidth="1"/>
    <col min="8471" max="8476" width="2.7109375" style="1" customWidth="1"/>
    <col min="8477" max="8477" width="3.140625" style="1" customWidth="1"/>
    <col min="8478" max="8497" width="2.7109375" style="1" customWidth="1"/>
    <col min="8498" max="8704" width="9.140625" style="1"/>
    <col min="8705" max="8719" width="2.7109375" style="1" customWidth="1"/>
    <col min="8720" max="8720" width="4.85546875" style="1" customWidth="1"/>
    <col min="8721" max="8722" width="2.7109375" style="1" customWidth="1"/>
    <col min="8723" max="8723" width="6.28515625" style="1" customWidth="1"/>
    <col min="8724" max="8724" width="3.5703125" style="1" customWidth="1"/>
    <col min="8725" max="8725" width="0.85546875" style="1" customWidth="1"/>
    <col min="8726" max="8726" width="3.5703125" style="1" customWidth="1"/>
    <col min="8727" max="8732" width="2.7109375" style="1" customWidth="1"/>
    <col min="8733" max="8733" width="3.140625" style="1" customWidth="1"/>
    <col min="8734" max="8753" width="2.7109375" style="1" customWidth="1"/>
    <col min="8754" max="8960" width="9.140625" style="1"/>
    <col min="8961" max="8975" width="2.7109375" style="1" customWidth="1"/>
    <col min="8976" max="8976" width="4.85546875" style="1" customWidth="1"/>
    <col min="8977" max="8978" width="2.7109375" style="1" customWidth="1"/>
    <col min="8979" max="8979" width="6.28515625" style="1" customWidth="1"/>
    <col min="8980" max="8980" width="3.5703125" style="1" customWidth="1"/>
    <col min="8981" max="8981" width="0.85546875" style="1" customWidth="1"/>
    <col min="8982" max="8982" width="3.5703125" style="1" customWidth="1"/>
    <col min="8983" max="8988" width="2.7109375" style="1" customWidth="1"/>
    <col min="8989" max="8989" width="3.140625" style="1" customWidth="1"/>
    <col min="8990" max="9009" width="2.7109375" style="1" customWidth="1"/>
    <col min="9010" max="9216" width="9.140625" style="1"/>
    <col min="9217" max="9231" width="2.7109375" style="1" customWidth="1"/>
    <col min="9232" max="9232" width="4.85546875" style="1" customWidth="1"/>
    <col min="9233" max="9234" width="2.7109375" style="1" customWidth="1"/>
    <col min="9235" max="9235" width="6.28515625" style="1" customWidth="1"/>
    <col min="9236" max="9236" width="3.5703125" style="1" customWidth="1"/>
    <col min="9237" max="9237" width="0.85546875" style="1" customWidth="1"/>
    <col min="9238" max="9238" width="3.5703125" style="1" customWidth="1"/>
    <col min="9239" max="9244" width="2.7109375" style="1" customWidth="1"/>
    <col min="9245" max="9245" width="3.140625" style="1" customWidth="1"/>
    <col min="9246" max="9265" width="2.7109375" style="1" customWidth="1"/>
    <col min="9266" max="9472" width="9.140625" style="1"/>
    <col min="9473" max="9487" width="2.7109375" style="1" customWidth="1"/>
    <col min="9488" max="9488" width="4.85546875" style="1" customWidth="1"/>
    <col min="9489" max="9490" width="2.7109375" style="1" customWidth="1"/>
    <col min="9491" max="9491" width="6.28515625" style="1" customWidth="1"/>
    <col min="9492" max="9492" width="3.5703125" style="1" customWidth="1"/>
    <col min="9493" max="9493" width="0.85546875" style="1" customWidth="1"/>
    <col min="9494" max="9494" width="3.5703125" style="1" customWidth="1"/>
    <col min="9495" max="9500" width="2.7109375" style="1" customWidth="1"/>
    <col min="9501" max="9501" width="3.140625" style="1" customWidth="1"/>
    <col min="9502" max="9521" width="2.7109375" style="1" customWidth="1"/>
    <col min="9522" max="9728" width="9.140625" style="1"/>
    <col min="9729" max="9743" width="2.7109375" style="1" customWidth="1"/>
    <col min="9744" max="9744" width="4.85546875" style="1" customWidth="1"/>
    <col min="9745" max="9746" width="2.7109375" style="1" customWidth="1"/>
    <col min="9747" max="9747" width="6.28515625" style="1" customWidth="1"/>
    <col min="9748" max="9748" width="3.5703125" style="1" customWidth="1"/>
    <col min="9749" max="9749" width="0.85546875" style="1" customWidth="1"/>
    <col min="9750" max="9750" width="3.5703125" style="1" customWidth="1"/>
    <col min="9751" max="9756" width="2.7109375" style="1" customWidth="1"/>
    <col min="9757" max="9757" width="3.140625" style="1" customWidth="1"/>
    <col min="9758" max="9777" width="2.7109375" style="1" customWidth="1"/>
    <col min="9778" max="9984" width="9.140625" style="1"/>
    <col min="9985" max="9999" width="2.7109375" style="1" customWidth="1"/>
    <col min="10000" max="10000" width="4.85546875" style="1" customWidth="1"/>
    <col min="10001" max="10002" width="2.7109375" style="1" customWidth="1"/>
    <col min="10003" max="10003" width="6.28515625" style="1" customWidth="1"/>
    <col min="10004" max="10004" width="3.5703125" style="1" customWidth="1"/>
    <col min="10005" max="10005" width="0.85546875" style="1" customWidth="1"/>
    <col min="10006" max="10006" width="3.5703125" style="1" customWidth="1"/>
    <col min="10007" max="10012" width="2.7109375" style="1" customWidth="1"/>
    <col min="10013" max="10013" width="3.140625" style="1" customWidth="1"/>
    <col min="10014" max="10033" width="2.7109375" style="1" customWidth="1"/>
    <col min="10034" max="10240" width="9.140625" style="1"/>
    <col min="10241" max="10255" width="2.7109375" style="1" customWidth="1"/>
    <col min="10256" max="10256" width="4.85546875" style="1" customWidth="1"/>
    <col min="10257" max="10258" width="2.7109375" style="1" customWidth="1"/>
    <col min="10259" max="10259" width="6.28515625" style="1" customWidth="1"/>
    <col min="10260" max="10260" width="3.5703125" style="1" customWidth="1"/>
    <col min="10261" max="10261" width="0.85546875" style="1" customWidth="1"/>
    <col min="10262" max="10262" width="3.5703125" style="1" customWidth="1"/>
    <col min="10263" max="10268" width="2.7109375" style="1" customWidth="1"/>
    <col min="10269" max="10269" width="3.140625" style="1" customWidth="1"/>
    <col min="10270" max="10289" width="2.7109375" style="1" customWidth="1"/>
    <col min="10290" max="10496" width="9.140625" style="1"/>
    <col min="10497" max="10511" width="2.7109375" style="1" customWidth="1"/>
    <col min="10512" max="10512" width="4.85546875" style="1" customWidth="1"/>
    <col min="10513" max="10514" width="2.7109375" style="1" customWidth="1"/>
    <col min="10515" max="10515" width="6.28515625" style="1" customWidth="1"/>
    <col min="10516" max="10516" width="3.5703125" style="1" customWidth="1"/>
    <col min="10517" max="10517" width="0.85546875" style="1" customWidth="1"/>
    <col min="10518" max="10518" width="3.5703125" style="1" customWidth="1"/>
    <col min="10519" max="10524" width="2.7109375" style="1" customWidth="1"/>
    <col min="10525" max="10525" width="3.140625" style="1" customWidth="1"/>
    <col min="10526" max="10545" width="2.7109375" style="1" customWidth="1"/>
    <col min="10546" max="10752" width="9.140625" style="1"/>
    <col min="10753" max="10767" width="2.7109375" style="1" customWidth="1"/>
    <col min="10768" max="10768" width="4.85546875" style="1" customWidth="1"/>
    <col min="10769" max="10770" width="2.7109375" style="1" customWidth="1"/>
    <col min="10771" max="10771" width="6.28515625" style="1" customWidth="1"/>
    <col min="10772" max="10772" width="3.5703125" style="1" customWidth="1"/>
    <col min="10773" max="10773" width="0.85546875" style="1" customWidth="1"/>
    <col min="10774" max="10774" width="3.5703125" style="1" customWidth="1"/>
    <col min="10775" max="10780" width="2.7109375" style="1" customWidth="1"/>
    <col min="10781" max="10781" width="3.140625" style="1" customWidth="1"/>
    <col min="10782" max="10801" width="2.7109375" style="1" customWidth="1"/>
    <col min="10802" max="11008" width="9.140625" style="1"/>
    <col min="11009" max="11023" width="2.7109375" style="1" customWidth="1"/>
    <col min="11024" max="11024" width="4.85546875" style="1" customWidth="1"/>
    <col min="11025" max="11026" width="2.7109375" style="1" customWidth="1"/>
    <col min="11027" max="11027" width="6.28515625" style="1" customWidth="1"/>
    <col min="11028" max="11028" width="3.5703125" style="1" customWidth="1"/>
    <col min="11029" max="11029" width="0.85546875" style="1" customWidth="1"/>
    <col min="11030" max="11030" width="3.5703125" style="1" customWidth="1"/>
    <col min="11031" max="11036" width="2.7109375" style="1" customWidth="1"/>
    <col min="11037" max="11037" width="3.140625" style="1" customWidth="1"/>
    <col min="11038" max="11057" width="2.7109375" style="1" customWidth="1"/>
    <col min="11058" max="11264" width="9.140625" style="1"/>
    <col min="11265" max="11279" width="2.7109375" style="1" customWidth="1"/>
    <col min="11280" max="11280" width="4.85546875" style="1" customWidth="1"/>
    <col min="11281" max="11282" width="2.7109375" style="1" customWidth="1"/>
    <col min="11283" max="11283" width="6.28515625" style="1" customWidth="1"/>
    <col min="11284" max="11284" width="3.5703125" style="1" customWidth="1"/>
    <col min="11285" max="11285" width="0.85546875" style="1" customWidth="1"/>
    <col min="11286" max="11286" width="3.5703125" style="1" customWidth="1"/>
    <col min="11287" max="11292" width="2.7109375" style="1" customWidth="1"/>
    <col min="11293" max="11293" width="3.140625" style="1" customWidth="1"/>
    <col min="11294" max="11313" width="2.7109375" style="1" customWidth="1"/>
    <col min="11314" max="11520" width="9.140625" style="1"/>
    <col min="11521" max="11535" width="2.7109375" style="1" customWidth="1"/>
    <col min="11536" max="11536" width="4.85546875" style="1" customWidth="1"/>
    <col min="11537" max="11538" width="2.7109375" style="1" customWidth="1"/>
    <col min="11539" max="11539" width="6.28515625" style="1" customWidth="1"/>
    <col min="11540" max="11540" width="3.5703125" style="1" customWidth="1"/>
    <col min="11541" max="11541" width="0.85546875" style="1" customWidth="1"/>
    <col min="11542" max="11542" width="3.5703125" style="1" customWidth="1"/>
    <col min="11543" max="11548" width="2.7109375" style="1" customWidth="1"/>
    <col min="11549" max="11549" width="3.140625" style="1" customWidth="1"/>
    <col min="11550" max="11569" width="2.7109375" style="1" customWidth="1"/>
    <col min="11570" max="11776" width="9.140625" style="1"/>
    <col min="11777" max="11791" width="2.7109375" style="1" customWidth="1"/>
    <col min="11792" max="11792" width="4.85546875" style="1" customWidth="1"/>
    <col min="11793" max="11794" width="2.7109375" style="1" customWidth="1"/>
    <col min="11795" max="11795" width="6.28515625" style="1" customWidth="1"/>
    <col min="11796" max="11796" width="3.5703125" style="1" customWidth="1"/>
    <col min="11797" max="11797" width="0.85546875" style="1" customWidth="1"/>
    <col min="11798" max="11798" width="3.5703125" style="1" customWidth="1"/>
    <col min="11799" max="11804" width="2.7109375" style="1" customWidth="1"/>
    <col min="11805" max="11805" width="3.140625" style="1" customWidth="1"/>
    <col min="11806" max="11825" width="2.7109375" style="1" customWidth="1"/>
    <col min="11826" max="12032" width="9.140625" style="1"/>
    <col min="12033" max="12047" width="2.7109375" style="1" customWidth="1"/>
    <col min="12048" max="12048" width="4.85546875" style="1" customWidth="1"/>
    <col min="12049" max="12050" width="2.7109375" style="1" customWidth="1"/>
    <col min="12051" max="12051" width="6.28515625" style="1" customWidth="1"/>
    <col min="12052" max="12052" width="3.5703125" style="1" customWidth="1"/>
    <col min="12053" max="12053" width="0.85546875" style="1" customWidth="1"/>
    <col min="12054" max="12054" width="3.5703125" style="1" customWidth="1"/>
    <col min="12055" max="12060" width="2.7109375" style="1" customWidth="1"/>
    <col min="12061" max="12061" width="3.140625" style="1" customWidth="1"/>
    <col min="12062" max="12081" width="2.7109375" style="1" customWidth="1"/>
    <col min="12082" max="12288" width="9.140625" style="1"/>
    <col min="12289" max="12303" width="2.7109375" style="1" customWidth="1"/>
    <col min="12304" max="12304" width="4.85546875" style="1" customWidth="1"/>
    <col min="12305" max="12306" width="2.7109375" style="1" customWidth="1"/>
    <col min="12307" max="12307" width="6.28515625" style="1" customWidth="1"/>
    <col min="12308" max="12308" width="3.5703125" style="1" customWidth="1"/>
    <col min="12309" max="12309" width="0.85546875" style="1" customWidth="1"/>
    <col min="12310" max="12310" width="3.5703125" style="1" customWidth="1"/>
    <col min="12311" max="12316" width="2.7109375" style="1" customWidth="1"/>
    <col min="12317" max="12317" width="3.140625" style="1" customWidth="1"/>
    <col min="12318" max="12337" width="2.7109375" style="1" customWidth="1"/>
    <col min="12338" max="12544" width="9.140625" style="1"/>
    <col min="12545" max="12559" width="2.7109375" style="1" customWidth="1"/>
    <col min="12560" max="12560" width="4.85546875" style="1" customWidth="1"/>
    <col min="12561" max="12562" width="2.7109375" style="1" customWidth="1"/>
    <col min="12563" max="12563" width="6.28515625" style="1" customWidth="1"/>
    <col min="12564" max="12564" width="3.5703125" style="1" customWidth="1"/>
    <col min="12565" max="12565" width="0.85546875" style="1" customWidth="1"/>
    <col min="12566" max="12566" width="3.5703125" style="1" customWidth="1"/>
    <col min="12567" max="12572" width="2.7109375" style="1" customWidth="1"/>
    <col min="12573" max="12573" width="3.140625" style="1" customWidth="1"/>
    <col min="12574" max="12593" width="2.7109375" style="1" customWidth="1"/>
    <col min="12594" max="12800" width="9.140625" style="1"/>
    <col min="12801" max="12815" width="2.7109375" style="1" customWidth="1"/>
    <col min="12816" max="12816" width="4.85546875" style="1" customWidth="1"/>
    <col min="12817" max="12818" width="2.7109375" style="1" customWidth="1"/>
    <col min="12819" max="12819" width="6.28515625" style="1" customWidth="1"/>
    <col min="12820" max="12820" width="3.5703125" style="1" customWidth="1"/>
    <col min="12821" max="12821" width="0.85546875" style="1" customWidth="1"/>
    <col min="12822" max="12822" width="3.5703125" style="1" customWidth="1"/>
    <col min="12823" max="12828" width="2.7109375" style="1" customWidth="1"/>
    <col min="12829" max="12829" width="3.140625" style="1" customWidth="1"/>
    <col min="12830" max="12849" width="2.7109375" style="1" customWidth="1"/>
    <col min="12850" max="13056" width="9.140625" style="1"/>
    <col min="13057" max="13071" width="2.7109375" style="1" customWidth="1"/>
    <col min="13072" max="13072" width="4.85546875" style="1" customWidth="1"/>
    <col min="13073" max="13074" width="2.7109375" style="1" customWidth="1"/>
    <col min="13075" max="13075" width="6.28515625" style="1" customWidth="1"/>
    <col min="13076" max="13076" width="3.5703125" style="1" customWidth="1"/>
    <col min="13077" max="13077" width="0.85546875" style="1" customWidth="1"/>
    <col min="13078" max="13078" width="3.5703125" style="1" customWidth="1"/>
    <col min="13079" max="13084" width="2.7109375" style="1" customWidth="1"/>
    <col min="13085" max="13085" width="3.140625" style="1" customWidth="1"/>
    <col min="13086" max="13105" width="2.7109375" style="1" customWidth="1"/>
    <col min="13106" max="13312" width="9.140625" style="1"/>
    <col min="13313" max="13327" width="2.7109375" style="1" customWidth="1"/>
    <col min="13328" max="13328" width="4.85546875" style="1" customWidth="1"/>
    <col min="13329" max="13330" width="2.7109375" style="1" customWidth="1"/>
    <col min="13331" max="13331" width="6.28515625" style="1" customWidth="1"/>
    <col min="13332" max="13332" width="3.5703125" style="1" customWidth="1"/>
    <col min="13333" max="13333" width="0.85546875" style="1" customWidth="1"/>
    <col min="13334" max="13334" width="3.5703125" style="1" customWidth="1"/>
    <col min="13335" max="13340" width="2.7109375" style="1" customWidth="1"/>
    <col min="13341" max="13341" width="3.140625" style="1" customWidth="1"/>
    <col min="13342" max="13361" width="2.7109375" style="1" customWidth="1"/>
    <col min="13362" max="13568" width="9.140625" style="1"/>
    <col min="13569" max="13583" width="2.7109375" style="1" customWidth="1"/>
    <col min="13584" max="13584" width="4.85546875" style="1" customWidth="1"/>
    <col min="13585" max="13586" width="2.7109375" style="1" customWidth="1"/>
    <col min="13587" max="13587" width="6.28515625" style="1" customWidth="1"/>
    <col min="13588" max="13588" width="3.5703125" style="1" customWidth="1"/>
    <col min="13589" max="13589" width="0.85546875" style="1" customWidth="1"/>
    <col min="13590" max="13590" width="3.5703125" style="1" customWidth="1"/>
    <col min="13591" max="13596" width="2.7109375" style="1" customWidth="1"/>
    <col min="13597" max="13597" width="3.140625" style="1" customWidth="1"/>
    <col min="13598" max="13617" width="2.7109375" style="1" customWidth="1"/>
    <col min="13618" max="13824" width="9.140625" style="1"/>
    <col min="13825" max="13839" width="2.7109375" style="1" customWidth="1"/>
    <col min="13840" max="13840" width="4.85546875" style="1" customWidth="1"/>
    <col min="13841" max="13842" width="2.7109375" style="1" customWidth="1"/>
    <col min="13843" max="13843" width="6.28515625" style="1" customWidth="1"/>
    <col min="13844" max="13844" width="3.5703125" style="1" customWidth="1"/>
    <col min="13845" max="13845" width="0.85546875" style="1" customWidth="1"/>
    <col min="13846" max="13846" width="3.5703125" style="1" customWidth="1"/>
    <col min="13847" max="13852" width="2.7109375" style="1" customWidth="1"/>
    <col min="13853" max="13853" width="3.140625" style="1" customWidth="1"/>
    <col min="13854" max="13873" width="2.7109375" style="1" customWidth="1"/>
    <col min="13874" max="14080" width="9.140625" style="1"/>
    <col min="14081" max="14095" width="2.7109375" style="1" customWidth="1"/>
    <col min="14096" max="14096" width="4.85546875" style="1" customWidth="1"/>
    <col min="14097" max="14098" width="2.7109375" style="1" customWidth="1"/>
    <col min="14099" max="14099" width="6.28515625" style="1" customWidth="1"/>
    <col min="14100" max="14100" width="3.5703125" style="1" customWidth="1"/>
    <col min="14101" max="14101" width="0.85546875" style="1" customWidth="1"/>
    <col min="14102" max="14102" width="3.5703125" style="1" customWidth="1"/>
    <col min="14103" max="14108" width="2.7109375" style="1" customWidth="1"/>
    <col min="14109" max="14109" width="3.140625" style="1" customWidth="1"/>
    <col min="14110" max="14129" width="2.7109375" style="1" customWidth="1"/>
    <col min="14130" max="14336" width="9.140625" style="1"/>
    <col min="14337" max="14351" width="2.7109375" style="1" customWidth="1"/>
    <col min="14352" max="14352" width="4.85546875" style="1" customWidth="1"/>
    <col min="14353" max="14354" width="2.7109375" style="1" customWidth="1"/>
    <col min="14355" max="14355" width="6.28515625" style="1" customWidth="1"/>
    <col min="14356" max="14356" width="3.5703125" style="1" customWidth="1"/>
    <col min="14357" max="14357" width="0.85546875" style="1" customWidth="1"/>
    <col min="14358" max="14358" width="3.5703125" style="1" customWidth="1"/>
    <col min="14359" max="14364" width="2.7109375" style="1" customWidth="1"/>
    <col min="14365" max="14365" width="3.140625" style="1" customWidth="1"/>
    <col min="14366" max="14385" width="2.7109375" style="1" customWidth="1"/>
    <col min="14386" max="14592" width="9.140625" style="1"/>
    <col min="14593" max="14607" width="2.7109375" style="1" customWidth="1"/>
    <col min="14608" max="14608" width="4.85546875" style="1" customWidth="1"/>
    <col min="14609" max="14610" width="2.7109375" style="1" customWidth="1"/>
    <col min="14611" max="14611" width="6.28515625" style="1" customWidth="1"/>
    <col min="14612" max="14612" width="3.5703125" style="1" customWidth="1"/>
    <col min="14613" max="14613" width="0.85546875" style="1" customWidth="1"/>
    <col min="14614" max="14614" width="3.5703125" style="1" customWidth="1"/>
    <col min="14615" max="14620" width="2.7109375" style="1" customWidth="1"/>
    <col min="14621" max="14621" width="3.140625" style="1" customWidth="1"/>
    <col min="14622" max="14641" width="2.7109375" style="1" customWidth="1"/>
    <col min="14642" max="14848" width="9.140625" style="1"/>
    <col min="14849" max="14863" width="2.7109375" style="1" customWidth="1"/>
    <col min="14864" max="14864" width="4.85546875" style="1" customWidth="1"/>
    <col min="14865" max="14866" width="2.7109375" style="1" customWidth="1"/>
    <col min="14867" max="14867" width="6.28515625" style="1" customWidth="1"/>
    <col min="14868" max="14868" width="3.5703125" style="1" customWidth="1"/>
    <col min="14869" max="14869" width="0.85546875" style="1" customWidth="1"/>
    <col min="14870" max="14870" width="3.5703125" style="1" customWidth="1"/>
    <col min="14871" max="14876" width="2.7109375" style="1" customWidth="1"/>
    <col min="14877" max="14877" width="3.140625" style="1" customWidth="1"/>
    <col min="14878" max="14897" width="2.7109375" style="1" customWidth="1"/>
    <col min="14898" max="15104" width="9.140625" style="1"/>
    <col min="15105" max="15119" width="2.7109375" style="1" customWidth="1"/>
    <col min="15120" max="15120" width="4.85546875" style="1" customWidth="1"/>
    <col min="15121" max="15122" width="2.7109375" style="1" customWidth="1"/>
    <col min="15123" max="15123" width="6.28515625" style="1" customWidth="1"/>
    <col min="15124" max="15124" width="3.5703125" style="1" customWidth="1"/>
    <col min="15125" max="15125" width="0.85546875" style="1" customWidth="1"/>
    <col min="15126" max="15126" width="3.5703125" style="1" customWidth="1"/>
    <col min="15127" max="15132" width="2.7109375" style="1" customWidth="1"/>
    <col min="15133" max="15133" width="3.140625" style="1" customWidth="1"/>
    <col min="15134" max="15153" width="2.7109375" style="1" customWidth="1"/>
    <col min="15154" max="15360" width="9.140625" style="1"/>
    <col min="15361" max="15375" width="2.7109375" style="1" customWidth="1"/>
    <col min="15376" max="15376" width="4.85546875" style="1" customWidth="1"/>
    <col min="15377" max="15378" width="2.7109375" style="1" customWidth="1"/>
    <col min="15379" max="15379" width="6.28515625" style="1" customWidth="1"/>
    <col min="15380" max="15380" width="3.5703125" style="1" customWidth="1"/>
    <col min="15381" max="15381" width="0.85546875" style="1" customWidth="1"/>
    <col min="15382" max="15382" width="3.5703125" style="1" customWidth="1"/>
    <col min="15383" max="15388" width="2.7109375" style="1" customWidth="1"/>
    <col min="15389" max="15389" width="3.140625" style="1" customWidth="1"/>
    <col min="15390" max="15409" width="2.7109375" style="1" customWidth="1"/>
    <col min="15410" max="15616" width="9.140625" style="1"/>
    <col min="15617" max="15631" width="2.7109375" style="1" customWidth="1"/>
    <col min="15632" max="15632" width="4.85546875" style="1" customWidth="1"/>
    <col min="15633" max="15634" width="2.7109375" style="1" customWidth="1"/>
    <col min="15635" max="15635" width="6.28515625" style="1" customWidth="1"/>
    <col min="15636" max="15636" width="3.5703125" style="1" customWidth="1"/>
    <col min="15637" max="15637" width="0.85546875" style="1" customWidth="1"/>
    <col min="15638" max="15638" width="3.5703125" style="1" customWidth="1"/>
    <col min="15639" max="15644" width="2.7109375" style="1" customWidth="1"/>
    <col min="15645" max="15645" width="3.140625" style="1" customWidth="1"/>
    <col min="15646" max="15665" width="2.7109375" style="1" customWidth="1"/>
    <col min="15666" max="15872" width="9.140625" style="1"/>
    <col min="15873" max="15887" width="2.7109375" style="1" customWidth="1"/>
    <col min="15888" max="15888" width="4.85546875" style="1" customWidth="1"/>
    <col min="15889" max="15890" width="2.7109375" style="1" customWidth="1"/>
    <col min="15891" max="15891" width="6.28515625" style="1" customWidth="1"/>
    <col min="15892" max="15892" width="3.5703125" style="1" customWidth="1"/>
    <col min="15893" max="15893" width="0.85546875" style="1" customWidth="1"/>
    <col min="15894" max="15894" width="3.5703125" style="1" customWidth="1"/>
    <col min="15895" max="15900" width="2.7109375" style="1" customWidth="1"/>
    <col min="15901" max="15901" width="3.140625" style="1" customWidth="1"/>
    <col min="15902" max="15921" width="2.7109375" style="1" customWidth="1"/>
    <col min="15922" max="16128" width="9.140625" style="1"/>
    <col min="16129" max="16143" width="2.7109375" style="1" customWidth="1"/>
    <col min="16144" max="16144" width="4.85546875" style="1" customWidth="1"/>
    <col min="16145" max="16146" width="2.7109375" style="1" customWidth="1"/>
    <col min="16147" max="16147" width="6.28515625" style="1" customWidth="1"/>
    <col min="16148" max="16148" width="3.5703125" style="1" customWidth="1"/>
    <col min="16149" max="16149" width="0.85546875" style="1" customWidth="1"/>
    <col min="16150" max="16150" width="3.5703125" style="1" customWidth="1"/>
    <col min="16151" max="16156" width="2.7109375" style="1" customWidth="1"/>
    <col min="16157" max="16157" width="3.140625" style="1" customWidth="1"/>
    <col min="16158" max="16177" width="2.7109375" style="1" customWidth="1"/>
    <col min="16178" max="16384" width="9.140625" style="1"/>
  </cols>
  <sheetData>
    <row r="1" spans="1:38" ht="15" customHeight="1">
      <c r="B1" s="2">
        <v>1</v>
      </c>
      <c r="C1" s="494" t="s">
        <v>66</v>
      </c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5"/>
      <c r="T1" s="3"/>
      <c r="U1" s="4"/>
      <c r="V1" s="4"/>
      <c r="W1" s="4"/>
      <c r="X1" s="4"/>
      <c r="Y1" s="4"/>
      <c r="Z1" s="4"/>
      <c r="AA1" s="4"/>
      <c r="AB1" s="4"/>
      <c r="AC1" s="4"/>
      <c r="AD1" s="4"/>
      <c r="AE1" s="700" t="str">
        <f ca="1">СМАПП!D1</f>
        <v>RA263-209</v>
      </c>
      <c r="AF1" s="700"/>
      <c r="AG1" s="700"/>
      <c r="AH1" s="700"/>
      <c r="AI1" s="700"/>
      <c r="AJ1" s="700"/>
      <c r="AK1" s="701"/>
      <c r="AL1" s="515" t="s">
        <v>67</v>
      </c>
    </row>
    <row r="2" spans="1:38" ht="12.75" customHeight="1">
      <c r="B2" s="475" t="str">
        <f>СМАПП!D5&amp;" "&amp;СМАПП!D6</f>
        <v xml:space="preserve">YANTAI SUNDY SCIENCE ENVIROMENTAL TECHNOLOGY LTD. BUILDING 8，NO.39, SCIENCE AND TECHNOLOGY AVENUE, YANTAI HIGH-TECH ZONE, CHINA </v>
      </c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7"/>
      <c r="T2" s="5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7"/>
      <c r="AL2" s="515"/>
    </row>
    <row r="3" spans="1:38" ht="12.75" customHeight="1">
      <c r="B3" s="516"/>
      <c r="C3" s="517"/>
      <c r="D3" s="517"/>
      <c r="E3" s="517"/>
      <c r="F3" s="517"/>
      <c r="G3" s="517"/>
      <c r="H3" s="517"/>
      <c r="I3" s="517"/>
      <c r="J3" s="517"/>
      <c r="K3" s="517"/>
      <c r="L3" s="517"/>
      <c r="M3" s="517"/>
      <c r="N3" s="517"/>
      <c r="O3" s="517"/>
      <c r="P3" s="517"/>
      <c r="Q3" s="517"/>
      <c r="R3" s="517"/>
      <c r="S3" s="518"/>
      <c r="T3" s="5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7"/>
      <c r="AL3" s="515"/>
    </row>
    <row r="4" spans="1:38" ht="36" customHeight="1">
      <c r="B4" s="478"/>
      <c r="C4" s="479"/>
      <c r="D4" s="479"/>
      <c r="E4" s="479"/>
      <c r="F4" s="479"/>
      <c r="G4" s="479"/>
      <c r="H4" s="479"/>
      <c r="I4" s="479"/>
      <c r="J4" s="479"/>
      <c r="K4" s="479"/>
      <c r="L4" s="479"/>
      <c r="M4" s="479"/>
      <c r="N4" s="479"/>
      <c r="O4" s="479"/>
      <c r="P4" s="479"/>
      <c r="Q4" s="479"/>
      <c r="R4" s="479"/>
      <c r="S4" s="480"/>
      <c r="T4" s="519" t="s">
        <v>68</v>
      </c>
      <c r="U4" s="520"/>
      <c r="V4" s="520"/>
      <c r="W4" s="520"/>
      <c r="X4" s="520"/>
      <c r="Y4" s="520"/>
      <c r="Z4" s="520"/>
      <c r="AA4" s="520"/>
      <c r="AB4" s="520"/>
      <c r="AC4" s="520"/>
      <c r="AD4" s="520"/>
      <c r="AE4" s="520"/>
      <c r="AF4" s="520"/>
      <c r="AG4" s="520"/>
      <c r="AH4" s="520"/>
      <c r="AI4" s="520"/>
      <c r="AJ4" s="520"/>
      <c r="AK4" s="521"/>
      <c r="AL4" s="515"/>
    </row>
    <row r="5" spans="1:38" ht="12.75" customHeight="1">
      <c r="B5" s="522"/>
      <c r="C5" s="523"/>
      <c r="D5" s="523"/>
      <c r="E5" s="523"/>
      <c r="F5" s="523"/>
      <c r="G5" s="523"/>
      <c r="H5" s="523"/>
      <c r="I5" s="523"/>
      <c r="J5" s="523"/>
      <c r="K5" s="523"/>
      <c r="L5" s="523"/>
      <c r="M5" s="523"/>
      <c r="N5" s="523"/>
      <c r="O5" s="523"/>
      <c r="P5" s="523"/>
      <c r="Q5" s="523"/>
      <c r="R5" s="523"/>
      <c r="S5" s="524"/>
      <c r="T5" s="525" t="s">
        <v>69</v>
      </c>
      <c r="U5" s="526"/>
      <c r="V5" s="526"/>
      <c r="W5" s="526"/>
      <c r="X5" s="526"/>
      <c r="Y5" s="526"/>
      <c r="Z5" s="526"/>
      <c r="AA5" s="526"/>
      <c r="AB5" s="526"/>
      <c r="AC5" s="526"/>
      <c r="AD5" s="526"/>
      <c r="AE5" s="526"/>
      <c r="AF5" s="526"/>
      <c r="AG5" s="526"/>
      <c r="AH5" s="526"/>
      <c r="AI5" s="526"/>
      <c r="AJ5" s="526"/>
      <c r="AK5" s="527"/>
      <c r="AL5" s="515"/>
    </row>
    <row r="6" spans="1:38" ht="20.25" customHeight="1" thickBot="1">
      <c r="B6" s="531"/>
      <c r="C6" s="532"/>
      <c r="D6" s="532"/>
      <c r="E6" s="532"/>
      <c r="F6" s="532"/>
      <c r="G6" s="532"/>
      <c r="H6" s="532"/>
      <c r="I6" s="532"/>
      <c r="J6" s="532"/>
      <c r="K6" s="532"/>
      <c r="L6" s="532"/>
      <c r="M6" s="532"/>
      <c r="N6" s="532"/>
      <c r="O6" s="532"/>
      <c r="P6" s="532"/>
      <c r="Q6" s="532"/>
      <c r="R6" s="532"/>
      <c r="S6" s="533"/>
      <c r="T6" s="528"/>
      <c r="U6" s="529"/>
      <c r="V6" s="529"/>
      <c r="W6" s="529"/>
      <c r="X6" s="529"/>
      <c r="Y6" s="529"/>
      <c r="Z6" s="529"/>
      <c r="AA6" s="529"/>
      <c r="AB6" s="529"/>
      <c r="AC6" s="529"/>
      <c r="AD6" s="529"/>
      <c r="AE6" s="529"/>
      <c r="AF6" s="529"/>
      <c r="AG6" s="529"/>
      <c r="AH6" s="529"/>
      <c r="AI6" s="529"/>
      <c r="AJ6" s="529"/>
      <c r="AK6" s="530"/>
      <c r="AL6" s="515"/>
    </row>
    <row r="7" spans="1:38" ht="12.75" customHeight="1" thickTop="1">
      <c r="B7" s="2">
        <v>2</v>
      </c>
      <c r="C7" s="494" t="s">
        <v>70</v>
      </c>
      <c r="D7" s="494"/>
      <c r="E7" s="494"/>
      <c r="F7" s="494"/>
      <c r="G7" s="494"/>
      <c r="H7" s="494"/>
      <c r="I7" s="494"/>
      <c r="J7" s="494"/>
      <c r="K7" s="494"/>
      <c r="L7" s="494"/>
      <c r="M7" s="494"/>
      <c r="N7" s="494"/>
      <c r="O7" s="494"/>
      <c r="P7" s="494"/>
      <c r="Q7" s="494"/>
      <c r="R7" s="494"/>
      <c r="S7" s="495"/>
      <c r="T7" s="8" t="s">
        <v>71</v>
      </c>
      <c r="U7" s="534" t="s">
        <v>72</v>
      </c>
      <c r="V7" s="534"/>
      <c r="W7" s="534"/>
      <c r="X7" s="534"/>
      <c r="Y7" s="534"/>
      <c r="Z7" s="534"/>
      <c r="AA7" s="534"/>
      <c r="AB7" s="534"/>
      <c r="AC7" s="534"/>
      <c r="AD7" s="534"/>
      <c r="AE7" s="534"/>
      <c r="AF7" s="534"/>
      <c r="AG7" s="534"/>
      <c r="AH7" s="534"/>
      <c r="AI7" s="534"/>
      <c r="AJ7" s="534"/>
      <c r="AK7" s="535"/>
      <c r="AL7" s="515"/>
    </row>
    <row r="8" spans="1:38" ht="12.75" customHeight="1">
      <c r="B8" s="475" t="str">
        <f>СМАПП!D7&amp;"   "&amp;СМАПП!D8</f>
        <v>ООО "РЕГИОНАЛЬНАЯ ТОРГОВАЯ КОМПАНИЯ "РОСАКВА"   197374, г.Санкт-Петербург, вн.тер.г. муниципальный округ № 65, ул. Мебельная, д. 5, литера а, помещ. 1-н</v>
      </c>
      <c r="C8" s="476"/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476"/>
      <c r="O8" s="476"/>
      <c r="P8" s="476"/>
      <c r="Q8" s="476"/>
      <c r="R8" s="476"/>
      <c r="S8" s="477"/>
      <c r="T8" s="481" t="str">
        <f>СМАПП!D16&amp;"   "&amp;СМАПП!D17</f>
        <v>ООО «РЕАЛ ЭСТЕЙТ КОМПАНИ»   Приморский край, г. Владивосток,  ул. Запорожская д.77, оф.720</v>
      </c>
      <c r="U8" s="481"/>
      <c r="V8" s="481"/>
      <c r="W8" s="481"/>
      <c r="X8" s="481"/>
      <c r="Y8" s="481"/>
      <c r="Z8" s="481"/>
      <c r="AA8" s="481"/>
      <c r="AB8" s="481"/>
      <c r="AC8" s="481"/>
      <c r="AD8" s="481"/>
      <c r="AE8" s="481"/>
      <c r="AF8" s="481"/>
      <c r="AG8" s="481"/>
      <c r="AH8" s="481"/>
      <c r="AI8" s="481"/>
      <c r="AJ8" s="481"/>
      <c r="AK8" s="482"/>
      <c r="AL8" s="515"/>
    </row>
    <row r="9" spans="1:38" ht="34.5" customHeight="1">
      <c r="B9" s="478"/>
      <c r="C9" s="479"/>
      <c r="D9" s="479"/>
      <c r="E9" s="479"/>
      <c r="F9" s="479"/>
      <c r="G9" s="479"/>
      <c r="H9" s="479"/>
      <c r="I9" s="479"/>
      <c r="J9" s="479"/>
      <c r="K9" s="479"/>
      <c r="L9" s="479"/>
      <c r="M9" s="479"/>
      <c r="N9" s="479"/>
      <c r="O9" s="479"/>
      <c r="P9" s="479"/>
      <c r="Q9" s="479"/>
      <c r="R9" s="479"/>
      <c r="S9" s="480"/>
      <c r="T9" s="483"/>
      <c r="U9" s="483"/>
      <c r="V9" s="483"/>
      <c r="W9" s="483"/>
      <c r="X9" s="483"/>
      <c r="Y9" s="483"/>
      <c r="Z9" s="483"/>
      <c r="AA9" s="483"/>
      <c r="AB9" s="483"/>
      <c r="AC9" s="483"/>
      <c r="AD9" s="483"/>
      <c r="AE9" s="483"/>
      <c r="AF9" s="483"/>
      <c r="AG9" s="483"/>
      <c r="AH9" s="483"/>
      <c r="AI9" s="483"/>
      <c r="AJ9" s="483"/>
      <c r="AK9" s="484"/>
      <c r="AL9" s="515"/>
    </row>
    <row r="10" spans="1:38" ht="12.75" customHeight="1">
      <c r="B10" s="485" t="s">
        <v>73</v>
      </c>
      <c r="C10" s="486"/>
      <c r="D10" s="486"/>
      <c r="E10" s="486"/>
      <c r="F10" s="486"/>
      <c r="G10" s="486"/>
      <c r="H10" s="486"/>
      <c r="I10" s="486"/>
      <c r="J10" s="486"/>
      <c r="K10" s="486"/>
      <c r="L10" s="486"/>
      <c r="M10" s="486"/>
      <c r="N10" s="486"/>
      <c r="O10" s="486"/>
      <c r="P10" s="486"/>
      <c r="Q10" s="486"/>
      <c r="R10" s="486"/>
      <c r="S10" s="487"/>
      <c r="T10" s="486" t="s">
        <v>73</v>
      </c>
      <c r="U10" s="486"/>
      <c r="V10" s="486"/>
      <c r="W10" s="486"/>
      <c r="X10" s="486"/>
      <c r="Y10" s="486"/>
      <c r="Z10" s="486"/>
      <c r="AA10" s="486"/>
      <c r="AB10" s="486"/>
      <c r="AC10" s="486"/>
      <c r="AD10" s="486"/>
      <c r="AE10" s="486"/>
      <c r="AF10" s="486"/>
      <c r="AG10" s="486"/>
      <c r="AH10" s="486"/>
      <c r="AI10" s="486"/>
      <c r="AJ10" s="486"/>
      <c r="AK10" s="488"/>
      <c r="AL10" s="515"/>
    </row>
    <row r="11" spans="1:38" ht="12.75" customHeight="1">
      <c r="B11" s="489" t="str">
        <f>СМАПП!E7</f>
        <v>ИНН 7810846669</v>
      </c>
      <c r="C11" s="490"/>
      <c r="D11" s="490"/>
      <c r="E11" s="490"/>
      <c r="F11" s="490"/>
      <c r="G11" s="490"/>
      <c r="H11" s="490"/>
      <c r="I11" s="490"/>
      <c r="J11" s="490"/>
      <c r="K11" s="490"/>
      <c r="L11" s="490"/>
      <c r="M11" s="490"/>
      <c r="N11" s="490"/>
      <c r="O11" s="490"/>
      <c r="P11" s="490"/>
      <c r="Q11" s="490"/>
      <c r="R11" s="490"/>
      <c r="S11" s="491"/>
      <c r="T11" s="492" t="str">
        <f>СМАПП!E17</f>
        <v>ИНН 2538144525</v>
      </c>
      <c r="U11" s="492"/>
      <c r="V11" s="492"/>
      <c r="W11" s="492"/>
      <c r="X11" s="492"/>
      <c r="Y11" s="492"/>
      <c r="Z11" s="492"/>
      <c r="AA11" s="492"/>
      <c r="AB11" s="492"/>
      <c r="AC11" s="492"/>
      <c r="AD11" s="492"/>
      <c r="AE11" s="492"/>
      <c r="AF11" s="492"/>
      <c r="AG11" s="492"/>
      <c r="AH11" s="492"/>
      <c r="AI11" s="492"/>
      <c r="AJ11" s="492"/>
      <c r="AK11" s="493"/>
      <c r="AL11" s="515"/>
    </row>
    <row r="12" spans="1:38" ht="12.75" customHeight="1" thickBot="1">
      <c r="B12" s="536" t="str">
        <f>СМАПП!F7</f>
        <v>ОГРН 1117847475987</v>
      </c>
      <c r="C12" s="537"/>
      <c r="D12" s="537"/>
      <c r="E12" s="537"/>
      <c r="F12" s="537"/>
      <c r="G12" s="537"/>
      <c r="H12" s="537"/>
      <c r="I12" s="537"/>
      <c r="J12" s="537"/>
      <c r="K12" s="537"/>
      <c r="L12" s="537"/>
      <c r="M12" s="537"/>
      <c r="N12" s="537"/>
      <c r="O12" s="537"/>
      <c r="P12" s="537"/>
      <c r="Q12" s="537"/>
      <c r="R12" s="537"/>
      <c r="S12" s="538"/>
      <c r="T12" s="492" t="str">
        <f>СМАПП!F17</f>
        <v>ОГРН  1112538000706</v>
      </c>
      <c r="U12" s="492"/>
      <c r="V12" s="492"/>
      <c r="W12" s="492"/>
      <c r="X12" s="492"/>
      <c r="Y12" s="492"/>
      <c r="Z12" s="492"/>
      <c r="AA12" s="492"/>
      <c r="AB12" s="492"/>
      <c r="AC12" s="492"/>
      <c r="AD12" s="492"/>
      <c r="AE12" s="492"/>
      <c r="AF12" s="492"/>
      <c r="AG12" s="492"/>
      <c r="AH12" s="492"/>
      <c r="AI12" s="492"/>
      <c r="AJ12" s="492"/>
      <c r="AK12" s="493"/>
      <c r="AL12" s="515"/>
    </row>
    <row r="13" spans="1:38" ht="12.75" customHeight="1">
      <c r="A13" s="552" t="s">
        <v>74</v>
      </c>
      <c r="B13" s="2">
        <v>3</v>
      </c>
      <c r="C13" s="494" t="s">
        <v>75</v>
      </c>
      <c r="D13" s="494"/>
      <c r="E13" s="494"/>
      <c r="F13" s="494"/>
      <c r="G13" s="494"/>
      <c r="H13" s="494"/>
      <c r="I13" s="494"/>
      <c r="J13" s="494"/>
      <c r="K13" s="494"/>
      <c r="L13" s="494"/>
      <c r="M13" s="494"/>
      <c r="N13" s="494"/>
      <c r="O13" s="494"/>
      <c r="P13" s="494"/>
      <c r="Q13" s="494"/>
      <c r="R13" s="494"/>
      <c r="S13" s="494"/>
      <c r="T13" s="9" t="s">
        <v>76</v>
      </c>
      <c r="U13" s="494" t="s">
        <v>77</v>
      </c>
      <c r="V13" s="494"/>
      <c r="W13" s="494"/>
      <c r="X13" s="494"/>
      <c r="Y13" s="494"/>
      <c r="Z13" s="494"/>
      <c r="AA13" s="494"/>
      <c r="AB13" s="494"/>
      <c r="AC13" s="494"/>
      <c r="AD13" s="494"/>
      <c r="AE13" s="494"/>
      <c r="AF13" s="494"/>
      <c r="AG13" s="494"/>
      <c r="AH13" s="494"/>
      <c r="AI13" s="494"/>
      <c r="AJ13" s="494"/>
      <c r="AK13" s="553"/>
      <c r="AL13" s="515"/>
    </row>
    <row r="14" spans="1:38" ht="12.75" customHeight="1">
      <c r="A14" s="552"/>
      <c r="B14" s="554" t="s">
        <v>78</v>
      </c>
      <c r="C14" s="555"/>
      <c r="D14" s="560" t="str">
        <f>СПЕЦ!C7</f>
        <v>СВХ ООО "НАБАЗ" , ПРИМОРСКИЙ КРАЙ, Г. УССУРИЙСК,УЛ. ЛИМИЧЕВСКАЯ,21-А</v>
      </c>
      <c r="E14" s="560"/>
      <c r="F14" s="560"/>
      <c r="G14" s="560"/>
      <c r="H14" s="560"/>
      <c r="I14" s="560"/>
      <c r="J14" s="560"/>
      <c r="K14" s="560"/>
      <c r="L14" s="560"/>
      <c r="M14" s="560"/>
      <c r="N14" s="560"/>
      <c r="O14" s="560"/>
      <c r="P14" s="560"/>
      <c r="Q14" s="560"/>
      <c r="R14" s="560"/>
      <c r="S14" s="561"/>
      <c r="T14" s="10"/>
      <c r="U14" s="564"/>
      <c r="V14" s="564"/>
      <c r="W14" s="564"/>
      <c r="X14" s="564"/>
      <c r="Y14" s="564"/>
      <c r="Z14" s="564"/>
      <c r="AA14" s="564"/>
      <c r="AB14" s="564"/>
      <c r="AC14" s="564"/>
      <c r="AD14" s="564"/>
      <c r="AE14" s="564"/>
      <c r="AF14" s="564"/>
      <c r="AG14" s="564"/>
      <c r="AH14" s="564"/>
      <c r="AI14" s="564"/>
      <c r="AJ14" s="564"/>
      <c r="AK14" s="565"/>
      <c r="AL14" s="515"/>
    </row>
    <row r="15" spans="1:38" ht="16.5" customHeight="1">
      <c r="A15" s="552"/>
      <c r="B15" s="556"/>
      <c r="C15" s="557"/>
      <c r="D15" s="562"/>
      <c r="E15" s="562"/>
      <c r="F15" s="562"/>
      <c r="G15" s="562"/>
      <c r="H15" s="562"/>
      <c r="I15" s="562"/>
      <c r="J15" s="562"/>
      <c r="K15" s="562"/>
      <c r="L15" s="562"/>
      <c r="M15" s="562"/>
      <c r="N15" s="562"/>
      <c r="O15" s="562"/>
      <c r="P15" s="562"/>
      <c r="Q15" s="562"/>
      <c r="R15" s="562"/>
      <c r="S15" s="563"/>
      <c r="T15" s="566"/>
      <c r="U15" s="567"/>
      <c r="V15" s="567"/>
      <c r="W15" s="567"/>
      <c r="X15" s="567"/>
      <c r="Y15" s="567"/>
      <c r="Z15" s="567"/>
      <c r="AA15" s="567"/>
      <c r="AB15" s="567"/>
      <c r="AC15" s="567"/>
      <c r="AD15" s="567"/>
      <c r="AE15" s="567"/>
      <c r="AF15" s="567"/>
      <c r="AG15" s="567"/>
      <c r="AH15" s="567"/>
      <c r="AI15" s="567"/>
      <c r="AJ15" s="567"/>
      <c r="AK15" s="568"/>
      <c r="AL15" s="515"/>
    </row>
    <row r="16" spans="1:38" ht="16.5" customHeight="1">
      <c r="A16" s="552"/>
      <c r="B16" s="558"/>
      <c r="C16" s="559"/>
      <c r="D16" s="562"/>
      <c r="E16" s="562"/>
      <c r="F16" s="562"/>
      <c r="G16" s="562"/>
      <c r="H16" s="562"/>
      <c r="I16" s="562"/>
      <c r="J16" s="562"/>
      <c r="K16" s="562"/>
      <c r="L16" s="562"/>
      <c r="M16" s="562"/>
      <c r="N16" s="562"/>
      <c r="O16" s="562"/>
      <c r="P16" s="562"/>
      <c r="Q16" s="562"/>
      <c r="R16" s="562"/>
      <c r="S16" s="563"/>
      <c r="T16" s="11"/>
      <c r="U16" s="569"/>
      <c r="V16" s="569"/>
      <c r="W16" s="569"/>
      <c r="X16" s="569"/>
      <c r="Y16" s="569"/>
      <c r="Z16" s="569"/>
      <c r="AA16" s="569"/>
      <c r="AB16" s="569"/>
      <c r="AC16" s="569"/>
      <c r="AD16" s="569"/>
      <c r="AE16" s="569"/>
      <c r="AF16" s="569"/>
      <c r="AG16" s="569"/>
      <c r="AH16" s="569"/>
      <c r="AI16" s="569"/>
      <c r="AJ16" s="569"/>
      <c r="AK16" s="570"/>
      <c r="AL16" s="515"/>
    </row>
    <row r="17" spans="1:38" ht="12.75" customHeight="1">
      <c r="A17" s="552"/>
      <c r="B17" s="571" t="s">
        <v>79</v>
      </c>
      <c r="C17" s="572"/>
      <c r="D17" s="573" t="s">
        <v>73</v>
      </c>
      <c r="E17" s="573"/>
      <c r="F17" s="573"/>
      <c r="G17" s="573"/>
      <c r="H17" s="573"/>
      <c r="I17" s="573"/>
      <c r="J17" s="573"/>
      <c r="K17" s="573"/>
      <c r="L17" s="573"/>
      <c r="M17" s="573"/>
      <c r="N17" s="573"/>
      <c r="O17" s="573"/>
      <c r="P17" s="573"/>
      <c r="Q17" s="573"/>
      <c r="R17" s="573"/>
      <c r="S17" s="576"/>
      <c r="T17" s="11"/>
      <c r="U17" s="564"/>
      <c r="V17" s="564"/>
      <c r="W17" s="564"/>
      <c r="X17" s="564"/>
      <c r="Y17" s="564"/>
      <c r="Z17" s="564"/>
      <c r="AA17" s="564"/>
      <c r="AB17" s="564"/>
      <c r="AC17" s="564"/>
      <c r="AD17" s="564"/>
      <c r="AE17" s="564"/>
      <c r="AF17" s="564"/>
      <c r="AG17" s="564"/>
      <c r="AH17" s="564"/>
      <c r="AI17" s="564"/>
      <c r="AJ17" s="564"/>
      <c r="AK17" s="565"/>
      <c r="AL17" s="515"/>
    </row>
    <row r="18" spans="1:38" ht="18.75" customHeight="1" thickBot="1">
      <c r="A18" s="552"/>
      <c r="B18" s="577" t="s">
        <v>80</v>
      </c>
      <c r="C18" s="578"/>
      <c r="D18" s="578"/>
      <c r="E18" s="578"/>
      <c r="F18" s="578" t="str">
        <f>СПЕЦ!C8</f>
        <v>10716/291110/10032/11 действует с 08.10.2025 г.</v>
      </c>
      <c r="G18" s="578"/>
      <c r="H18" s="578"/>
      <c r="I18" s="578"/>
      <c r="J18" s="578"/>
      <c r="K18" s="578"/>
      <c r="L18" s="578"/>
      <c r="M18" s="578"/>
      <c r="N18" s="578"/>
      <c r="O18" s="578"/>
      <c r="P18" s="578"/>
      <c r="Q18" s="578"/>
      <c r="R18" s="578"/>
      <c r="S18" s="579"/>
      <c r="T18" s="10"/>
      <c r="U18" s="569"/>
      <c r="V18" s="569"/>
      <c r="W18" s="569"/>
      <c r="X18" s="569"/>
      <c r="Y18" s="569"/>
      <c r="Z18" s="569"/>
      <c r="AA18" s="569"/>
      <c r="AB18" s="569"/>
      <c r="AC18" s="569"/>
      <c r="AD18" s="569"/>
      <c r="AE18" s="569"/>
      <c r="AF18" s="569"/>
      <c r="AG18" s="569"/>
      <c r="AH18" s="569"/>
      <c r="AI18" s="569"/>
      <c r="AJ18" s="569"/>
      <c r="AK18" s="570"/>
      <c r="AL18" s="515"/>
    </row>
    <row r="19" spans="1:38" ht="12.75" customHeight="1">
      <c r="A19" s="552"/>
      <c r="B19" s="2">
        <v>4</v>
      </c>
      <c r="C19" s="494" t="s">
        <v>81</v>
      </c>
      <c r="D19" s="494"/>
      <c r="E19" s="494"/>
      <c r="F19" s="494"/>
      <c r="G19" s="494"/>
      <c r="H19" s="494"/>
      <c r="I19" s="494"/>
      <c r="J19" s="494"/>
      <c r="K19" s="494"/>
      <c r="L19" s="494"/>
      <c r="M19" s="494"/>
      <c r="N19" s="494"/>
      <c r="O19" s="494"/>
      <c r="P19" s="494"/>
      <c r="Q19" s="494"/>
      <c r="R19" s="494"/>
      <c r="S19" s="494"/>
      <c r="T19" s="12"/>
      <c r="U19" s="539"/>
      <c r="V19" s="539"/>
      <c r="W19" s="539"/>
      <c r="X19" s="539"/>
      <c r="Y19" s="539"/>
      <c r="Z19" s="539"/>
      <c r="AA19" s="539"/>
      <c r="AB19" s="539"/>
      <c r="AC19" s="539"/>
      <c r="AD19" s="539"/>
      <c r="AE19" s="539"/>
      <c r="AF19" s="539"/>
      <c r="AG19" s="539"/>
      <c r="AH19" s="539"/>
      <c r="AI19" s="539"/>
      <c r="AJ19" s="539"/>
      <c r="AK19" s="540"/>
      <c r="AL19" s="515"/>
    </row>
    <row r="20" spans="1:38" ht="17.25" customHeight="1" thickBot="1">
      <c r="A20" s="552"/>
      <c r="B20" s="571" t="s">
        <v>78</v>
      </c>
      <c r="C20" s="572"/>
      <c r="D20" s="573" t="s">
        <v>318</v>
      </c>
      <c r="E20" s="573"/>
      <c r="F20" s="573"/>
      <c r="G20" s="573"/>
      <c r="H20" s="573"/>
      <c r="I20" s="573"/>
      <c r="J20" s="573"/>
      <c r="K20" s="573"/>
      <c r="L20" s="573"/>
      <c r="M20" s="573"/>
      <c r="N20" s="573"/>
      <c r="O20" s="573"/>
      <c r="P20" s="573"/>
      <c r="Q20" s="573"/>
      <c r="R20" s="573"/>
      <c r="S20" s="573"/>
      <c r="T20" s="13"/>
      <c r="U20" s="574"/>
      <c r="V20" s="574"/>
      <c r="W20" s="574"/>
      <c r="X20" s="574"/>
      <c r="Y20" s="574"/>
      <c r="Z20" s="574"/>
      <c r="AA20" s="574"/>
      <c r="AB20" s="574"/>
      <c r="AC20" s="574"/>
      <c r="AD20" s="574"/>
      <c r="AE20" s="574"/>
      <c r="AF20" s="574"/>
      <c r="AG20" s="574"/>
      <c r="AH20" s="574"/>
      <c r="AI20" s="574"/>
      <c r="AJ20" s="574"/>
      <c r="AK20" s="575"/>
      <c r="AL20" s="515"/>
    </row>
    <row r="21" spans="1:38" ht="13.5" customHeight="1">
      <c r="A21" s="552"/>
      <c r="B21" s="571" t="s">
        <v>79</v>
      </c>
      <c r="C21" s="572"/>
      <c r="D21" s="573" t="s">
        <v>82</v>
      </c>
      <c r="E21" s="573"/>
      <c r="F21" s="573"/>
      <c r="G21" s="573"/>
      <c r="H21" s="573"/>
      <c r="I21" s="573"/>
      <c r="J21" s="573"/>
      <c r="K21" s="573"/>
      <c r="L21" s="573"/>
      <c r="M21" s="573"/>
      <c r="N21" s="573"/>
      <c r="O21" s="573"/>
      <c r="P21" s="573"/>
      <c r="Q21" s="573"/>
      <c r="R21" s="573"/>
      <c r="S21" s="573"/>
      <c r="T21" s="9" t="s">
        <v>83</v>
      </c>
      <c r="U21" s="494" t="s">
        <v>84</v>
      </c>
      <c r="V21" s="494"/>
      <c r="W21" s="494"/>
      <c r="X21" s="494"/>
      <c r="Y21" s="494"/>
      <c r="Z21" s="494"/>
      <c r="AA21" s="494"/>
      <c r="AB21" s="494"/>
      <c r="AC21" s="494"/>
      <c r="AD21" s="494"/>
      <c r="AE21" s="494"/>
      <c r="AF21" s="494"/>
      <c r="AG21" s="494"/>
      <c r="AH21" s="494"/>
      <c r="AI21" s="494"/>
      <c r="AJ21" s="494"/>
      <c r="AK21" s="553"/>
      <c r="AL21" s="515"/>
    </row>
    <row r="22" spans="1:38" ht="19.5" customHeight="1" thickBot="1">
      <c r="A22" s="552"/>
      <c r="B22" s="543" t="s">
        <v>85</v>
      </c>
      <c r="C22" s="544"/>
      <c r="D22" s="500">
        <f ca="1">СМАПП!D20</f>
        <v>46025</v>
      </c>
      <c r="E22" s="501"/>
      <c r="F22" s="501"/>
      <c r="G22" s="501"/>
      <c r="H22" s="501"/>
      <c r="I22" s="501"/>
      <c r="J22" s="501"/>
      <c r="K22" s="502"/>
      <c r="L22" s="502"/>
      <c r="M22" s="502"/>
      <c r="N22" s="502"/>
      <c r="O22" s="502"/>
      <c r="P22" s="502"/>
      <c r="Q22" s="502"/>
      <c r="R22" s="502"/>
      <c r="S22" s="503"/>
      <c r="T22" s="12"/>
      <c r="U22" s="539"/>
      <c r="V22" s="539"/>
      <c r="W22" s="539"/>
      <c r="X22" s="539"/>
      <c r="Y22" s="539"/>
      <c r="Z22" s="539"/>
      <c r="AA22" s="539"/>
      <c r="AB22" s="539"/>
      <c r="AC22" s="539"/>
      <c r="AD22" s="539"/>
      <c r="AE22" s="539"/>
      <c r="AF22" s="539"/>
      <c r="AG22" s="539"/>
      <c r="AH22" s="539"/>
      <c r="AI22" s="539"/>
      <c r="AJ22" s="539"/>
      <c r="AK22" s="540"/>
      <c r="AL22" s="515"/>
    </row>
    <row r="23" spans="1:38" ht="12.75" customHeight="1">
      <c r="A23" s="552"/>
      <c r="B23" s="2" t="s">
        <v>86</v>
      </c>
      <c r="C23" s="494" t="s">
        <v>87</v>
      </c>
      <c r="D23" s="494"/>
      <c r="E23" s="494"/>
      <c r="F23" s="494"/>
      <c r="G23" s="494"/>
      <c r="H23" s="494"/>
      <c r="I23" s="494"/>
      <c r="J23" s="494"/>
      <c r="K23" s="494"/>
      <c r="L23" s="494"/>
      <c r="M23" s="494"/>
      <c r="N23" s="494"/>
      <c r="O23" s="494"/>
      <c r="P23" s="494"/>
      <c r="Q23" s="494"/>
      <c r="R23" s="494"/>
      <c r="S23" s="494"/>
      <c r="T23" s="14"/>
      <c r="U23" s="584" t="s">
        <v>178</v>
      </c>
      <c r="V23" s="584"/>
      <c r="W23" s="584"/>
      <c r="X23" s="584"/>
      <c r="Y23" s="584"/>
      <c r="Z23" s="584"/>
      <c r="AA23" s="584"/>
      <c r="AB23" s="584"/>
      <c r="AC23" s="584"/>
      <c r="AD23" s="584"/>
      <c r="AE23" s="584"/>
      <c r="AF23" s="584"/>
      <c r="AG23" s="584"/>
      <c r="AH23" s="584"/>
      <c r="AI23" s="584"/>
      <c r="AJ23" s="584"/>
      <c r="AK23" s="585"/>
      <c r="AL23" s="515"/>
    </row>
    <row r="24" spans="1:38" ht="12.75" customHeight="1">
      <c r="A24" s="552"/>
      <c r="B24" s="588" t="str">
        <f ca="1">"Спецификация № "&amp;СПЕЦ!D1</f>
        <v>Спецификация № С-RA263-209</v>
      </c>
      <c r="C24" s="589"/>
      <c r="D24" s="589"/>
      <c r="E24" s="589"/>
      <c r="F24" s="589"/>
      <c r="G24" s="589"/>
      <c r="H24" s="589"/>
      <c r="I24" s="589"/>
      <c r="J24" s="589"/>
      <c r="K24" s="165" t="s">
        <v>173</v>
      </c>
      <c r="L24" s="590">
        <f ca="1">СПЕЦ!C26</f>
        <v>46025</v>
      </c>
      <c r="M24" s="590"/>
      <c r="N24" s="590"/>
      <c r="O24" s="590"/>
      <c r="P24" s="590"/>
      <c r="Q24" s="590"/>
      <c r="R24" s="590"/>
      <c r="S24" s="591"/>
      <c r="T24" s="12"/>
      <c r="U24" s="539" t="s">
        <v>180</v>
      </c>
      <c r="V24" s="539"/>
      <c r="W24" s="539"/>
      <c r="X24" s="539"/>
      <c r="Y24" s="539"/>
      <c r="Z24" s="539"/>
      <c r="AA24" s="539"/>
      <c r="AB24" s="539"/>
      <c r="AC24" s="539"/>
      <c r="AD24" s="539"/>
      <c r="AE24" s="539"/>
      <c r="AF24" s="539"/>
      <c r="AG24" s="539"/>
      <c r="AH24" s="539"/>
      <c r="AI24" s="539"/>
      <c r="AJ24" s="539"/>
      <c r="AK24" s="540"/>
      <c r="AL24" s="515"/>
    </row>
    <row r="25" spans="1:38" ht="12.75" customHeight="1">
      <c r="A25" s="552"/>
      <c r="B25" s="581" t="str">
        <f>"Инвойс № "&amp;СМАПП!D2</f>
        <v>Инвойс № CI-20102025-001</v>
      </c>
      <c r="C25" s="582"/>
      <c r="D25" s="582"/>
      <c r="E25" s="582"/>
      <c r="F25" s="582"/>
      <c r="G25" s="582"/>
      <c r="H25" s="582"/>
      <c r="I25" s="164" t="s">
        <v>173</v>
      </c>
      <c r="J25" s="583">
        <f>СМАПП!E2</f>
        <v>45951</v>
      </c>
      <c r="K25" s="582"/>
      <c r="L25" s="582"/>
      <c r="M25" s="582"/>
      <c r="N25" s="582"/>
      <c r="O25" s="582"/>
      <c r="P25" s="582"/>
      <c r="Q25" s="61"/>
      <c r="R25" s="61"/>
      <c r="S25" s="62"/>
      <c r="T25" s="12"/>
      <c r="U25" s="539"/>
      <c r="V25" s="539"/>
      <c r="W25" s="539"/>
      <c r="X25" s="539"/>
      <c r="Y25" s="539"/>
      <c r="Z25" s="539"/>
      <c r="AA25" s="539"/>
      <c r="AB25" s="539"/>
      <c r="AC25" s="539"/>
      <c r="AD25" s="539"/>
      <c r="AE25" s="539"/>
      <c r="AF25" s="539"/>
      <c r="AG25" s="539"/>
      <c r="AH25" s="539"/>
      <c r="AI25" s="539"/>
      <c r="AJ25" s="539"/>
      <c r="AK25" s="540"/>
      <c r="AL25" s="515"/>
    </row>
    <row r="26" spans="1:38" ht="12.75" customHeight="1" thickBot="1">
      <c r="A26" s="552"/>
      <c r="B26" s="15"/>
      <c r="C26" s="541"/>
      <c r="D26" s="541"/>
      <c r="E26" s="541"/>
      <c r="F26" s="541"/>
      <c r="G26" s="541"/>
      <c r="H26" s="541"/>
      <c r="I26" s="541"/>
      <c r="J26" s="541"/>
      <c r="K26" s="541"/>
      <c r="L26" s="541"/>
      <c r="M26" s="541"/>
      <c r="N26" s="541"/>
      <c r="O26" s="541"/>
      <c r="P26" s="541"/>
      <c r="Q26" s="541"/>
      <c r="R26" s="541"/>
      <c r="S26" s="541"/>
      <c r="T26" s="16"/>
      <c r="U26" s="541"/>
      <c r="V26" s="541"/>
      <c r="W26" s="541"/>
      <c r="X26" s="541"/>
      <c r="Y26" s="541"/>
      <c r="Z26" s="541"/>
      <c r="AA26" s="541"/>
      <c r="AB26" s="541"/>
      <c r="AC26" s="541"/>
      <c r="AD26" s="541"/>
      <c r="AE26" s="541"/>
      <c r="AF26" s="541"/>
      <c r="AG26" s="541"/>
      <c r="AH26" s="541"/>
      <c r="AI26" s="541"/>
      <c r="AJ26" s="541"/>
      <c r="AK26" s="542"/>
      <c r="AL26" s="515"/>
    </row>
    <row r="27" spans="1:38" ht="21" customHeight="1">
      <c r="A27" s="552"/>
      <c r="B27" s="17" t="s">
        <v>88</v>
      </c>
      <c r="C27" s="497" t="s">
        <v>89</v>
      </c>
      <c r="D27" s="497"/>
      <c r="E27" s="497"/>
      <c r="F27" s="497"/>
      <c r="G27" s="18" t="s">
        <v>90</v>
      </c>
      <c r="H27" s="497" t="s">
        <v>91</v>
      </c>
      <c r="I27" s="497"/>
      <c r="J27" s="497"/>
      <c r="K27" s="497"/>
      <c r="L27" s="497"/>
      <c r="M27" s="18" t="s">
        <v>92</v>
      </c>
      <c r="N27" s="497" t="s">
        <v>93</v>
      </c>
      <c r="O27" s="497"/>
      <c r="P27" s="497"/>
      <c r="Q27" s="497"/>
      <c r="R27" s="497"/>
      <c r="S27" s="18" t="s">
        <v>94</v>
      </c>
      <c r="T27" s="496" t="s">
        <v>95</v>
      </c>
      <c r="U27" s="496"/>
      <c r="V27" s="496"/>
      <c r="W27" s="496"/>
      <c r="X27" s="19" t="s">
        <v>96</v>
      </c>
      <c r="Y27" s="497" t="s">
        <v>97</v>
      </c>
      <c r="Z27" s="497"/>
      <c r="AA27" s="498"/>
      <c r="AB27" s="19" t="s">
        <v>98</v>
      </c>
      <c r="AC27" s="496" t="s">
        <v>99</v>
      </c>
      <c r="AD27" s="496"/>
      <c r="AE27" s="499"/>
      <c r="AF27" s="19" t="s">
        <v>100</v>
      </c>
      <c r="AG27" s="497" t="s">
        <v>101</v>
      </c>
      <c r="AH27" s="497"/>
      <c r="AI27" s="497"/>
      <c r="AJ27" s="497"/>
      <c r="AK27" s="498"/>
      <c r="AL27" s="515"/>
    </row>
    <row r="28" spans="1:38" ht="12.75" customHeight="1">
      <c r="A28" s="552"/>
      <c r="B28" s="586" t="s">
        <v>102</v>
      </c>
      <c r="C28" s="587"/>
      <c r="D28" s="587"/>
      <c r="E28" s="587"/>
      <c r="F28" s="587"/>
      <c r="G28" s="587"/>
      <c r="H28" s="587"/>
      <c r="I28" s="587"/>
      <c r="J28" s="587"/>
      <c r="K28" s="587"/>
      <c r="L28" s="587"/>
      <c r="M28" s="68"/>
      <c r="N28" s="580" t="str">
        <f ca="1">СПЕЦ!D1</f>
        <v>С-RA263-209</v>
      </c>
      <c r="O28" s="580"/>
      <c r="P28" s="580"/>
      <c r="Q28" s="514" t="s">
        <v>103</v>
      </c>
      <c r="R28" s="514"/>
      <c r="S28" s="545">
        <f ca="1">СПЕЦ!C26</f>
        <v>46025</v>
      </c>
      <c r="T28" s="546"/>
      <c r="U28" s="546"/>
      <c r="V28" s="547"/>
      <c r="W28" s="548"/>
      <c r="X28" s="507"/>
      <c r="Y28" s="508"/>
      <c r="Z28" s="508"/>
      <c r="AA28" s="509"/>
      <c r="AB28" s="549">
        <f>СПЕЦ!L23</f>
        <v>1173.5999999999999</v>
      </c>
      <c r="AC28" s="550"/>
      <c r="AD28" s="550"/>
      <c r="AE28" s="551"/>
      <c r="AF28" s="507"/>
      <c r="AG28" s="508"/>
      <c r="AH28" s="508"/>
      <c r="AI28" s="508"/>
      <c r="AJ28" s="508"/>
      <c r="AK28" s="509"/>
      <c r="AL28" s="515"/>
    </row>
    <row r="29" spans="1:38" ht="12.75" customHeight="1">
      <c r="A29" s="552"/>
      <c r="B29" s="510"/>
      <c r="C29" s="511"/>
      <c r="D29" s="511"/>
      <c r="E29" s="511"/>
      <c r="F29" s="511"/>
      <c r="G29" s="511"/>
      <c r="H29" s="511"/>
      <c r="I29" s="511"/>
      <c r="J29" s="511"/>
      <c r="K29" s="511"/>
      <c r="L29" s="511"/>
      <c r="M29" s="511"/>
      <c r="N29" s="511"/>
      <c r="O29" s="511"/>
      <c r="P29" s="511"/>
      <c r="Q29" s="511"/>
      <c r="R29" s="511"/>
      <c r="S29" s="511"/>
      <c r="T29" s="511"/>
      <c r="U29" s="511"/>
      <c r="V29" s="511"/>
      <c r="W29" s="512"/>
      <c r="X29" s="507"/>
      <c r="Y29" s="508"/>
      <c r="Z29" s="508"/>
      <c r="AA29" s="509"/>
      <c r="AB29" s="507"/>
      <c r="AC29" s="508"/>
      <c r="AD29" s="508"/>
      <c r="AE29" s="509"/>
      <c r="AF29" s="507"/>
      <c r="AG29" s="508"/>
      <c r="AH29" s="508"/>
      <c r="AI29" s="508"/>
      <c r="AJ29" s="508"/>
      <c r="AK29" s="509"/>
      <c r="AL29" s="515"/>
    </row>
    <row r="30" spans="1:38" ht="12.75" customHeight="1">
      <c r="A30" s="552"/>
      <c r="B30" s="69"/>
      <c r="C30" s="68"/>
      <c r="D30" s="68"/>
      <c r="E30" s="68"/>
      <c r="F30" s="68"/>
      <c r="G30" s="68"/>
      <c r="H30" s="513">
        <f>СПЕЦ!F23</f>
        <v>4</v>
      </c>
      <c r="I30" s="514"/>
      <c r="J30" s="514"/>
      <c r="K30" s="514"/>
      <c r="L30" s="70"/>
      <c r="M30" s="68"/>
      <c r="N30" s="167" t="s">
        <v>378</v>
      </c>
      <c r="O30" s="68"/>
      <c r="P30" s="68"/>
      <c r="Q30" s="68"/>
      <c r="R30" s="68"/>
      <c r="S30" s="68"/>
      <c r="T30" s="68"/>
      <c r="U30" s="68"/>
      <c r="V30" s="68"/>
      <c r="W30" s="71"/>
      <c r="X30" s="507"/>
      <c r="Y30" s="508"/>
      <c r="Z30" s="508"/>
      <c r="AA30" s="509"/>
      <c r="AB30" s="507"/>
      <c r="AC30" s="508"/>
      <c r="AD30" s="508"/>
      <c r="AE30" s="509"/>
      <c r="AF30" s="507"/>
      <c r="AG30" s="508"/>
      <c r="AH30" s="508"/>
      <c r="AI30" s="508"/>
      <c r="AJ30" s="508"/>
      <c r="AK30" s="509"/>
      <c r="AL30" s="515"/>
    </row>
    <row r="31" spans="1:38" ht="12.75" customHeight="1">
      <c r="A31" s="552"/>
      <c r="B31" s="69"/>
      <c r="C31" s="68"/>
      <c r="D31" s="68"/>
      <c r="E31" s="68"/>
      <c r="F31" s="68"/>
      <c r="G31" s="68"/>
      <c r="H31" s="72"/>
      <c r="I31" s="72"/>
      <c r="J31" s="72"/>
      <c r="K31" s="72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71"/>
      <c r="X31" s="504"/>
      <c r="Y31" s="505"/>
      <c r="Z31" s="505"/>
      <c r="AA31" s="506"/>
      <c r="AB31" s="504"/>
      <c r="AC31" s="505"/>
      <c r="AD31" s="505"/>
      <c r="AE31" s="506"/>
      <c r="AF31" s="504"/>
      <c r="AG31" s="505"/>
      <c r="AH31" s="505"/>
      <c r="AI31" s="505"/>
      <c r="AJ31" s="505"/>
      <c r="AK31" s="506"/>
      <c r="AL31" s="515"/>
    </row>
    <row r="32" spans="1:38" ht="12.75" customHeight="1">
      <c r="A32" s="552"/>
      <c r="B32" s="69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71"/>
      <c r="X32" s="507"/>
      <c r="Y32" s="508"/>
      <c r="Z32" s="508"/>
      <c r="AA32" s="509"/>
      <c r="AB32" s="507"/>
      <c r="AC32" s="508"/>
      <c r="AD32" s="508"/>
      <c r="AE32" s="509"/>
      <c r="AF32" s="507"/>
      <c r="AG32" s="508"/>
      <c r="AH32" s="508"/>
      <c r="AI32" s="508"/>
      <c r="AJ32" s="508"/>
      <c r="AK32" s="509"/>
      <c r="AL32" s="515"/>
    </row>
    <row r="33" spans="1:38" ht="15.75">
      <c r="A33" s="552"/>
      <c r="B33" s="21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68"/>
      <c r="O33" s="20"/>
      <c r="P33" s="20"/>
      <c r="Q33" s="20"/>
      <c r="R33" s="20"/>
      <c r="S33" s="20"/>
      <c r="T33" s="20"/>
      <c r="U33" s="20"/>
      <c r="V33" s="20"/>
      <c r="W33" s="22"/>
      <c r="X33" s="507"/>
      <c r="Y33" s="508"/>
      <c r="Z33" s="508"/>
      <c r="AA33" s="509"/>
      <c r="AB33" s="507"/>
      <c r="AC33" s="508"/>
      <c r="AD33" s="508"/>
      <c r="AE33" s="509"/>
      <c r="AF33" s="507"/>
      <c r="AG33" s="508"/>
      <c r="AH33" s="508"/>
      <c r="AI33" s="508"/>
      <c r="AJ33" s="508"/>
      <c r="AK33" s="509"/>
      <c r="AL33" s="515"/>
    </row>
    <row r="34" spans="1:38">
      <c r="A34" s="552"/>
      <c r="B34" s="21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O34" s="20"/>
      <c r="P34" s="20"/>
      <c r="Q34" s="20"/>
      <c r="R34" s="20"/>
      <c r="S34" s="20"/>
      <c r="T34" s="20"/>
      <c r="U34" s="20"/>
      <c r="V34" s="20"/>
      <c r="W34" s="22"/>
      <c r="X34" s="507"/>
      <c r="Y34" s="508"/>
      <c r="Z34" s="508"/>
      <c r="AA34" s="509"/>
      <c r="AB34" s="507"/>
      <c r="AC34" s="508"/>
      <c r="AD34" s="508"/>
      <c r="AE34" s="509"/>
      <c r="AF34" s="507"/>
      <c r="AG34" s="508"/>
      <c r="AH34" s="508"/>
      <c r="AI34" s="508"/>
      <c r="AJ34" s="508"/>
      <c r="AK34" s="509"/>
      <c r="AL34" s="515"/>
    </row>
    <row r="35" spans="1:38" ht="13.5" thickBot="1">
      <c r="A35" s="552"/>
      <c r="B35" s="23" t="s">
        <v>104</v>
      </c>
      <c r="C35" s="24"/>
      <c r="D35" s="24"/>
      <c r="E35" s="24"/>
      <c r="F35" s="24"/>
      <c r="G35" s="24" t="s">
        <v>105</v>
      </c>
      <c r="H35" s="24"/>
      <c r="I35" s="24"/>
      <c r="J35" s="24"/>
      <c r="K35" s="24"/>
      <c r="L35" s="24" t="s">
        <v>106</v>
      </c>
      <c r="M35" s="24"/>
      <c r="N35" s="24"/>
      <c r="O35" s="24"/>
      <c r="P35" s="24"/>
      <c r="Q35" s="24"/>
      <c r="R35" s="24" t="s">
        <v>107</v>
      </c>
      <c r="S35" s="24"/>
      <c r="T35" s="25"/>
      <c r="U35" s="25"/>
      <c r="V35" s="25"/>
      <c r="W35" s="25"/>
      <c r="X35" s="592"/>
      <c r="Y35" s="593"/>
      <c r="Z35" s="593"/>
      <c r="AA35" s="594"/>
      <c r="AB35" s="592"/>
      <c r="AC35" s="593"/>
      <c r="AD35" s="593"/>
      <c r="AE35" s="594"/>
      <c r="AF35" s="592"/>
      <c r="AG35" s="593"/>
      <c r="AH35" s="593"/>
      <c r="AI35" s="593"/>
      <c r="AJ35" s="593"/>
      <c r="AK35" s="594"/>
      <c r="AL35" s="515"/>
    </row>
    <row r="36" spans="1:38" ht="20.25" customHeight="1" thickTop="1">
      <c r="A36" s="552"/>
      <c r="B36" s="26" t="s">
        <v>108</v>
      </c>
      <c r="C36" s="595" t="s">
        <v>109</v>
      </c>
      <c r="D36" s="595"/>
      <c r="E36" s="595"/>
      <c r="F36" s="595"/>
      <c r="G36" s="595"/>
      <c r="H36" s="595"/>
      <c r="I36" s="595"/>
      <c r="J36" s="595"/>
      <c r="K36" s="595"/>
      <c r="L36" s="595"/>
      <c r="M36" s="595"/>
      <c r="N36" s="595"/>
      <c r="O36" s="595"/>
      <c r="P36" s="595"/>
      <c r="Q36" s="595"/>
      <c r="R36" s="595"/>
      <c r="S36" s="595"/>
      <c r="T36" s="27" t="s">
        <v>110</v>
      </c>
      <c r="U36" s="596" t="s">
        <v>111</v>
      </c>
      <c r="V36" s="596"/>
      <c r="W36" s="597"/>
      <c r="X36" s="598" t="s">
        <v>112</v>
      </c>
      <c r="Y36" s="599"/>
      <c r="Z36" s="599"/>
      <c r="AA36" s="599"/>
      <c r="AB36" s="599" t="s">
        <v>113</v>
      </c>
      <c r="AC36" s="599"/>
      <c r="AD36" s="599"/>
      <c r="AE36" s="599"/>
      <c r="AF36" s="599" t="s">
        <v>114</v>
      </c>
      <c r="AG36" s="599"/>
      <c r="AH36" s="599"/>
      <c r="AI36" s="599"/>
      <c r="AJ36" s="599"/>
      <c r="AK36" s="600"/>
      <c r="AL36" s="515"/>
    </row>
    <row r="37" spans="1:38">
      <c r="A37" s="552" t="s">
        <v>115</v>
      </c>
      <c r="B37" s="601" t="str">
        <f>СПЕЦ!C7</f>
        <v>СВХ ООО "НАБАЗ" , ПРИМОРСКИЙ КРАЙ, Г. УССУРИЙСК,УЛ. ЛИМИЧЕВСКАЯ,21-А</v>
      </c>
      <c r="C37" s="601"/>
      <c r="D37" s="601"/>
      <c r="E37" s="601"/>
      <c r="F37" s="601"/>
      <c r="G37" s="601"/>
      <c r="H37" s="601"/>
      <c r="I37" s="601"/>
      <c r="J37" s="601"/>
      <c r="K37" s="601"/>
      <c r="L37" s="601"/>
      <c r="M37" s="601"/>
      <c r="N37" s="601"/>
      <c r="O37" s="601"/>
      <c r="P37" s="601"/>
      <c r="Q37" s="601"/>
      <c r="R37" s="601"/>
      <c r="S37" s="602"/>
      <c r="T37" s="603" t="s">
        <v>116</v>
      </c>
      <c r="U37" s="604"/>
      <c r="V37" s="604"/>
      <c r="W37" s="604"/>
      <c r="X37" s="508"/>
      <c r="Y37" s="508"/>
      <c r="Z37" s="508"/>
      <c r="AA37" s="28"/>
      <c r="AB37" s="605"/>
      <c r="AC37" s="606"/>
      <c r="AD37" s="607"/>
      <c r="AE37" s="608"/>
      <c r="AF37" s="508"/>
      <c r="AG37" s="508"/>
      <c r="AH37" s="508"/>
      <c r="AI37" s="508"/>
      <c r="AJ37" s="508"/>
      <c r="AK37" s="628"/>
      <c r="AL37" s="515"/>
    </row>
    <row r="38" spans="1:38">
      <c r="A38" s="552"/>
      <c r="B38" s="629" t="str">
        <f>СПЕЦ!C8</f>
        <v>10716/291110/10032/11 действует с 08.10.2025 г.</v>
      </c>
      <c r="C38" s="630"/>
      <c r="D38" s="630"/>
      <c r="E38" s="630"/>
      <c r="F38" s="630"/>
      <c r="G38" s="630"/>
      <c r="H38" s="630"/>
      <c r="I38" s="630"/>
      <c r="J38" s="630"/>
      <c r="K38" s="630"/>
      <c r="L38" s="630"/>
      <c r="M38" s="630"/>
      <c r="N38" s="630"/>
      <c r="O38" s="630"/>
      <c r="P38" s="630"/>
      <c r="Q38" s="630"/>
      <c r="R38" s="630"/>
      <c r="S38" s="631"/>
      <c r="T38" s="612" t="s">
        <v>117</v>
      </c>
      <c r="U38" s="613"/>
      <c r="V38" s="613"/>
      <c r="W38" s="613"/>
      <c r="X38" s="508"/>
      <c r="Y38" s="508"/>
      <c r="Z38" s="508"/>
      <c r="AA38" s="28"/>
      <c r="AB38" s="508"/>
      <c r="AC38" s="614"/>
      <c r="AD38" s="632"/>
      <c r="AE38" s="564"/>
      <c r="AF38" s="508"/>
      <c r="AG38" s="508"/>
      <c r="AH38" s="508"/>
      <c r="AI38" s="508"/>
      <c r="AJ38" s="508"/>
      <c r="AK38" s="628"/>
      <c r="AL38" s="515"/>
    </row>
    <row r="39" spans="1:38">
      <c r="A39" s="552"/>
      <c r="B39" s="609" t="str">
        <f>СМАПП!D18</f>
        <v>т/п  Уссурийский</v>
      </c>
      <c r="C39" s="610"/>
      <c r="D39" s="610"/>
      <c r="E39" s="610"/>
      <c r="F39" s="610"/>
      <c r="G39" s="610"/>
      <c r="H39" s="610"/>
      <c r="I39" s="610"/>
      <c r="J39" s="610"/>
      <c r="K39" s="610"/>
      <c r="L39" s="610"/>
      <c r="M39" s="610"/>
      <c r="N39" s="610"/>
      <c r="O39" s="610"/>
      <c r="P39" s="610"/>
      <c r="Q39" s="610"/>
      <c r="R39" s="610"/>
      <c r="S39" s="611"/>
      <c r="T39" s="612" t="s">
        <v>118</v>
      </c>
      <c r="U39" s="613"/>
      <c r="V39" s="613"/>
      <c r="W39" s="613"/>
      <c r="X39" s="508"/>
      <c r="Y39" s="508"/>
      <c r="Z39" s="508"/>
      <c r="AA39" s="28"/>
      <c r="AB39" s="508"/>
      <c r="AC39" s="614"/>
      <c r="AD39" s="607"/>
      <c r="AE39" s="569"/>
      <c r="AF39" s="508"/>
      <c r="AG39" s="508"/>
      <c r="AH39" s="508"/>
      <c r="AI39" s="508"/>
      <c r="AJ39" s="508"/>
      <c r="AK39" s="628"/>
      <c r="AL39" s="515"/>
    </row>
    <row r="40" spans="1:38">
      <c r="A40" s="552"/>
      <c r="B40" s="633">
        <f>СМАПП!E18</f>
        <v>10716050</v>
      </c>
      <c r="C40" s="633"/>
      <c r="D40" s="633"/>
      <c r="E40" s="633"/>
      <c r="F40" s="633"/>
      <c r="G40" s="633"/>
      <c r="H40" s="633"/>
      <c r="I40" s="633"/>
      <c r="J40" s="633"/>
      <c r="K40" s="633"/>
      <c r="L40" s="633"/>
      <c r="M40" s="633"/>
      <c r="N40" s="633"/>
      <c r="O40" s="633"/>
      <c r="P40" s="633"/>
      <c r="Q40" s="633"/>
      <c r="R40" s="633"/>
      <c r="S40" s="634"/>
      <c r="T40" s="612" t="s">
        <v>119</v>
      </c>
      <c r="U40" s="613"/>
      <c r="V40" s="613"/>
      <c r="W40" s="613"/>
      <c r="X40" s="508"/>
      <c r="Y40" s="508"/>
      <c r="Z40" s="508"/>
      <c r="AA40" s="28"/>
      <c r="AB40" s="508"/>
      <c r="AC40" s="614"/>
      <c r="AD40" s="607"/>
      <c r="AE40" s="569"/>
      <c r="AF40" s="508"/>
      <c r="AG40" s="508"/>
      <c r="AH40" s="508"/>
      <c r="AI40" s="508"/>
      <c r="AJ40" s="508"/>
      <c r="AK40" s="628"/>
      <c r="AL40" s="515"/>
    </row>
    <row r="41" spans="1:38" ht="15.75">
      <c r="A41" s="552"/>
      <c r="B41" s="637" t="s">
        <v>120</v>
      </c>
      <c r="C41" s="638"/>
      <c r="D41" s="638"/>
      <c r="E41" s="638"/>
      <c r="F41" s="638"/>
      <c r="G41" s="638"/>
      <c r="H41" s="638"/>
      <c r="I41" s="638"/>
      <c r="J41" s="639">
        <f>СПЕЦ!N23</f>
        <v>341220</v>
      </c>
      <c r="K41" s="639"/>
      <c r="L41" s="639"/>
      <c r="M41" s="639"/>
      <c r="N41" s="639"/>
      <c r="O41" s="514" t="str">
        <f>ИНВОЙС!E40</f>
        <v>CNY(кит.юаней)</v>
      </c>
      <c r="P41" s="514"/>
      <c r="Q41" s="514"/>
      <c r="R41" s="514"/>
      <c r="S41" s="640"/>
      <c r="T41" s="612" t="s">
        <v>121</v>
      </c>
      <c r="U41" s="613"/>
      <c r="V41" s="613"/>
      <c r="W41" s="613"/>
      <c r="X41" s="508"/>
      <c r="Y41" s="508"/>
      <c r="Z41" s="508"/>
      <c r="AA41" s="28"/>
      <c r="AB41" s="508"/>
      <c r="AC41" s="614"/>
      <c r="AD41" s="607"/>
      <c r="AE41" s="569"/>
      <c r="AF41" s="508"/>
      <c r="AG41" s="508"/>
      <c r="AH41" s="508"/>
      <c r="AI41" s="508"/>
      <c r="AJ41" s="508"/>
      <c r="AK41" s="628"/>
      <c r="AL41" s="515"/>
    </row>
    <row r="42" spans="1:38" ht="18" customHeight="1">
      <c r="A42" s="552"/>
      <c r="B42" s="635" t="s">
        <v>122</v>
      </c>
      <c r="C42" s="636"/>
      <c r="D42" s="636"/>
      <c r="E42" s="636"/>
      <c r="F42" s="636"/>
      <c r="G42" s="636"/>
      <c r="H42" s="636"/>
      <c r="I42" s="636"/>
      <c r="J42" s="636"/>
      <c r="K42" s="636"/>
      <c r="L42" s="636"/>
      <c r="M42" s="636"/>
      <c r="N42" s="636"/>
      <c r="O42" s="636"/>
      <c r="P42" s="636"/>
      <c r="Q42" s="636"/>
      <c r="R42" s="636"/>
      <c r="S42" s="636"/>
      <c r="T42" s="612" t="s">
        <v>123</v>
      </c>
      <c r="U42" s="613"/>
      <c r="V42" s="613"/>
      <c r="W42" s="613"/>
      <c r="X42" s="508"/>
      <c r="Y42" s="508"/>
      <c r="Z42" s="508"/>
      <c r="AA42" s="28"/>
      <c r="AB42" s="508"/>
      <c r="AC42" s="614"/>
      <c r="AD42" s="632"/>
      <c r="AE42" s="564"/>
      <c r="AF42" s="508"/>
      <c r="AG42" s="508"/>
      <c r="AH42" s="508"/>
      <c r="AI42" s="508"/>
      <c r="AJ42" s="508"/>
      <c r="AK42" s="628"/>
      <c r="AL42" s="515"/>
    </row>
    <row r="43" spans="1:38" ht="13.5" thickBot="1">
      <c r="A43" s="552"/>
      <c r="B43" s="593"/>
      <c r="C43" s="593"/>
      <c r="D43" s="593"/>
      <c r="E43" s="593"/>
      <c r="F43" s="593"/>
      <c r="G43" s="593"/>
      <c r="H43" s="593"/>
      <c r="I43" s="593"/>
      <c r="J43" s="593"/>
      <c r="K43" s="593"/>
      <c r="L43" s="593"/>
      <c r="M43" s="593"/>
      <c r="N43" s="593"/>
      <c r="O43" s="593"/>
      <c r="P43" s="593"/>
      <c r="Q43" s="593"/>
      <c r="R43" s="593"/>
      <c r="S43" s="653"/>
      <c r="T43" s="654" t="s">
        <v>124</v>
      </c>
      <c r="U43" s="655"/>
      <c r="V43" s="655"/>
      <c r="W43" s="655"/>
      <c r="X43" s="641"/>
      <c r="Y43" s="641"/>
      <c r="Z43" s="641"/>
      <c r="AA43" s="29"/>
      <c r="AB43" s="641"/>
      <c r="AC43" s="656"/>
      <c r="AD43" s="657"/>
      <c r="AE43" s="658"/>
      <c r="AF43" s="641"/>
      <c r="AG43" s="641"/>
      <c r="AH43" s="641"/>
      <c r="AI43" s="641"/>
      <c r="AJ43" s="641"/>
      <c r="AK43" s="642"/>
      <c r="AL43" s="515"/>
    </row>
    <row r="44" spans="1:38" ht="14.25" thickTop="1" thickBot="1">
      <c r="A44" s="552"/>
      <c r="B44" s="30" t="s">
        <v>125</v>
      </c>
      <c r="C44" s="643" t="s">
        <v>126</v>
      </c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3"/>
      <c r="P44" s="643"/>
      <c r="Q44" s="643"/>
      <c r="R44" s="643"/>
      <c r="S44" s="643"/>
      <c r="T44" s="644"/>
      <c r="U44" s="644"/>
      <c r="V44" s="644"/>
      <c r="W44" s="644"/>
      <c r="X44" s="644"/>
      <c r="Y44" s="644"/>
      <c r="Z44" s="644"/>
      <c r="AA44" s="644"/>
      <c r="AB44" s="644"/>
      <c r="AC44" s="644"/>
      <c r="AD44" s="644"/>
      <c r="AE44" s="644"/>
      <c r="AF44" s="644"/>
      <c r="AG44" s="644"/>
      <c r="AH44" s="644"/>
      <c r="AI44" s="644"/>
      <c r="AJ44" s="644"/>
      <c r="AK44" s="645"/>
      <c r="AL44" s="515"/>
    </row>
    <row r="45" spans="1:38">
      <c r="A45" s="552"/>
      <c r="B45" s="31" t="s">
        <v>127</v>
      </c>
      <c r="C45" s="619" t="s">
        <v>128</v>
      </c>
      <c r="D45" s="619"/>
      <c r="E45" s="619"/>
      <c r="F45" s="619"/>
      <c r="G45" s="619"/>
      <c r="H45" s="619"/>
      <c r="I45" s="619"/>
      <c r="J45" s="619"/>
      <c r="K45" s="619"/>
      <c r="L45" s="619"/>
      <c r="M45" s="619"/>
      <c r="N45" s="619"/>
      <c r="O45" s="619"/>
      <c r="P45" s="619"/>
      <c r="Q45" s="619"/>
      <c r="R45" s="619"/>
      <c r="S45" s="646"/>
      <c r="T45" s="31" t="s">
        <v>129</v>
      </c>
      <c r="U45" s="647" t="s">
        <v>130</v>
      </c>
      <c r="V45" s="647"/>
      <c r="W45" s="647"/>
      <c r="X45" s="647"/>
      <c r="Y45" s="647"/>
      <c r="Z45" s="647"/>
      <c r="AA45" s="647"/>
      <c r="AB45" s="647"/>
      <c r="AC45" s="647"/>
      <c r="AD45" s="647"/>
      <c r="AE45" s="647"/>
      <c r="AF45" s="647"/>
      <c r="AG45" s="647"/>
      <c r="AH45" s="647"/>
      <c r="AI45" s="647"/>
      <c r="AJ45" s="647"/>
      <c r="AK45" s="648"/>
      <c r="AL45" s="515"/>
    </row>
    <row r="46" spans="1:38">
      <c r="A46" s="552"/>
      <c r="B46" s="649" t="s">
        <v>131</v>
      </c>
      <c r="C46" s="650"/>
      <c r="D46" s="650"/>
      <c r="E46" s="569"/>
      <c r="F46" s="569"/>
      <c r="G46" s="569"/>
      <c r="H46" s="569"/>
      <c r="I46" s="569"/>
      <c r="J46" s="569"/>
      <c r="K46" s="569"/>
      <c r="L46" s="569"/>
      <c r="M46" s="569"/>
      <c r="N46" s="569"/>
      <c r="O46" s="569"/>
      <c r="P46" s="569"/>
      <c r="Q46" s="569"/>
      <c r="R46" s="569"/>
      <c r="S46" s="651"/>
      <c r="T46" s="32"/>
      <c r="U46" s="564"/>
      <c r="V46" s="564"/>
      <c r="W46" s="564"/>
      <c r="X46" s="564"/>
      <c r="Y46" s="564"/>
      <c r="Z46" s="564"/>
      <c r="AA46" s="564"/>
      <c r="AB46" s="564"/>
      <c r="AC46" s="564"/>
      <c r="AD46" s="564"/>
      <c r="AE46" s="564"/>
      <c r="AF46" s="564"/>
      <c r="AG46" s="564"/>
      <c r="AH46" s="564"/>
      <c r="AI46" s="564"/>
      <c r="AJ46" s="564"/>
      <c r="AK46" s="652"/>
      <c r="AL46" s="515"/>
    </row>
    <row r="47" spans="1:38" ht="13.5" thickBot="1">
      <c r="A47" s="552"/>
      <c r="B47" s="615" t="s">
        <v>132</v>
      </c>
      <c r="C47" s="616"/>
      <c r="D47" s="616"/>
      <c r="E47" s="532"/>
      <c r="F47" s="532"/>
      <c r="G47" s="532"/>
      <c r="H47" s="532"/>
      <c r="I47" s="532"/>
      <c r="J47" s="532"/>
      <c r="K47" s="532"/>
      <c r="L47" s="532"/>
      <c r="M47" s="532"/>
      <c r="N47" s="532"/>
      <c r="O47" s="532"/>
      <c r="P47" s="532"/>
      <c r="Q47" s="532"/>
      <c r="R47" s="532"/>
      <c r="S47" s="533"/>
      <c r="T47" s="33"/>
      <c r="U47" s="617"/>
      <c r="V47" s="617"/>
      <c r="W47" s="617"/>
      <c r="X47" s="617"/>
      <c r="Y47" s="617"/>
      <c r="Z47" s="617"/>
      <c r="AA47" s="617"/>
      <c r="AB47" s="617"/>
      <c r="AC47" s="617"/>
      <c r="AD47" s="617"/>
      <c r="AE47" s="617"/>
      <c r="AF47" s="617"/>
      <c r="AG47" s="617"/>
      <c r="AH47" s="617"/>
      <c r="AI47" s="617"/>
      <c r="AJ47" s="617"/>
      <c r="AK47" s="618"/>
      <c r="AL47" s="34"/>
    </row>
    <row r="48" spans="1:38" ht="16.5" thickBot="1">
      <c r="A48" s="552"/>
      <c r="B48" s="35" t="s">
        <v>133</v>
      </c>
      <c r="C48" s="619" t="s">
        <v>134</v>
      </c>
      <c r="D48" s="619"/>
      <c r="E48" s="619"/>
      <c r="F48" s="619"/>
      <c r="G48" s="620" t="str">
        <f>D20</f>
        <v>Суйфэньхэ</v>
      </c>
      <c r="H48" s="620"/>
      <c r="I48" s="620"/>
      <c r="J48" s="620"/>
      <c r="K48" s="620"/>
      <c r="L48" s="619" t="s">
        <v>85</v>
      </c>
      <c r="M48" s="619"/>
      <c r="N48" s="472">
        <f ca="1">СМАПП!D20</f>
        <v>46025</v>
      </c>
      <c r="O48" s="473"/>
      <c r="P48" s="473"/>
      <c r="Q48" s="474"/>
      <c r="R48" s="474"/>
      <c r="S48" s="36" t="s">
        <v>129</v>
      </c>
      <c r="T48" s="621"/>
      <c r="U48" s="621"/>
      <c r="V48" s="621"/>
      <c r="W48" s="621"/>
      <c r="X48" s="621"/>
      <c r="Y48" s="622"/>
      <c r="Z48" s="37" t="s">
        <v>135</v>
      </c>
      <c r="AA48" s="621" t="s">
        <v>136</v>
      </c>
      <c r="AB48" s="621"/>
      <c r="AC48" s="621"/>
      <c r="AD48" s="621"/>
      <c r="AE48" s="621"/>
      <c r="AF48" s="621"/>
      <c r="AG48" s="621"/>
      <c r="AH48" s="621"/>
      <c r="AI48" s="621"/>
      <c r="AJ48" s="621"/>
      <c r="AK48" s="622"/>
    </row>
    <row r="49" spans="1:37" s="41" customFormat="1" ht="12.75" customHeight="1" thickTop="1">
      <c r="A49" s="552"/>
      <c r="B49" s="38" t="s">
        <v>137</v>
      </c>
      <c r="C49" s="666" t="s">
        <v>138</v>
      </c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39" t="s">
        <v>139</v>
      </c>
      <c r="O49" s="667" t="s">
        <v>140</v>
      </c>
      <c r="P49" s="667"/>
      <c r="Q49" s="667"/>
      <c r="R49" s="667"/>
      <c r="S49" s="667"/>
      <c r="T49" s="667"/>
      <c r="U49" s="667"/>
      <c r="V49" s="667"/>
      <c r="W49" s="667"/>
      <c r="X49" s="667"/>
      <c r="Y49" s="668"/>
      <c r="Z49" s="40"/>
      <c r="AA49" s="623"/>
      <c r="AB49" s="623"/>
      <c r="AC49" s="623"/>
      <c r="AD49" s="623"/>
      <c r="AE49" s="623"/>
      <c r="AF49" s="623"/>
      <c r="AG49" s="623"/>
      <c r="AH49" s="623"/>
      <c r="AI49" s="623"/>
      <c r="AJ49" s="623"/>
      <c r="AK49" s="624"/>
    </row>
    <row r="50" spans="1:37" s="41" customFormat="1" ht="30" customHeight="1">
      <c r="A50" s="552"/>
      <c r="B50" s="42"/>
      <c r="C50" s="625"/>
      <c r="D50" s="625"/>
      <c r="E50" s="625"/>
      <c r="F50" s="625"/>
      <c r="G50" s="625"/>
      <c r="H50" s="625"/>
      <c r="I50" s="625"/>
      <c r="J50" s="625"/>
      <c r="K50" s="625"/>
      <c r="L50" s="625"/>
      <c r="M50" s="625"/>
      <c r="N50" s="43"/>
      <c r="O50" s="669" t="s">
        <v>141</v>
      </c>
      <c r="P50" s="669"/>
      <c r="Q50" s="669"/>
      <c r="R50" s="517" t="str">
        <f>СМАПП!D14</f>
        <v>Шевченко Сергей Дмитриевич</v>
      </c>
      <c r="S50" s="674"/>
      <c r="T50" s="674"/>
      <c r="U50" s="674"/>
      <c r="V50" s="674"/>
      <c r="W50" s="674"/>
      <c r="X50" s="674"/>
      <c r="Y50" s="675"/>
      <c r="Z50" s="40"/>
      <c r="AA50" s="670" t="s">
        <v>142</v>
      </c>
      <c r="AB50" s="670"/>
      <c r="AC50" s="670"/>
      <c r="AD50" s="670"/>
      <c r="AE50" s="670"/>
      <c r="AF50" s="670"/>
      <c r="AG50" s="670"/>
      <c r="AH50" s="670"/>
      <c r="AI50" s="670"/>
      <c r="AJ50" s="670"/>
      <c r="AK50" s="671"/>
    </row>
    <row r="51" spans="1:37" s="41" customFormat="1" ht="18" customHeight="1">
      <c r="A51" s="552"/>
      <c r="B51" s="42"/>
      <c r="C51" s="625" t="s">
        <v>143</v>
      </c>
      <c r="D51" s="625"/>
      <c r="E51" s="625"/>
      <c r="F51" s="625"/>
      <c r="G51" s="625"/>
      <c r="H51" s="625"/>
      <c r="I51" s="625"/>
      <c r="J51" s="625"/>
      <c r="K51" s="625"/>
      <c r="L51" s="625"/>
      <c r="M51" s="625"/>
      <c r="N51" s="43"/>
      <c r="O51" s="669" t="s">
        <v>144</v>
      </c>
      <c r="P51" s="669"/>
      <c r="Q51" s="669"/>
      <c r="R51" s="676" t="str">
        <f>СМАПП!D15</f>
        <v>77-2950046</v>
      </c>
      <c r="S51" s="677"/>
      <c r="T51" s="677"/>
      <c r="U51" s="677"/>
      <c r="V51" s="677"/>
      <c r="W51" s="677"/>
      <c r="X51" s="677"/>
      <c r="Y51" s="678"/>
      <c r="Z51" s="40"/>
      <c r="AA51" s="672" t="s">
        <v>145</v>
      </c>
      <c r="AB51" s="672"/>
      <c r="AC51" s="672"/>
      <c r="AD51" s="672"/>
      <c r="AE51" s="672"/>
      <c r="AF51" s="672"/>
      <c r="AG51" s="672"/>
      <c r="AH51" s="672"/>
      <c r="AI51" s="672"/>
      <c r="AJ51" s="672"/>
      <c r="AK51" s="673"/>
    </row>
    <row r="52" spans="1:37" s="41" customFormat="1" ht="12.75" customHeight="1">
      <c r="A52" s="552"/>
      <c r="B52" s="42"/>
      <c r="C52" s="625"/>
      <c r="D52" s="625"/>
      <c r="E52" s="625"/>
      <c r="F52" s="625"/>
      <c r="G52" s="625"/>
      <c r="H52" s="625"/>
      <c r="I52" s="625"/>
      <c r="J52" s="625"/>
      <c r="K52" s="625"/>
      <c r="L52" s="625"/>
      <c r="M52" s="625"/>
      <c r="N52" s="43"/>
      <c r="O52" s="626"/>
      <c r="P52" s="626"/>
      <c r="Q52" s="626"/>
      <c r="R52" s="626"/>
      <c r="S52" s="626"/>
      <c r="T52" s="626"/>
      <c r="U52" s="626"/>
      <c r="V52" s="626"/>
      <c r="W52" s="626"/>
      <c r="X52" s="626"/>
      <c r="Y52" s="627"/>
      <c r="Z52" s="40"/>
      <c r="AA52" s="659" t="s">
        <v>146</v>
      </c>
      <c r="AB52" s="659"/>
      <c r="AC52" s="659"/>
      <c r="AD52" s="659"/>
      <c r="AE52" s="659"/>
      <c r="AF52" s="659"/>
      <c r="AG52" s="659"/>
      <c r="AH52" s="659"/>
      <c r="AI52" s="659"/>
      <c r="AJ52" s="659"/>
      <c r="AK52" s="660"/>
    </row>
    <row r="53" spans="1:37" s="41" customFormat="1" ht="12.75" customHeight="1" thickBot="1">
      <c r="A53" s="552"/>
      <c r="B53" s="44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2" t="s">
        <v>147</v>
      </c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4"/>
      <c r="Z53" s="663" t="s">
        <v>148</v>
      </c>
      <c r="AA53" s="663"/>
      <c r="AB53" s="663"/>
      <c r="AC53" s="663"/>
      <c r="AD53" s="663"/>
      <c r="AE53" s="663"/>
      <c r="AF53" s="663"/>
      <c r="AG53" s="663"/>
      <c r="AH53" s="663"/>
      <c r="AI53" s="663"/>
      <c r="AJ53" s="663"/>
      <c r="AK53" s="665"/>
    </row>
    <row r="54" spans="1:37" ht="20.25" customHeight="1" thickTop="1">
      <c r="A54" s="552"/>
      <c r="B54" s="45" t="s">
        <v>149</v>
      </c>
      <c r="C54" s="685" t="s">
        <v>150</v>
      </c>
      <c r="D54" s="685"/>
      <c r="E54" s="685"/>
      <c r="F54" s="685"/>
      <c r="G54" s="685"/>
      <c r="H54" s="685"/>
      <c r="I54" s="685"/>
      <c r="J54" s="686"/>
      <c r="K54" s="45" t="s">
        <v>151</v>
      </c>
      <c r="L54" s="685" t="s">
        <v>152</v>
      </c>
      <c r="M54" s="685"/>
      <c r="N54" s="685"/>
      <c r="O54" s="685"/>
      <c r="P54" s="685"/>
      <c r="Q54" s="685"/>
      <c r="R54" s="685"/>
      <c r="S54" s="686"/>
      <c r="T54" s="45" t="s">
        <v>153</v>
      </c>
      <c r="U54" s="685" t="s">
        <v>154</v>
      </c>
      <c r="V54" s="685"/>
      <c r="W54" s="687"/>
      <c r="X54" s="682" t="s">
        <v>155</v>
      </c>
      <c r="Y54" s="682"/>
      <c r="Z54" s="682"/>
      <c r="AA54" s="682" t="s">
        <v>156</v>
      </c>
      <c r="AB54" s="682"/>
      <c r="AC54" s="682"/>
      <c r="AD54" s="682" t="s">
        <v>157</v>
      </c>
      <c r="AE54" s="682"/>
      <c r="AF54" s="682"/>
      <c r="AG54" s="682" t="s">
        <v>158</v>
      </c>
      <c r="AH54" s="682"/>
      <c r="AI54" s="682"/>
      <c r="AJ54" s="682" t="s">
        <v>159</v>
      </c>
      <c r="AK54" s="683"/>
    </row>
    <row r="55" spans="1:37" ht="15.75">
      <c r="B55" s="510" t="str">
        <f>"А/М "&amp;СМАПП!D11&amp;" П/П "&amp;СМАПП!D12</f>
        <v>А/М М209АУ125 П/П АВ994425</v>
      </c>
      <c r="C55" s="511"/>
      <c r="D55" s="511"/>
      <c r="E55" s="511"/>
      <c r="F55" s="511"/>
      <c r="G55" s="511"/>
      <c r="H55" s="511"/>
      <c r="I55" s="511"/>
      <c r="J55" s="684"/>
      <c r="K55" s="507"/>
      <c r="L55" s="508"/>
      <c r="M55" s="508"/>
      <c r="N55" s="508"/>
      <c r="O55" s="508"/>
      <c r="P55" s="508"/>
      <c r="Q55" s="508"/>
      <c r="R55" s="508"/>
      <c r="S55" s="509"/>
      <c r="T55" s="507"/>
      <c r="U55" s="508"/>
      <c r="V55" s="508"/>
      <c r="W55" s="508"/>
      <c r="X55" s="508"/>
      <c r="Y55" s="508"/>
      <c r="Z55" s="508"/>
      <c r="AA55" s="508"/>
      <c r="AB55" s="508"/>
      <c r="AC55" s="508"/>
      <c r="AD55" s="508"/>
      <c r="AE55" s="508"/>
      <c r="AF55" s="508"/>
      <c r="AG55" s="508"/>
      <c r="AH55" s="508"/>
      <c r="AI55" s="508"/>
      <c r="AJ55" s="508"/>
      <c r="AK55" s="509"/>
    </row>
    <row r="56" spans="1:37">
      <c r="B56" s="507"/>
      <c r="C56" s="508"/>
      <c r="D56" s="508"/>
      <c r="E56" s="508"/>
      <c r="F56" s="508"/>
      <c r="G56" s="508"/>
      <c r="H56" s="508"/>
      <c r="I56" s="508"/>
      <c r="J56" s="509"/>
      <c r="K56" s="507"/>
      <c r="L56" s="508"/>
      <c r="M56" s="508"/>
      <c r="N56" s="508"/>
      <c r="O56" s="508"/>
      <c r="P56" s="508"/>
      <c r="Q56" s="508"/>
      <c r="R56" s="508"/>
      <c r="S56" s="509"/>
      <c r="T56" s="507"/>
      <c r="U56" s="508"/>
      <c r="V56" s="508"/>
      <c r="W56" s="508"/>
      <c r="X56" s="508"/>
      <c r="Y56" s="508"/>
      <c r="Z56" s="508"/>
      <c r="AA56" s="508"/>
      <c r="AB56" s="508"/>
      <c r="AC56" s="508"/>
      <c r="AD56" s="508"/>
      <c r="AE56" s="508"/>
      <c r="AF56" s="508"/>
      <c r="AG56" s="508"/>
      <c r="AH56" s="508"/>
      <c r="AI56" s="508"/>
      <c r="AJ56" s="508"/>
      <c r="AK56" s="509"/>
    </row>
    <row r="57" spans="1:37">
      <c r="B57" s="507"/>
      <c r="C57" s="508"/>
      <c r="D57" s="508"/>
      <c r="E57" s="508"/>
      <c r="F57" s="508"/>
      <c r="G57" s="508"/>
      <c r="H57" s="508"/>
      <c r="I57" s="508"/>
      <c r="J57" s="509"/>
      <c r="K57" s="507"/>
      <c r="L57" s="508"/>
      <c r="M57" s="508"/>
      <c r="N57" s="508"/>
      <c r="O57" s="508"/>
      <c r="P57" s="508"/>
      <c r="Q57" s="508"/>
      <c r="R57" s="508"/>
      <c r="S57" s="509"/>
      <c r="T57" s="507"/>
      <c r="U57" s="508"/>
      <c r="V57" s="508"/>
      <c r="W57" s="508"/>
      <c r="X57" s="508"/>
      <c r="Y57" s="508"/>
      <c r="Z57" s="508"/>
      <c r="AA57" s="508"/>
      <c r="AB57" s="508"/>
      <c r="AC57" s="508"/>
      <c r="AD57" s="508"/>
      <c r="AE57" s="508"/>
      <c r="AF57" s="508"/>
      <c r="AG57" s="508"/>
      <c r="AH57" s="508"/>
      <c r="AI57" s="508"/>
      <c r="AJ57" s="508"/>
      <c r="AK57" s="509"/>
    </row>
    <row r="58" spans="1:37" ht="13.5" thickBot="1">
      <c r="B58" s="679"/>
      <c r="C58" s="641"/>
      <c r="D58" s="641"/>
      <c r="E58" s="641"/>
      <c r="F58" s="641"/>
      <c r="G58" s="641"/>
      <c r="H58" s="641"/>
      <c r="I58" s="641"/>
      <c r="J58" s="680"/>
      <c r="K58" s="679"/>
      <c r="L58" s="641"/>
      <c r="M58" s="641"/>
      <c r="N58" s="641"/>
      <c r="O58" s="641"/>
      <c r="P58" s="641"/>
      <c r="Q58" s="641"/>
      <c r="R58" s="641"/>
      <c r="S58" s="680"/>
      <c r="T58" s="679"/>
      <c r="U58" s="641"/>
      <c r="V58" s="641"/>
      <c r="W58" s="641"/>
      <c r="X58" s="641"/>
      <c r="Y58" s="641"/>
      <c r="Z58" s="641"/>
      <c r="AA58" s="641"/>
      <c r="AB58" s="641"/>
      <c r="AC58" s="641"/>
      <c r="AD58" s="641"/>
      <c r="AE58" s="641"/>
      <c r="AF58" s="641"/>
      <c r="AG58" s="641"/>
      <c r="AH58" s="641"/>
      <c r="AI58" s="641"/>
      <c r="AJ58" s="641"/>
      <c r="AK58" s="680"/>
    </row>
    <row r="59" spans="1:37" s="46" customFormat="1" ht="22.5" customHeight="1" thickTop="1">
      <c r="B59" s="47" t="s">
        <v>160</v>
      </c>
      <c r="C59" s="681" t="s">
        <v>161</v>
      </c>
      <c r="D59" s="681"/>
      <c r="E59" s="681"/>
      <c r="F59" s="681"/>
      <c r="G59" s="681" t="s">
        <v>162</v>
      </c>
      <c r="H59" s="681"/>
      <c r="I59" s="681"/>
      <c r="J59" s="681" t="s">
        <v>163</v>
      </c>
      <c r="K59" s="681"/>
      <c r="L59" s="681"/>
      <c r="M59" s="681" t="s">
        <v>164</v>
      </c>
      <c r="N59" s="681"/>
      <c r="O59" s="681"/>
      <c r="P59" s="681" t="s">
        <v>119</v>
      </c>
      <c r="Q59" s="681"/>
      <c r="R59" s="681"/>
      <c r="S59" s="681" t="s">
        <v>117</v>
      </c>
      <c r="T59" s="681"/>
      <c r="U59" s="681"/>
      <c r="V59" s="681" t="s">
        <v>165</v>
      </c>
      <c r="W59" s="681"/>
      <c r="X59" s="681"/>
      <c r="Y59" s="681" t="s">
        <v>166</v>
      </c>
      <c r="Z59" s="681"/>
      <c r="AA59" s="681"/>
      <c r="AB59" s="717"/>
      <c r="AC59" s="718" t="s">
        <v>167</v>
      </c>
      <c r="AD59" s="681"/>
      <c r="AE59" s="681"/>
      <c r="AF59" s="681"/>
      <c r="AG59" s="681"/>
      <c r="AH59" s="681"/>
      <c r="AI59" s="681"/>
      <c r="AJ59" s="681"/>
      <c r="AK59" s="719"/>
    </row>
    <row r="60" spans="1:37" s="48" customFormat="1" ht="14.25" customHeight="1">
      <c r="B60" s="711" t="s">
        <v>168</v>
      </c>
      <c r="C60" s="623"/>
      <c r="D60" s="623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688" t="s">
        <v>169</v>
      </c>
      <c r="AD60" s="689"/>
      <c r="AE60" s="689"/>
      <c r="AF60" s="689"/>
      <c r="AG60" s="689"/>
      <c r="AH60" s="689"/>
      <c r="AI60" s="689"/>
      <c r="AJ60" s="689"/>
      <c r="AK60" s="690"/>
    </row>
    <row r="61" spans="1:37" s="48" customFormat="1" ht="13.5" customHeight="1" thickBot="1">
      <c r="B61" s="50"/>
      <c r="C61" s="691"/>
      <c r="D61" s="692"/>
      <c r="E61" s="692"/>
      <c r="F61" s="693"/>
      <c r="G61" s="691"/>
      <c r="H61" s="692"/>
      <c r="I61" s="693"/>
      <c r="J61" s="691"/>
      <c r="K61" s="692"/>
      <c r="L61" s="693"/>
      <c r="M61" s="691"/>
      <c r="N61" s="692"/>
      <c r="O61" s="693"/>
      <c r="P61" s="691"/>
      <c r="Q61" s="692"/>
      <c r="R61" s="693"/>
      <c r="S61" s="691"/>
      <c r="T61" s="692"/>
      <c r="U61" s="693"/>
      <c r="V61" s="691"/>
      <c r="W61" s="692"/>
      <c r="X61" s="692"/>
      <c r="Y61" s="694"/>
      <c r="Z61" s="695"/>
      <c r="AA61" s="695"/>
      <c r="AB61" s="696"/>
      <c r="AC61" s="697" t="s">
        <v>166</v>
      </c>
      <c r="AD61" s="698"/>
      <c r="AE61" s="698"/>
      <c r="AF61" s="698"/>
      <c r="AG61" s="698"/>
      <c r="AH61" s="698"/>
      <c r="AI61" s="698"/>
      <c r="AJ61" s="698"/>
      <c r="AK61" s="699"/>
    </row>
    <row r="62" spans="1:37" ht="13.5" thickTop="1">
      <c r="B62" s="51" t="s">
        <v>170</v>
      </c>
      <c r="C62" s="703"/>
      <c r="D62" s="704"/>
      <c r="E62" s="704"/>
      <c r="F62" s="705"/>
      <c r="G62" s="703"/>
      <c r="H62" s="704"/>
      <c r="I62" s="705"/>
      <c r="J62" s="703"/>
      <c r="K62" s="704"/>
      <c r="L62" s="705"/>
      <c r="M62" s="703"/>
      <c r="N62" s="704"/>
      <c r="O62" s="705"/>
      <c r="P62" s="703"/>
      <c r="Q62" s="704"/>
      <c r="R62" s="705"/>
      <c r="S62" s="703"/>
      <c r="T62" s="704"/>
      <c r="U62" s="705"/>
      <c r="V62" s="703"/>
      <c r="W62" s="704"/>
      <c r="X62" s="705"/>
      <c r="Y62" s="706"/>
      <c r="Z62" s="707"/>
      <c r="AA62" s="707"/>
      <c r="AB62" s="708"/>
      <c r="AC62" s="709" t="s">
        <v>113</v>
      </c>
      <c r="AD62" s="709"/>
      <c r="AE62" s="709"/>
      <c r="AF62" s="709" t="s">
        <v>171</v>
      </c>
      <c r="AG62" s="709"/>
      <c r="AH62" s="709"/>
      <c r="AI62" s="709"/>
      <c r="AJ62" s="709"/>
      <c r="AK62" s="710"/>
    </row>
    <row r="63" spans="1:37">
      <c r="B63" s="711" t="s">
        <v>172</v>
      </c>
      <c r="C63" s="623"/>
      <c r="D63" s="623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3"/>
    </row>
    <row r="64" spans="1:37" ht="13.5" thickBot="1">
      <c r="B64" s="54"/>
      <c r="C64" s="712"/>
      <c r="D64" s="713"/>
      <c r="E64" s="713"/>
      <c r="F64" s="714"/>
      <c r="G64" s="712"/>
      <c r="H64" s="713"/>
      <c r="I64" s="714"/>
      <c r="J64" s="712"/>
      <c r="K64" s="713"/>
      <c r="L64" s="714"/>
      <c r="M64" s="712"/>
      <c r="N64" s="713"/>
      <c r="O64" s="714"/>
      <c r="P64" s="712"/>
      <c r="Q64" s="713"/>
      <c r="R64" s="714"/>
      <c r="S64" s="712"/>
      <c r="T64" s="713"/>
      <c r="U64" s="714"/>
      <c r="V64" s="712"/>
      <c r="W64" s="713"/>
      <c r="X64" s="713"/>
      <c r="Y64" s="715"/>
      <c r="Z64" s="713"/>
      <c r="AA64" s="713"/>
      <c r="AB64" s="716"/>
      <c r="AC64" s="702"/>
      <c r="AD64" s="702"/>
      <c r="AE64" s="702"/>
      <c r="AF64" s="55"/>
      <c r="AG64" s="55"/>
      <c r="AH64" s="55"/>
      <c r="AI64" s="55"/>
      <c r="AJ64" s="55"/>
      <c r="AK64" s="56"/>
    </row>
    <row r="65" spans="2:56">
      <c r="B65" s="57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</row>
    <row r="66" spans="2:56"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</row>
    <row r="67" spans="2:56">
      <c r="B67" s="59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BB67" s="59"/>
      <c r="BC67" s="59"/>
      <c r="BD67" s="59"/>
    </row>
    <row r="68" spans="2:56"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BB68" s="59"/>
      <c r="BC68" s="59"/>
      <c r="BD68" s="59"/>
    </row>
    <row r="69" spans="2:56"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BB69" s="59"/>
      <c r="BC69" s="59"/>
      <c r="BD69" s="59"/>
    </row>
    <row r="70" spans="2:56"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BB70" s="59"/>
      <c r="BC70" s="59"/>
      <c r="BD70" s="59"/>
    </row>
    <row r="71" spans="2:56"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BB71" s="59"/>
      <c r="BC71" s="59"/>
      <c r="BD71" s="59"/>
    </row>
    <row r="72" spans="2:56"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BB72" s="59"/>
      <c r="BC72" s="59"/>
      <c r="BD72" s="59"/>
    </row>
    <row r="73" spans="2:56"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BB73" s="59"/>
      <c r="BC73" s="59"/>
      <c r="BD73" s="59"/>
    </row>
    <row r="74" spans="2:56"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BB74" s="59"/>
      <c r="BC74" s="59"/>
      <c r="BD74" s="59"/>
    </row>
    <row r="75" spans="2:56"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BB75" s="59"/>
      <c r="BC75" s="59"/>
      <c r="BD75" s="59"/>
    </row>
    <row r="76" spans="2:56"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</row>
    <row r="77" spans="2:56"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</row>
    <row r="78" spans="2:56"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</row>
    <row r="79" spans="2:56"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</row>
  </sheetData>
  <mergeCells count="237">
    <mergeCell ref="AE1:AK1"/>
    <mergeCell ref="AC64:AE64"/>
    <mergeCell ref="V62:X62"/>
    <mergeCell ref="Y62:AB62"/>
    <mergeCell ref="AC62:AE62"/>
    <mergeCell ref="AF62:AK62"/>
    <mergeCell ref="B63:D63"/>
    <mergeCell ref="C64:F64"/>
    <mergeCell ref="G64:I64"/>
    <mergeCell ref="J64:L64"/>
    <mergeCell ref="M64:O64"/>
    <mergeCell ref="P64:R64"/>
    <mergeCell ref="C62:F62"/>
    <mergeCell ref="G62:I62"/>
    <mergeCell ref="J62:L62"/>
    <mergeCell ref="M62:O62"/>
    <mergeCell ref="P62:R62"/>
    <mergeCell ref="S62:U62"/>
    <mergeCell ref="S64:U64"/>
    <mergeCell ref="V64:X64"/>
    <mergeCell ref="Y64:AB64"/>
    <mergeCell ref="Y59:AB59"/>
    <mergeCell ref="AC59:AK59"/>
    <mergeCell ref="B60:D60"/>
    <mergeCell ref="AC60:AK60"/>
    <mergeCell ref="C61:F61"/>
    <mergeCell ref="G61:I61"/>
    <mergeCell ref="J61:L61"/>
    <mergeCell ref="M61:O61"/>
    <mergeCell ref="P61:R61"/>
    <mergeCell ref="S61:U61"/>
    <mergeCell ref="V61:X61"/>
    <mergeCell ref="Y61:AB61"/>
    <mergeCell ref="AC61:AK61"/>
    <mergeCell ref="K58:S58"/>
    <mergeCell ref="C59:F59"/>
    <mergeCell ref="G59:I59"/>
    <mergeCell ref="J59:L59"/>
    <mergeCell ref="M59:O59"/>
    <mergeCell ref="P59:R59"/>
    <mergeCell ref="S59:U59"/>
    <mergeCell ref="AG54:AI54"/>
    <mergeCell ref="AJ54:AK54"/>
    <mergeCell ref="B55:J55"/>
    <mergeCell ref="K55:S55"/>
    <mergeCell ref="T55:AK58"/>
    <mergeCell ref="B56:J56"/>
    <mergeCell ref="K56:S56"/>
    <mergeCell ref="B57:J57"/>
    <mergeCell ref="K57:S57"/>
    <mergeCell ref="B58:J58"/>
    <mergeCell ref="C54:J54"/>
    <mergeCell ref="L54:S54"/>
    <mergeCell ref="U54:W54"/>
    <mergeCell ref="X54:Z54"/>
    <mergeCell ref="AA54:AC54"/>
    <mergeCell ref="AD54:AF54"/>
    <mergeCell ref="V59:X59"/>
    <mergeCell ref="AA52:AK52"/>
    <mergeCell ref="C53:M53"/>
    <mergeCell ref="N53:Y53"/>
    <mergeCell ref="Z53:AK53"/>
    <mergeCell ref="C49:M49"/>
    <mergeCell ref="O49:Y49"/>
    <mergeCell ref="C50:M50"/>
    <mergeCell ref="O50:Q50"/>
    <mergeCell ref="AA50:AK50"/>
    <mergeCell ref="C51:M51"/>
    <mergeCell ref="O51:Q51"/>
    <mergeCell ref="AA51:AK51"/>
    <mergeCell ref="R50:Y50"/>
    <mergeCell ref="R51:Y51"/>
    <mergeCell ref="AJ43:AK43"/>
    <mergeCell ref="C44:AK44"/>
    <mergeCell ref="C45:S45"/>
    <mergeCell ref="U45:AK45"/>
    <mergeCell ref="B46:D46"/>
    <mergeCell ref="E46:S46"/>
    <mergeCell ref="U46:AK46"/>
    <mergeCell ref="B43:S43"/>
    <mergeCell ref="T43:W43"/>
    <mergeCell ref="X43:Z43"/>
    <mergeCell ref="AB43:AC43"/>
    <mergeCell ref="AD43:AE43"/>
    <mergeCell ref="AF43:AI43"/>
    <mergeCell ref="B42:S42"/>
    <mergeCell ref="T42:W42"/>
    <mergeCell ref="X42:Z42"/>
    <mergeCell ref="AB42:AC42"/>
    <mergeCell ref="AD42:AE42"/>
    <mergeCell ref="AF42:AI42"/>
    <mergeCell ref="AJ42:AK42"/>
    <mergeCell ref="B41:I41"/>
    <mergeCell ref="J41:N41"/>
    <mergeCell ref="O41:S41"/>
    <mergeCell ref="T41:W41"/>
    <mergeCell ref="X41:Z41"/>
    <mergeCell ref="AB41:AC41"/>
    <mergeCell ref="B40:S40"/>
    <mergeCell ref="T40:W40"/>
    <mergeCell ref="X40:Z40"/>
    <mergeCell ref="AB40:AC40"/>
    <mergeCell ref="AD40:AE40"/>
    <mergeCell ref="AF40:AI40"/>
    <mergeCell ref="AJ40:AK40"/>
    <mergeCell ref="AF41:AI41"/>
    <mergeCell ref="AJ41:AK41"/>
    <mergeCell ref="B38:S38"/>
    <mergeCell ref="T38:W38"/>
    <mergeCell ref="X38:Z38"/>
    <mergeCell ref="AB38:AC38"/>
    <mergeCell ref="AD38:AE38"/>
    <mergeCell ref="AF38:AI38"/>
    <mergeCell ref="AJ38:AK38"/>
    <mergeCell ref="AF39:AI39"/>
    <mergeCell ref="AJ39:AK39"/>
    <mergeCell ref="A37:A54"/>
    <mergeCell ref="B37:S37"/>
    <mergeCell ref="T37:W37"/>
    <mergeCell ref="X37:Z37"/>
    <mergeCell ref="AB37:AC37"/>
    <mergeCell ref="AD37:AE37"/>
    <mergeCell ref="B39:S39"/>
    <mergeCell ref="T39:W39"/>
    <mergeCell ref="X39:Z39"/>
    <mergeCell ref="AB39:AC39"/>
    <mergeCell ref="AD39:AE39"/>
    <mergeCell ref="AD41:AE41"/>
    <mergeCell ref="B47:D47"/>
    <mergeCell ref="E47:S47"/>
    <mergeCell ref="U47:AK47"/>
    <mergeCell ref="C48:F48"/>
    <mergeCell ref="G48:K48"/>
    <mergeCell ref="L48:M48"/>
    <mergeCell ref="T48:Y48"/>
    <mergeCell ref="AA48:AK49"/>
    <mergeCell ref="C52:M52"/>
    <mergeCell ref="O52:Y52"/>
    <mergeCell ref="AF37:AI37"/>
    <mergeCell ref="AJ37:AK37"/>
    <mergeCell ref="X35:AA35"/>
    <mergeCell ref="AB35:AE35"/>
    <mergeCell ref="AF35:AK35"/>
    <mergeCell ref="C36:S36"/>
    <mergeCell ref="U36:W36"/>
    <mergeCell ref="X36:AA36"/>
    <mergeCell ref="AB36:AE36"/>
    <mergeCell ref="AF36:AK36"/>
    <mergeCell ref="X33:AA33"/>
    <mergeCell ref="AB33:AE33"/>
    <mergeCell ref="AF33:AK33"/>
    <mergeCell ref="X34:AA34"/>
    <mergeCell ref="AB34:AE34"/>
    <mergeCell ref="AF34:AK34"/>
    <mergeCell ref="X30:AA30"/>
    <mergeCell ref="AB30:AE30"/>
    <mergeCell ref="AF30:AK30"/>
    <mergeCell ref="B25:H25"/>
    <mergeCell ref="J25:P25"/>
    <mergeCell ref="C23:S23"/>
    <mergeCell ref="U23:AK23"/>
    <mergeCell ref="AG27:AK27"/>
    <mergeCell ref="B28:L28"/>
    <mergeCell ref="B24:J24"/>
    <mergeCell ref="L24:S24"/>
    <mergeCell ref="A13:A36"/>
    <mergeCell ref="C13:S13"/>
    <mergeCell ref="U13:AK13"/>
    <mergeCell ref="B14:C16"/>
    <mergeCell ref="D14:S16"/>
    <mergeCell ref="U14:AK14"/>
    <mergeCell ref="T15:AK15"/>
    <mergeCell ref="U16:AK16"/>
    <mergeCell ref="C19:S19"/>
    <mergeCell ref="U19:AK19"/>
    <mergeCell ref="B20:C20"/>
    <mergeCell ref="D20:S20"/>
    <mergeCell ref="U20:AK20"/>
    <mergeCell ref="B21:C21"/>
    <mergeCell ref="D21:S21"/>
    <mergeCell ref="U21:AK21"/>
    <mergeCell ref="B17:C17"/>
    <mergeCell ref="D17:S17"/>
    <mergeCell ref="U17:AK17"/>
    <mergeCell ref="B18:E18"/>
    <mergeCell ref="F18:S18"/>
    <mergeCell ref="U18:AK18"/>
    <mergeCell ref="U24:AK24"/>
    <mergeCell ref="N28:P28"/>
    <mergeCell ref="AL1:AL46"/>
    <mergeCell ref="B2:S4"/>
    <mergeCell ref="T4:AK4"/>
    <mergeCell ref="B5:S5"/>
    <mergeCell ref="T5:AK6"/>
    <mergeCell ref="B6:S6"/>
    <mergeCell ref="C7:S7"/>
    <mergeCell ref="U7:AK7"/>
    <mergeCell ref="B12:S12"/>
    <mergeCell ref="T12:AK12"/>
    <mergeCell ref="U25:AK25"/>
    <mergeCell ref="C26:S26"/>
    <mergeCell ref="U26:AK26"/>
    <mergeCell ref="B22:C22"/>
    <mergeCell ref="U22:AK22"/>
    <mergeCell ref="Q28:R28"/>
    <mergeCell ref="S28:U28"/>
    <mergeCell ref="V28:W28"/>
    <mergeCell ref="X28:AA28"/>
    <mergeCell ref="AB28:AE28"/>
    <mergeCell ref="AF28:AK28"/>
    <mergeCell ref="C27:F27"/>
    <mergeCell ref="H27:L27"/>
    <mergeCell ref="N27:R27"/>
    <mergeCell ref="N48:R48"/>
    <mergeCell ref="B8:S9"/>
    <mergeCell ref="T8:AK9"/>
    <mergeCell ref="B10:S10"/>
    <mergeCell ref="T10:AK10"/>
    <mergeCell ref="B11:S11"/>
    <mergeCell ref="T11:AK11"/>
    <mergeCell ref="C1:S1"/>
    <mergeCell ref="T27:W27"/>
    <mergeCell ref="Y27:AA27"/>
    <mergeCell ref="AC27:AE27"/>
    <mergeCell ref="D22:J22"/>
    <mergeCell ref="K22:S22"/>
    <mergeCell ref="X31:AA31"/>
    <mergeCell ref="AB31:AE31"/>
    <mergeCell ref="AF31:AK31"/>
    <mergeCell ref="X32:AA32"/>
    <mergeCell ref="AB32:AE32"/>
    <mergeCell ref="AF32:AK32"/>
    <mergeCell ref="B29:W29"/>
    <mergeCell ref="X29:AA29"/>
    <mergeCell ref="AB29:AE29"/>
    <mergeCell ref="AF29:AK29"/>
    <mergeCell ref="H30:K30"/>
  </mergeCells>
  <pageMargins left="0.55000000000000004" right="0.23622047244094491" top="0.31496062992125984" bottom="0.15748031496062992" header="0.31496062992125984" footer="0.15748031496062992"/>
  <pageSetup paperSize="9" scale="7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5"/>
  <sheetViews>
    <sheetView topLeftCell="T1" workbookViewId="0">
      <selection activeCell="AC4" sqref="AC4"/>
    </sheetView>
  </sheetViews>
  <sheetFormatPr defaultRowHeight="15"/>
  <cols>
    <col min="20" max="20" width="23" customWidth="1"/>
    <col min="22" max="22" width="39" customWidth="1"/>
    <col min="23" max="23" width="30" customWidth="1"/>
    <col min="24" max="24" width="77.140625" customWidth="1"/>
  </cols>
  <sheetData>
    <row r="1" spans="1:29">
      <c r="A1" s="161" t="s">
        <v>279</v>
      </c>
      <c r="B1" s="161" t="s">
        <v>280</v>
      </c>
      <c r="C1" s="161" t="s">
        <v>281</v>
      </c>
      <c r="D1" s="161" t="s">
        <v>282</v>
      </c>
      <c r="E1" s="161" t="s">
        <v>283</v>
      </c>
      <c r="F1" s="161" t="s">
        <v>284</v>
      </c>
      <c r="G1" s="161" t="s">
        <v>285</v>
      </c>
      <c r="H1" s="161" t="s">
        <v>286</v>
      </c>
      <c r="I1" s="161" t="s">
        <v>287</v>
      </c>
      <c r="T1" s="161" t="s">
        <v>279</v>
      </c>
      <c r="U1" s="161" t="s">
        <v>280</v>
      </c>
      <c r="V1" s="161" t="s">
        <v>281</v>
      </c>
      <c r="W1" s="161" t="s">
        <v>282</v>
      </c>
      <c r="X1" s="161" t="s">
        <v>283</v>
      </c>
      <c r="Y1" s="161" t="s">
        <v>284</v>
      </c>
      <c r="Z1" s="161" t="s">
        <v>285</v>
      </c>
      <c r="AA1" s="161" t="s">
        <v>286</v>
      </c>
      <c r="AB1" s="161" t="s">
        <v>287</v>
      </c>
    </row>
    <row r="2" spans="1:29">
      <c r="A2" s="161" t="s">
        <v>291</v>
      </c>
      <c r="B2" s="161" t="s">
        <v>288</v>
      </c>
      <c r="C2" s="161" t="s">
        <v>292</v>
      </c>
      <c r="D2" s="161" t="s">
        <v>293</v>
      </c>
      <c r="E2" s="161" t="s">
        <v>294</v>
      </c>
      <c r="F2" s="161" t="s">
        <v>289</v>
      </c>
      <c r="G2" s="161" t="s">
        <v>289</v>
      </c>
      <c r="H2" s="161" t="s">
        <v>289</v>
      </c>
      <c r="I2" s="161" t="s">
        <v>290</v>
      </c>
      <c r="T2" s="161" t="s">
        <v>291</v>
      </c>
      <c r="U2" s="161" t="s">
        <v>288</v>
      </c>
      <c r="V2" s="161" t="str">
        <f ca="1">СМАПП!D1</f>
        <v>RA263-209</v>
      </c>
      <c r="W2" s="162">
        <f ca="1">СМАПП!E1</f>
        <v>46025</v>
      </c>
      <c r="X2" s="161" t="s">
        <v>294</v>
      </c>
      <c r="Y2" s="161" t="s">
        <v>289</v>
      </c>
      <c r="Z2" s="161" t="s">
        <v>289</v>
      </c>
      <c r="AA2" s="161" t="s">
        <v>289</v>
      </c>
      <c r="AB2" s="161"/>
    </row>
    <row r="3" spans="1:29">
      <c r="A3" s="161" t="s">
        <v>299</v>
      </c>
      <c r="B3" s="161" t="s">
        <v>288</v>
      </c>
      <c r="C3" s="161" t="s">
        <v>295</v>
      </c>
      <c r="D3" s="161" t="s">
        <v>296</v>
      </c>
      <c r="E3" s="161" t="s">
        <v>300</v>
      </c>
      <c r="F3" s="161" t="s">
        <v>289</v>
      </c>
      <c r="G3" s="161" t="s">
        <v>289</v>
      </c>
      <c r="H3" s="161" t="s">
        <v>289</v>
      </c>
      <c r="I3" s="161" t="s">
        <v>298</v>
      </c>
      <c r="T3" s="161" t="s">
        <v>299</v>
      </c>
      <c r="U3" s="161" t="s">
        <v>288</v>
      </c>
      <c r="V3" s="163" t="str">
        <f>СМАПП!D2</f>
        <v>CI-20102025-001</v>
      </c>
      <c r="W3" s="162">
        <f>СМАПП!E2</f>
        <v>45951</v>
      </c>
      <c r="X3" s="161" t="s">
        <v>300</v>
      </c>
      <c r="Y3" s="161"/>
      <c r="Z3" s="161" t="s">
        <v>289</v>
      </c>
      <c r="AA3" s="161" t="s">
        <v>289</v>
      </c>
      <c r="AB3" s="161"/>
    </row>
    <row r="4" spans="1:29">
      <c r="A4" s="161" t="s">
        <v>301</v>
      </c>
      <c r="B4" s="161" t="s">
        <v>297</v>
      </c>
      <c r="C4" s="161" t="s">
        <v>302</v>
      </c>
      <c r="D4" s="161" t="s">
        <v>303</v>
      </c>
      <c r="E4" s="161" t="s">
        <v>304</v>
      </c>
      <c r="F4" s="161" t="s">
        <v>305</v>
      </c>
      <c r="G4" s="161" t="s">
        <v>289</v>
      </c>
      <c r="H4" s="161" t="s">
        <v>289</v>
      </c>
      <c r="I4" s="161" t="s">
        <v>298</v>
      </c>
      <c r="T4" s="161" t="s">
        <v>301</v>
      </c>
      <c r="U4" s="161" t="s">
        <v>297</v>
      </c>
      <c r="V4" s="161">
        <v>2024050201</v>
      </c>
      <c r="W4" s="162">
        <v>45409</v>
      </c>
      <c r="X4" s="161" t="s">
        <v>304</v>
      </c>
      <c r="Y4" s="161"/>
      <c r="Z4" s="161" t="s">
        <v>289</v>
      </c>
      <c r="AA4" s="161" t="s">
        <v>289</v>
      </c>
      <c r="AB4" s="161"/>
      <c r="AC4" t="s">
        <v>308</v>
      </c>
    </row>
    <row r="5" spans="1:29">
      <c r="A5" s="161" t="s">
        <v>306</v>
      </c>
      <c r="B5" s="161" t="s">
        <v>288</v>
      </c>
      <c r="C5" s="161" t="s">
        <v>292</v>
      </c>
      <c r="D5" s="161" t="s">
        <v>293</v>
      </c>
      <c r="E5" s="161" t="s">
        <v>307</v>
      </c>
      <c r="F5" s="161" t="s">
        <v>289</v>
      </c>
      <c r="G5" s="161" t="s">
        <v>289</v>
      </c>
      <c r="H5" s="161" t="s">
        <v>289</v>
      </c>
      <c r="I5" s="161" t="s">
        <v>298</v>
      </c>
      <c r="T5" s="161" t="s">
        <v>306</v>
      </c>
      <c r="U5" s="161" t="s">
        <v>288</v>
      </c>
      <c r="V5" s="161" t="str">
        <f ca="1">СПЕЦ!D1</f>
        <v>С-RA263-209</v>
      </c>
      <c r="W5" s="162">
        <f ca="1">СПЕЦ!C26</f>
        <v>46025</v>
      </c>
      <c r="X5" s="161" t="s">
        <v>307</v>
      </c>
      <c r="Y5" s="161"/>
      <c r="Z5" s="161" t="s">
        <v>289</v>
      </c>
      <c r="AA5" s="161" t="s">
        <v>289</v>
      </c>
      <c r="AB5" s="16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71778-5E56-4D6D-83CF-ABE63648C61F}">
  <dimension ref="A1:M17"/>
  <sheetViews>
    <sheetView topLeftCell="A2" workbookViewId="0">
      <selection activeCell="D34" sqref="D34"/>
    </sheetView>
  </sheetViews>
  <sheetFormatPr defaultRowHeight="15"/>
  <cols>
    <col min="1" max="1" width="20.28515625" customWidth="1"/>
    <col min="4" max="4" width="49" customWidth="1"/>
    <col min="5" max="5" width="16" customWidth="1"/>
    <col min="6" max="6" width="35.5703125" customWidth="1"/>
    <col min="7" max="7" width="24.140625" customWidth="1"/>
    <col min="8" max="8" width="30.85546875" customWidth="1"/>
    <col min="9" max="9" width="68.7109375" customWidth="1"/>
    <col min="10" max="10" width="28.28515625" customWidth="1"/>
    <col min="11" max="11" width="25.7109375" customWidth="1"/>
  </cols>
  <sheetData>
    <row r="1" spans="1:13">
      <c r="A1" t="s">
        <v>174</v>
      </c>
      <c r="D1" s="90" t="s">
        <v>206</v>
      </c>
      <c r="E1" s="90" t="s">
        <v>207</v>
      </c>
      <c r="F1" s="90" t="s">
        <v>208</v>
      </c>
      <c r="G1" s="138" t="s">
        <v>249</v>
      </c>
      <c r="I1" t="s">
        <v>213</v>
      </c>
      <c r="J1" t="s">
        <v>214</v>
      </c>
      <c r="K1" t="s">
        <v>215</v>
      </c>
    </row>
    <row r="2" spans="1:13">
      <c r="A2" t="s">
        <v>186</v>
      </c>
      <c r="D2" s="90" t="s">
        <v>192</v>
      </c>
      <c r="E2" s="90" t="s">
        <v>193</v>
      </c>
      <c r="F2" s="90" t="s">
        <v>194</v>
      </c>
      <c r="I2" s="91" t="s">
        <v>212</v>
      </c>
      <c r="J2" s="91" t="s">
        <v>195</v>
      </c>
      <c r="K2" s="92">
        <v>45343</v>
      </c>
      <c r="M2" t="s">
        <v>183</v>
      </c>
    </row>
    <row r="3" spans="1:13">
      <c r="A3" t="s">
        <v>202</v>
      </c>
      <c r="D3" s="93" t="s">
        <v>209</v>
      </c>
      <c r="E3" s="93" t="s">
        <v>210</v>
      </c>
      <c r="F3" s="93" t="s">
        <v>211</v>
      </c>
      <c r="G3" s="140" t="s">
        <v>250</v>
      </c>
      <c r="I3" s="93" t="s">
        <v>216</v>
      </c>
      <c r="J3" s="93" t="s">
        <v>243</v>
      </c>
      <c r="K3" s="94">
        <v>44889</v>
      </c>
      <c r="M3" t="s">
        <v>387</v>
      </c>
    </row>
    <row r="4" spans="1:13">
      <c r="A4" t="s">
        <v>270</v>
      </c>
      <c r="D4" t="s">
        <v>274</v>
      </c>
      <c r="E4" t="s">
        <v>273</v>
      </c>
      <c r="F4" t="s">
        <v>275</v>
      </c>
      <c r="G4" t="s">
        <v>276</v>
      </c>
      <c r="H4" s="95">
        <v>43508</v>
      </c>
      <c r="I4" t="s">
        <v>271</v>
      </c>
      <c r="J4" t="s">
        <v>272</v>
      </c>
      <c r="K4" s="95">
        <v>45378</v>
      </c>
      <c r="M4" t="s">
        <v>388</v>
      </c>
    </row>
    <row r="5" spans="1:13">
      <c r="A5" t="s">
        <v>316</v>
      </c>
      <c r="D5" t="s">
        <v>329</v>
      </c>
      <c r="E5" t="s">
        <v>330</v>
      </c>
      <c r="F5" t="s">
        <v>332</v>
      </c>
      <c r="G5" t="s">
        <v>331</v>
      </c>
      <c r="H5" s="95">
        <v>43507</v>
      </c>
      <c r="I5" t="s">
        <v>271</v>
      </c>
      <c r="J5" t="s">
        <v>272</v>
      </c>
      <c r="K5" s="95">
        <v>45378</v>
      </c>
      <c r="M5" t="s">
        <v>369</v>
      </c>
    </row>
    <row r="6" spans="1:13">
      <c r="A6" t="s">
        <v>360</v>
      </c>
      <c r="D6" t="s">
        <v>341</v>
      </c>
      <c r="E6" t="s">
        <v>342</v>
      </c>
      <c r="F6" t="s">
        <v>343</v>
      </c>
      <c r="G6" t="s">
        <v>344</v>
      </c>
      <c r="H6" s="95">
        <v>45462</v>
      </c>
      <c r="I6" s="93" t="s">
        <v>216</v>
      </c>
      <c r="J6" s="93" t="s">
        <v>243</v>
      </c>
      <c r="K6" s="94">
        <v>44889</v>
      </c>
      <c r="M6" t="s">
        <v>184</v>
      </c>
    </row>
    <row r="7" spans="1:13">
      <c r="A7" t="s">
        <v>401</v>
      </c>
      <c r="M7" t="s">
        <v>391</v>
      </c>
    </row>
    <row r="8" spans="1:13">
      <c r="A8" t="s">
        <v>410</v>
      </c>
      <c r="M8" t="s">
        <v>390</v>
      </c>
    </row>
    <row r="9" spans="1:13">
      <c r="M9" t="s">
        <v>389</v>
      </c>
    </row>
    <row r="10" spans="1:13">
      <c r="M10" t="s">
        <v>185</v>
      </c>
    </row>
    <row r="11" spans="1:13">
      <c r="M11" t="s">
        <v>392</v>
      </c>
    </row>
    <row r="17" spans="11:11">
      <c r="K17" s="301"/>
    </row>
  </sheetData>
  <phoneticPr fontId="14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0C877-2C66-40E7-AEDE-29702C10AFBF}">
  <dimension ref="A1:L16"/>
  <sheetViews>
    <sheetView workbookViewId="0">
      <selection activeCell="A2" sqref="A2:G16"/>
    </sheetView>
  </sheetViews>
  <sheetFormatPr defaultColWidth="8.85546875" defaultRowHeight="12.75"/>
  <cols>
    <col min="1" max="1" width="27.42578125" style="182" customWidth="1"/>
    <col min="2" max="2" width="77.28515625" style="183" customWidth="1"/>
    <col min="3" max="3" width="26.5703125" style="183" customWidth="1"/>
    <col min="4" max="4" width="19.28515625" style="183" customWidth="1"/>
    <col min="5" max="5" width="13.5703125" style="184" customWidth="1"/>
    <col min="6" max="6" width="14.28515625" style="185" bestFit="1" customWidth="1"/>
    <col min="7" max="8" width="8.85546875" style="183"/>
    <col min="9" max="9" width="33.7109375" style="183" customWidth="1"/>
    <col min="10" max="16384" width="8.85546875" style="183"/>
  </cols>
  <sheetData>
    <row r="1" spans="1:12">
      <c r="A1" s="182" t="s">
        <v>222</v>
      </c>
      <c r="B1" s="183" t="s">
        <v>17</v>
      </c>
      <c r="C1" s="183" t="s">
        <v>223</v>
      </c>
      <c r="D1" s="183" t="s">
        <v>224</v>
      </c>
      <c r="E1" s="184" t="s">
        <v>234</v>
      </c>
      <c r="F1" s="185" t="s">
        <v>85</v>
      </c>
      <c r="G1" s="183" t="s">
        <v>254</v>
      </c>
      <c r="I1" s="183" t="s">
        <v>222</v>
      </c>
      <c r="J1" s="183" t="s">
        <v>17</v>
      </c>
      <c r="K1" s="183" t="s">
        <v>223</v>
      </c>
      <c r="L1" s="183" t="s">
        <v>224</v>
      </c>
    </row>
    <row r="2" spans="1:12">
      <c r="A2" s="182" t="s">
        <v>217</v>
      </c>
      <c r="B2" s="183" t="s">
        <v>220</v>
      </c>
      <c r="C2" s="183" t="s">
        <v>218</v>
      </c>
      <c r="D2" s="183" t="s">
        <v>219</v>
      </c>
      <c r="E2" s="184" t="s">
        <v>235</v>
      </c>
      <c r="F2" s="185">
        <v>45399</v>
      </c>
      <c r="G2" s="183" t="s">
        <v>252</v>
      </c>
      <c r="I2" s="177" t="s">
        <v>196</v>
      </c>
      <c r="J2" s="183" t="s">
        <v>225</v>
      </c>
      <c r="K2" s="183" t="s">
        <v>197</v>
      </c>
      <c r="L2" s="183" t="s">
        <v>198</v>
      </c>
    </row>
    <row r="3" spans="1:12">
      <c r="A3" s="182" t="s">
        <v>188</v>
      </c>
      <c r="B3" s="183" t="s">
        <v>221</v>
      </c>
      <c r="C3" s="183" t="s">
        <v>189</v>
      </c>
      <c r="D3" s="183" t="s">
        <v>190</v>
      </c>
      <c r="E3" s="184" t="s">
        <v>191</v>
      </c>
      <c r="F3" s="185">
        <v>45112</v>
      </c>
      <c r="G3" s="183" t="s">
        <v>253</v>
      </c>
      <c r="I3" s="183" t="s">
        <v>231</v>
      </c>
      <c r="J3" s="183" t="s">
        <v>230</v>
      </c>
      <c r="K3" s="183" t="s">
        <v>232</v>
      </c>
      <c r="L3" s="183" t="s">
        <v>233</v>
      </c>
    </row>
    <row r="4" spans="1:12" ht="14.45" customHeight="1">
      <c r="A4" s="182" t="s">
        <v>238</v>
      </c>
      <c r="B4" s="183" t="s">
        <v>239</v>
      </c>
      <c r="C4" s="183" t="s">
        <v>240</v>
      </c>
      <c r="D4" s="183" t="s">
        <v>241</v>
      </c>
      <c r="E4" s="186" t="s">
        <v>265</v>
      </c>
      <c r="F4" s="185">
        <v>45274</v>
      </c>
      <c r="G4" s="183" t="s">
        <v>251</v>
      </c>
    </row>
    <row r="5" spans="1:12">
      <c r="A5" s="182" t="s">
        <v>266</v>
      </c>
      <c r="B5" s="183" t="s">
        <v>277</v>
      </c>
      <c r="C5" s="183" t="s">
        <v>267</v>
      </c>
      <c r="D5" s="183" t="s">
        <v>268</v>
      </c>
      <c r="E5" s="184" t="s">
        <v>427</v>
      </c>
      <c r="F5" s="185">
        <v>45951</v>
      </c>
      <c r="G5" s="183" t="s">
        <v>269</v>
      </c>
    </row>
    <row r="6" spans="1:12">
      <c r="A6" s="182" t="s">
        <v>309</v>
      </c>
      <c r="B6" s="183" t="s">
        <v>310</v>
      </c>
      <c r="C6" s="183" t="s">
        <v>311</v>
      </c>
      <c r="D6" s="183" t="s">
        <v>312</v>
      </c>
      <c r="E6" s="184" t="s">
        <v>313</v>
      </c>
      <c r="F6" s="185">
        <v>45667</v>
      </c>
      <c r="G6" s="183" t="s">
        <v>314</v>
      </c>
    </row>
    <row r="7" spans="1:12">
      <c r="A7" s="182" t="s">
        <v>319</v>
      </c>
      <c r="B7" s="183" t="s">
        <v>322</v>
      </c>
      <c r="C7" s="183" t="s">
        <v>320</v>
      </c>
      <c r="D7" s="183" t="s">
        <v>321</v>
      </c>
      <c r="E7" s="184" t="s">
        <v>323</v>
      </c>
      <c r="F7" s="185">
        <v>45362</v>
      </c>
      <c r="G7" s="183" t="s">
        <v>324</v>
      </c>
    </row>
    <row r="8" spans="1:12">
      <c r="A8" s="182" t="s">
        <v>334</v>
      </c>
      <c r="B8" s="183" t="s">
        <v>335</v>
      </c>
      <c r="C8" s="183" t="s">
        <v>336</v>
      </c>
      <c r="D8" s="183" t="s">
        <v>337</v>
      </c>
      <c r="E8" s="184" t="s">
        <v>338</v>
      </c>
      <c r="F8" s="185">
        <v>45876</v>
      </c>
      <c r="G8" s="183" t="s">
        <v>339</v>
      </c>
    </row>
    <row r="9" spans="1:12" ht="25.5">
      <c r="A9" s="169" t="s">
        <v>347</v>
      </c>
      <c r="B9" s="170" t="s">
        <v>348</v>
      </c>
      <c r="C9" s="171" t="s">
        <v>349</v>
      </c>
      <c r="D9" s="183" t="s">
        <v>351</v>
      </c>
      <c r="E9" s="184" t="s">
        <v>96</v>
      </c>
      <c r="F9" s="185">
        <v>45748</v>
      </c>
      <c r="G9" s="183" t="s">
        <v>350</v>
      </c>
    </row>
    <row r="10" spans="1:12" ht="25.5">
      <c r="A10" s="172" t="s">
        <v>352</v>
      </c>
      <c r="B10" s="173" t="s">
        <v>355</v>
      </c>
      <c r="C10" s="174" t="s">
        <v>354</v>
      </c>
      <c r="D10" s="175" t="s">
        <v>353</v>
      </c>
      <c r="E10" s="172" t="s">
        <v>356</v>
      </c>
      <c r="F10" s="176">
        <v>43740</v>
      </c>
      <c r="G10" s="183" t="s">
        <v>357</v>
      </c>
    </row>
    <row r="11" spans="1:12" ht="25.5">
      <c r="A11" s="172" t="s">
        <v>362</v>
      </c>
      <c r="B11" s="177" t="s">
        <v>365</v>
      </c>
      <c r="C11" s="178" t="s">
        <v>363</v>
      </c>
      <c r="D11" s="175" t="s">
        <v>364</v>
      </c>
      <c r="E11" s="182">
        <v>2506012</v>
      </c>
      <c r="F11" s="179">
        <v>45859</v>
      </c>
      <c r="G11" s="183" t="s">
        <v>366</v>
      </c>
    </row>
    <row r="12" spans="1:12">
      <c r="A12" s="173" t="s">
        <v>372</v>
      </c>
      <c r="B12" s="173" t="s">
        <v>373</v>
      </c>
      <c r="C12" s="173" t="s">
        <v>374</v>
      </c>
      <c r="D12" s="173" t="s">
        <v>375</v>
      </c>
      <c r="E12" s="184" t="s">
        <v>376</v>
      </c>
      <c r="F12" s="185">
        <v>43266</v>
      </c>
      <c r="G12" s="183" t="s">
        <v>377</v>
      </c>
    </row>
    <row r="13" spans="1:12" ht="25.5">
      <c r="A13" s="187" t="s">
        <v>379</v>
      </c>
      <c r="B13" s="183" t="s">
        <v>382</v>
      </c>
      <c r="C13" s="181" t="s">
        <v>380</v>
      </c>
      <c r="D13" s="175" t="s">
        <v>381</v>
      </c>
      <c r="E13" s="173" t="s">
        <v>383</v>
      </c>
      <c r="F13" s="185">
        <v>45585</v>
      </c>
      <c r="G13" s="183" t="s">
        <v>384</v>
      </c>
    </row>
    <row r="14" spans="1:12">
      <c r="A14" s="180" t="s">
        <v>393</v>
      </c>
      <c r="B14" s="180" t="s">
        <v>394</v>
      </c>
      <c r="C14" s="181" t="s">
        <v>395</v>
      </c>
      <c r="D14" s="180" t="s">
        <v>396</v>
      </c>
      <c r="E14" s="181" t="s">
        <v>397</v>
      </c>
      <c r="F14" s="185">
        <v>45874</v>
      </c>
      <c r="G14" s="183" t="s">
        <v>398</v>
      </c>
    </row>
    <row r="15" spans="1:12">
      <c r="A15" s="182" t="s">
        <v>404</v>
      </c>
      <c r="B15" s="183" t="s">
        <v>405</v>
      </c>
      <c r="C15" s="183" t="s">
        <v>407</v>
      </c>
      <c r="D15" s="183" t="s">
        <v>406</v>
      </c>
      <c r="E15" s="183" t="s">
        <v>409</v>
      </c>
      <c r="F15" s="185">
        <v>45209</v>
      </c>
      <c r="G15" s="183" t="s">
        <v>408</v>
      </c>
    </row>
    <row r="16" spans="1:12">
      <c r="A16" s="182" t="s">
        <v>411</v>
      </c>
      <c r="B16" s="183" t="s">
        <v>412</v>
      </c>
      <c r="C16" s="183" t="s">
        <v>413</v>
      </c>
      <c r="D16" s="183" t="s">
        <v>414</v>
      </c>
      <c r="E16" s="184" t="s">
        <v>420</v>
      </c>
      <c r="F16" s="185">
        <v>45946</v>
      </c>
      <c r="G16" s="183" t="s">
        <v>415</v>
      </c>
    </row>
  </sheetData>
  <phoneticPr fontId="146" type="noConversion"/>
  <conditionalFormatting sqref="G1:G14 G16:G1048576">
    <cfRule type="duplicateValues" dxfId="2" priority="2"/>
    <cfRule type="duplicateValues" dxfId="1" priority="3"/>
  </conditionalFormatting>
  <conditionalFormatting sqref="G1:G1048576">
    <cfRule type="duplicateValues" dxfId="0" priority="1"/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C641-1694-44BC-AC91-A5134CCD4E7D}">
  <dimension ref="A1:F20"/>
  <sheetViews>
    <sheetView workbookViewId="0">
      <selection activeCell="B25" sqref="B25"/>
    </sheetView>
  </sheetViews>
  <sheetFormatPr defaultColWidth="8.85546875" defaultRowHeight="15"/>
  <cols>
    <col min="1" max="1" width="62.140625" style="308" customWidth="1"/>
    <col min="2" max="2" width="86.28515625" style="308" customWidth="1"/>
    <col min="3" max="16384" width="8.85546875" style="308"/>
  </cols>
  <sheetData>
    <row r="1" spans="1:6">
      <c r="A1" s="308" t="s">
        <v>203</v>
      </c>
      <c r="B1" s="308" t="s">
        <v>204</v>
      </c>
    </row>
    <row r="2" spans="1:6">
      <c r="A2" s="308" t="s">
        <v>187</v>
      </c>
      <c r="B2" s="308" t="s">
        <v>205</v>
      </c>
    </row>
    <row r="3" spans="1:6">
      <c r="A3" s="308" t="s">
        <v>226</v>
      </c>
      <c r="B3" s="308" t="s">
        <v>229</v>
      </c>
    </row>
    <row r="4" spans="1:6">
      <c r="A4" s="310" t="s">
        <v>227</v>
      </c>
      <c r="B4" s="308" t="s">
        <v>228</v>
      </c>
    </row>
    <row r="5" spans="1:6">
      <c r="A5" s="308" t="s">
        <v>236</v>
      </c>
      <c r="B5" s="308" t="s">
        <v>237</v>
      </c>
    </row>
    <row r="6" spans="1:6">
      <c r="A6" s="308" t="s">
        <v>328</v>
      </c>
      <c r="B6" s="308" t="s">
        <v>278</v>
      </c>
    </row>
    <row r="7" spans="1:6">
      <c r="A7" s="308" t="s">
        <v>327</v>
      </c>
      <c r="B7" s="308" t="s">
        <v>315</v>
      </c>
    </row>
    <row r="8" spans="1:6">
      <c r="A8" s="308" t="s">
        <v>326</v>
      </c>
      <c r="B8" s="308" t="s">
        <v>325</v>
      </c>
    </row>
    <row r="9" spans="1:6">
      <c r="A9" s="308" t="s">
        <v>340</v>
      </c>
      <c r="B9" s="308" t="s">
        <v>333</v>
      </c>
    </row>
    <row r="10" spans="1:6">
      <c r="A10" s="308" t="s">
        <v>345</v>
      </c>
      <c r="B10" s="309" t="s">
        <v>346</v>
      </c>
    </row>
    <row r="11" spans="1:6">
      <c r="A11" s="302" t="s">
        <v>358</v>
      </c>
      <c r="B11" s="308" t="s">
        <v>359</v>
      </c>
      <c r="C11" s="303"/>
      <c r="D11" s="303"/>
      <c r="E11" s="304"/>
      <c r="F11" s="303"/>
    </row>
    <row r="12" spans="1:6">
      <c r="A12" s="305" t="s">
        <v>367</v>
      </c>
      <c r="B12" s="306" t="s">
        <v>368</v>
      </c>
      <c r="C12" s="303"/>
      <c r="D12" s="303"/>
    </row>
    <row r="13" spans="1:6">
      <c r="A13" s="308" t="s">
        <v>370</v>
      </c>
      <c r="B13" s="308" t="s">
        <v>371</v>
      </c>
    </row>
    <row r="14" spans="1:6">
      <c r="A14" s="308" t="s">
        <v>385</v>
      </c>
      <c r="B14" s="308" t="s">
        <v>386</v>
      </c>
    </row>
    <row r="15" spans="1:6">
      <c r="A15" s="308" t="s">
        <v>400</v>
      </c>
      <c r="B15" s="308" t="s">
        <v>399</v>
      </c>
    </row>
    <row r="16" spans="1:6">
      <c r="A16" s="307" t="s">
        <v>402</v>
      </c>
      <c r="B16" s="307" t="s">
        <v>403</v>
      </c>
    </row>
    <row r="17" spans="1:2">
      <c r="A17" s="307" t="s">
        <v>416</v>
      </c>
      <c r="B17" s="307" t="s">
        <v>417</v>
      </c>
    </row>
    <row r="18" spans="1:2">
      <c r="A18" s="308" t="s">
        <v>418</v>
      </c>
      <c r="B18" s="308" t="s">
        <v>419</v>
      </c>
    </row>
    <row r="19" spans="1:2">
      <c r="A19" s="309" t="s">
        <v>421</v>
      </c>
      <c r="B19" s="308" t="s">
        <v>422</v>
      </c>
    </row>
    <row r="20" spans="1:2">
      <c r="A20" s="308" t="s">
        <v>425</v>
      </c>
      <c r="B20" s="308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4</vt:i4>
      </vt:variant>
    </vt:vector>
  </HeadingPairs>
  <TitlesOfParts>
    <vt:vector size="12" baseType="lpstr">
      <vt:lpstr>СМАПП</vt:lpstr>
      <vt:lpstr>СПЕЦ</vt:lpstr>
      <vt:lpstr>ИНВОЙС</vt:lpstr>
      <vt:lpstr>CMR1</vt:lpstr>
      <vt:lpstr>Данные</vt:lpstr>
      <vt:lpstr>доп данные</vt:lpstr>
      <vt:lpstr>Получатель и перевозчик</vt:lpstr>
      <vt:lpstr>Отправитель</vt:lpstr>
      <vt:lpstr>ИНВОЙС!Print_Area</vt:lpstr>
      <vt:lpstr>СМАПП!Print_Area</vt:lpstr>
      <vt:lpstr>ИНВОЙС!Область_печати</vt:lpstr>
      <vt:lpstr>СПЕЦ!Область_печати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2026-01-03T12:52:20Z</dcterms:modified>
</cp:coreProperties>
</file>